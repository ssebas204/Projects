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lantilla" sheetId="2" state="visible" r:id="rId2"/>
    <sheet xmlns:r="http://schemas.openxmlformats.org/officeDocument/2006/relationships" name="Caso 1" sheetId="3" state="visible" r:id="rId3"/>
    <sheet xmlns:r="http://schemas.openxmlformats.org/officeDocument/2006/relationships" name="Caso 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;"/>
  </numFmts>
  <fonts count="8">
    <font>
      <name val="Calibri"/>
      <family val="2"/>
      <color theme="1"/>
      <sz val="11"/>
      <scheme val="minor"/>
    </font>
    <font>
      <b val="1"/>
      <color rgb="001F3B47"/>
      <sz val="16"/>
    </font>
    <font>
      <b val="1"/>
      <sz val="11"/>
    </font>
    <font>
      <b val="1"/>
      <color rgb="001F3B47"/>
      <sz val="14"/>
    </font>
    <font>
      <b val="1"/>
      <color rgb="00FFFFFF"/>
      <sz val="10"/>
    </font>
    <font>
      <b val="1"/>
      <color rgb="001F3B47"/>
      <sz val="11"/>
    </font>
    <font>
      <b val="1"/>
      <sz val="10"/>
    </font>
    <font>
      <b val="1"/>
      <color rgb="001F7A47"/>
      <sz val="11"/>
    </font>
  </fonts>
  <fills count="3">
    <fill>
      <patternFill/>
    </fill>
    <fill>
      <patternFill patternType="gray125"/>
    </fill>
    <fill>
      <patternFill patternType="solid">
        <fgColor rgb="001F3B47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</cellXfs>
  <cellStyles count="1">
    <cellStyle name="Normal" xfId="0" builtinId="0" hidden="0"/>
  </cellStyles>
  <dxfs count="1">
    <dxf>
      <font>
        <b val="1"/>
        <color rgb="001F7A47"/>
      </font>
      <fill>
        <patternFill patternType="solid">
          <fgColor rgb="00DCEF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8572500" cy="414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1</row>
      <rowOff>0</rowOff>
    </from>
    <ext cx="8572500" cy="425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1</row>
      <rowOff>0</rowOff>
    </from>
    <ext cx="8572500" cy="482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Cómo usar esta plantilla de árbol de decisión</t>
        </is>
      </c>
    </row>
    <row r="2" ht="16" customHeight="1">
      <c r="A2" s="2" t="inlineStr"/>
    </row>
    <row r="3" ht="30" customHeight="1">
      <c r="A3" s="2" t="inlineStr">
        <is>
          <t>Esta plantilla calcula el Valor Monetario Esperado (VME) de un árbol de decisión por inducción hacia atrás (de las hojas hacia la raíz), igual que se hace a mano.</t>
        </is>
      </c>
    </row>
    <row r="4" ht="16" customHeight="1">
      <c r="A4" s="2" t="inlineStr"/>
    </row>
    <row r="5" ht="16" customHeight="1">
      <c r="A5" s="3" t="inlineStr">
        <is>
          <t>1. Cada fila de la hoja "Plantilla" es un nodo del árbol. Un nodo puede ser:</t>
        </is>
      </c>
    </row>
    <row r="6" ht="30" customHeight="1">
      <c r="A6" s="2" t="inlineStr">
        <is>
          <t xml:space="preserve">   • Decisión: un cuadrado donde tú eliges la rama. La plantilla calcula el VME como el máximo entre las ramas hijas (restando el costo si lo indicaste).</t>
        </is>
      </c>
    </row>
    <row r="7" ht="30" customHeight="1">
      <c r="A7" s="2" t="inlineStr">
        <is>
          <t xml:space="preserve">   • Azar: un círculo donde la naturaleza decide. La plantilla calcula el VME como la suma de (probabilidad × VME de cada rama hija).</t>
        </is>
      </c>
    </row>
    <row r="8" ht="30" customHeight="1">
      <c r="A8" s="2" t="inlineStr">
        <is>
          <t xml:space="preserve">   • Resultado: una hoja final del árbol. Su VME es directamente el "Valor terminal" que escribas.</t>
        </is>
      </c>
    </row>
    <row r="9" ht="16" customHeight="1">
      <c r="A9" s="2" t="inlineStr"/>
    </row>
    <row r="10" ht="16" customHeight="1">
      <c r="A10" s="3" t="inlineStr">
        <is>
          <t>2. Llena las columnas:</t>
        </is>
      </c>
    </row>
    <row r="11" ht="16" customHeight="1">
      <c r="A11" s="2" t="inlineStr">
        <is>
          <t xml:space="preserve">   • ID Nodo: un número único para cada nodo (1, 2, 3...).</t>
        </is>
      </c>
    </row>
    <row r="12" ht="30" customHeight="1">
      <c r="A12" s="2" t="inlineStr">
        <is>
          <t xml:space="preserve">   • ID Padre: el ID del nodo del que sale esta rama. El nodo raíz (el primero) debe quedar con esta celda vacía, y siempre debe ir en la fila 3. IMPORTANTE: cada nodo hijo debe ir en una fila POSTERIOR (más abajo) a la de su nodo padre — así se escribe el árbol de forma natural, de arriba hacia abajo. Si un hijo queda en una fila anterior a su padre, la fórmula no lo va a encontrar.</t>
        </is>
      </c>
    </row>
    <row r="13" ht="16" customHeight="1">
      <c r="A13" s="2" t="inlineStr">
        <is>
          <t xml:space="preserve">   • Tipo: Decisión, Azar o Resultado (hay una lista desplegable).</t>
        </is>
      </c>
    </row>
    <row r="14" ht="16" customHeight="1">
      <c r="A14" s="2" t="inlineStr">
        <is>
          <t xml:space="preserve">   • Etiqueta: el nombre de la rama o el nodo (ej. "Demanda Alta", "Comprar 2 líneas").</t>
        </is>
      </c>
    </row>
    <row r="15" ht="30" customHeight="1">
      <c r="A15" s="2" t="inlineStr">
        <is>
          <t xml:space="preserve">   • Probabilidad: solo si el nodo padre es de tipo Azar (debe ir en decimal, ej. 0.6 = 60%).</t>
        </is>
      </c>
    </row>
    <row r="16" ht="16" customHeight="1">
      <c r="A16" s="2" t="inlineStr">
        <is>
          <t xml:space="preserve">   • Valor terminal: solo si el Tipo de este nodo es Resultado.</t>
        </is>
      </c>
    </row>
    <row r="17" ht="16" customHeight="1">
      <c r="A17" s="2" t="inlineStr">
        <is>
          <t xml:space="preserve">   • Costo / inversión: opcional, solo aplica a ramas que salen de un nodo de Decisión.</t>
        </is>
      </c>
    </row>
    <row r="18" ht="16" customHeight="1">
      <c r="A18" s="2" t="inlineStr"/>
    </row>
    <row r="19" ht="30" customHeight="1">
      <c r="A19" s="3" t="inlineStr">
        <is>
          <t>3. Las columnas VME calculado, Neto, Tipo del padre y ¿Mejor opción del padre? se calculan solas. La columna "¿Mejor opción del padre?" marca con "Sí ✓" la rama que conviene elegir en cada nodo de decisión — así puedes leer la recomendación en cualquier nivel del árbol, no solo en la raíz.</t>
        </is>
      </c>
    </row>
    <row r="20" ht="16" customHeight="1">
      <c r="A20" s="2" t="inlineStr"/>
    </row>
    <row r="21" ht="30" customHeight="1">
      <c r="A21" s="3" t="inlineStr">
        <is>
          <t>4. El VME total del árbol completo queda en la fila 3 (el nodo raíz), columna "VME calculado".</t>
        </is>
      </c>
    </row>
    <row r="22" ht="16" customHeight="1">
      <c r="A22" s="2" t="inlineStr"/>
    </row>
    <row r="23" ht="30" customHeight="1">
      <c r="A23" s="3" t="inlineStr">
        <is>
          <t>5. Las probabilidades de las ramas que salen de un mismo nodo de Azar deben sumar 1 (100%); la plantilla no lo valida automáticamente, revísalo tú.</t>
        </is>
      </c>
    </row>
    <row r="24" ht="16" customHeight="1">
      <c r="A24" s="2" t="inlineStr"/>
    </row>
    <row r="25" ht="30" customHeight="1">
      <c r="A25" s="2" t="inlineStr">
        <is>
          <t>Las hojas "Caso 1" y "Caso 2" ya están resueltas con esta misma plantilla como ejemplo — revísalas para ver cómo se estructuran nodos de decisión anidados (una decisión que depende de un resultado de azar, como en el Caso 2).</t>
        </is>
      </c>
    </row>
    <row r="26" ht="16" customHeight="1">
      <c r="A26" s="2" t="inlineStr"/>
    </row>
    <row r="27" ht="30" customHeight="1">
      <c r="A27" s="3" t="inlineStr">
        <is>
          <t>6. A la derecha de la tabla de cada hoja (columna M en adelante) hay un diagrama del árbol (cuadrados = decisión, círculos = azar, triángulos = resultado) con la rama óptima en verde y las ramas descartadas en rojo punteado con el símbolo "≠" — igual a como se dibuja a mano en clase. En la hoja "Plantilla" el diagrama es solo un ejemplo ilustrativo con datos genéricos, ya que Excel no puede redibujar automáticamente un árbol propio a partir de la tabla.</t>
        </is>
      </c>
    </row>
    <row r="28" ht="16" customHeight="1">
      <c r="A28" s="2" t="inlineStr"/>
    </row>
    <row r="29" ht="30" customHeight="1">
      <c r="A29" s="2" t="inlineStr">
        <is>
          <t>Para construir y ver el diagrama de TU propio árbol de forma dinámica (o para árboles más complejos), usa la app web "arbol_decision_app.html" que acompaña a este archivo: ahí puedes armar cualquier estructura y el dibujo se genera solo. Si quieres, después replicas esos mismos números en esta plantilla de Excel para entregarlos.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34" customWidth="1" min="4" max="4"/>
    <col width="13" customWidth="1" min="5" max="5"/>
    <col width="14" customWidth="1" min="6" max="6"/>
    <col width="14" customWidth="1" min="7" max="7"/>
    <col width="15" customWidth="1" min="8" max="8"/>
    <col width="16" customWidth="1" min="9" max="9"/>
    <col outlineLevel="1" width="20" customWidth="1" min="10" max="10"/>
    <col width="20" customWidth="1" min="11" max="11"/>
    <col width="3" customWidth="1" min="12" max="12"/>
  </cols>
  <sheetData>
    <row r="1">
      <c r="A1" s="4" t="inlineStr">
        <is>
          <t>Plantilla</t>
        </is>
      </c>
      <c r="M1" s="4" t="inlineStr">
        <is>
          <t>Diagrama</t>
        </is>
      </c>
    </row>
    <row r="2" ht="30" customHeight="1">
      <c r="A2" s="5" t="inlineStr">
        <is>
          <t>ID Nodo</t>
        </is>
      </c>
      <c r="B2" s="5" t="inlineStr">
        <is>
          <t>ID Padre</t>
        </is>
      </c>
      <c r="C2" s="5" t="inlineStr">
        <is>
          <t>Tipo</t>
        </is>
      </c>
      <c r="D2" s="5" t="inlineStr">
        <is>
          <t>Etiqueta</t>
        </is>
      </c>
      <c r="E2" s="5" t="inlineStr">
        <is>
          <t>Probabilidad</t>
        </is>
      </c>
      <c r="F2" s="5" t="inlineStr">
        <is>
          <t>Valor terminal</t>
        </is>
      </c>
      <c r="G2" s="5" t="inlineStr">
        <is>
          <t>Costo / inversión</t>
        </is>
      </c>
      <c r="H2" s="5" t="inlineStr">
        <is>
          <t>VME calculado</t>
        </is>
      </c>
      <c r="I2" s="5" t="inlineStr">
        <is>
          <t>Neto (VME - Costo)</t>
        </is>
      </c>
      <c r="J2" s="5" t="inlineStr">
        <is>
          <t>Tipo del padre (auxiliar)</t>
        </is>
      </c>
      <c r="K2" s="5" t="inlineStr">
        <is>
          <t>¿Mejor opción del padre?</t>
        </is>
      </c>
    </row>
    <row r="3">
      <c r="A3" s="6" t="n"/>
      <c r="B3" s="6" t="n"/>
      <c r="C3" s="6" t="n"/>
      <c r="D3" s="6" t="n"/>
      <c r="E3" s="7" t="n"/>
      <c r="F3" s="8" t="n"/>
      <c r="G3" s="8" t="n"/>
      <c r="H3" s="9">
        <f>IF(A3="",0,IF(C3="Resultado",F3,IF(C3="Azar",SUMPRODUCT(($B$4:$B$52=A3)*($E$4:$E$52)*($H$4:$H$52)),IF(C3="Decisión",IFERROR(MAXIFS($I$4:$I$52,$B$4:$B$52,A3),0),0))))</f>
        <v/>
      </c>
      <c r="I3" s="9">
        <f>IF(A3="",0,H3-G3)</f>
        <v/>
      </c>
      <c r="J3" s="6">
        <f>IFERROR(INDEX($C$3:$C$52,MATCH(B3,$A$3:$A$52,0)),"")</f>
        <v/>
      </c>
      <c r="K3" s="6">
        <f>IF(OR(B3="",J3&lt;&gt;"Decisión"),"",IF(ROUND(I3,2)=ROUND(MAXIFS($I$3:$I$52,$B$3:$B$52,B3),2),"Sí ✓",""))</f>
        <v/>
      </c>
    </row>
    <row r="4">
      <c r="A4" s="6" t="n"/>
      <c r="B4" s="6" t="n"/>
      <c r="C4" s="6" t="n"/>
      <c r="D4" s="6" t="n"/>
      <c r="E4" s="7" t="n"/>
      <c r="F4" s="8" t="n"/>
      <c r="G4" s="8" t="n"/>
      <c r="H4" s="9">
        <f>IF(A4="",0,IF(C4="Resultado",F4,IF(C4="Azar",SUMPRODUCT(($B$5:$B$52=A4)*($E$5:$E$52)*($H$5:$H$52)),IF(C4="Decisión",IFERROR(MAXIFS($I$5:$I$52,$B$5:$B$52,A4),0),0))))</f>
        <v/>
      </c>
      <c r="I4" s="9">
        <f>IF(A4="",0,H4-G4)</f>
        <v/>
      </c>
      <c r="J4" s="6">
        <f>IFERROR(INDEX($C$3:$C$52,MATCH(B4,$A$3:$A$52,0)),"")</f>
        <v/>
      </c>
      <c r="K4" s="6">
        <f>IF(OR(B4="",J4&lt;&gt;"Decisión"),"",IF(ROUND(I4,2)=ROUND(MAXIFS($I$3:$I$52,$B$3:$B$52,B4),2),"Sí ✓",""))</f>
        <v/>
      </c>
    </row>
    <row r="5">
      <c r="A5" s="6" t="n"/>
      <c r="B5" s="6" t="n"/>
      <c r="C5" s="6" t="n"/>
      <c r="D5" s="6" t="n"/>
      <c r="E5" s="7" t="n"/>
      <c r="F5" s="8" t="n"/>
      <c r="G5" s="8" t="n"/>
      <c r="H5" s="9">
        <f>IF(A5="",0,IF(C5="Resultado",F5,IF(C5="Azar",SUMPRODUCT(($B$6:$B$52=A5)*($E$6:$E$52)*($H$6:$H$52)),IF(C5="Decisión",IFERROR(MAXIFS($I$6:$I$52,$B$6:$B$52,A5),0),0))))</f>
        <v/>
      </c>
      <c r="I5" s="9">
        <f>IF(A5="",0,H5-G5)</f>
        <v/>
      </c>
      <c r="J5" s="6">
        <f>IFERROR(INDEX($C$3:$C$52,MATCH(B5,$A$3:$A$52,0)),"")</f>
        <v/>
      </c>
      <c r="K5" s="6">
        <f>IF(OR(B5="",J5&lt;&gt;"Decisión"),"",IF(ROUND(I5,2)=ROUND(MAXIFS($I$3:$I$52,$B$3:$B$52,B5),2),"Sí ✓",""))</f>
        <v/>
      </c>
    </row>
    <row r="6">
      <c r="A6" s="6" t="n"/>
      <c r="B6" s="6" t="n"/>
      <c r="C6" s="6" t="n"/>
      <c r="D6" s="6" t="n"/>
      <c r="E6" s="7" t="n"/>
      <c r="F6" s="8" t="n"/>
      <c r="G6" s="8" t="n"/>
      <c r="H6" s="9">
        <f>IF(A6="",0,IF(C6="Resultado",F6,IF(C6="Azar",SUMPRODUCT(($B$7:$B$52=A6)*($E$7:$E$52)*($H$7:$H$52)),IF(C6="Decisión",IFERROR(MAXIFS($I$7:$I$52,$B$7:$B$52,A6),0),0))))</f>
        <v/>
      </c>
      <c r="I6" s="9">
        <f>IF(A6="",0,H6-G6)</f>
        <v/>
      </c>
      <c r="J6" s="6">
        <f>IFERROR(INDEX($C$3:$C$52,MATCH(B6,$A$3:$A$52,0)),"")</f>
        <v/>
      </c>
      <c r="K6" s="6">
        <f>IF(OR(B6="",J6&lt;&gt;"Decisión"),"",IF(ROUND(I6,2)=ROUND(MAXIFS($I$3:$I$52,$B$3:$B$52,B6),2),"Sí ✓",""))</f>
        <v/>
      </c>
    </row>
    <row r="7">
      <c r="A7" s="6" t="n"/>
      <c r="B7" s="6" t="n"/>
      <c r="C7" s="6" t="n"/>
      <c r="D7" s="6" t="n"/>
      <c r="E7" s="7" t="n"/>
      <c r="F7" s="8" t="n"/>
      <c r="G7" s="8" t="n"/>
      <c r="H7" s="9">
        <f>IF(A7="",0,IF(C7="Resultado",F7,IF(C7="Azar",SUMPRODUCT(($B$8:$B$52=A7)*($E$8:$E$52)*($H$8:$H$52)),IF(C7="Decisión",IFERROR(MAXIFS($I$8:$I$52,$B$8:$B$52,A7),0),0))))</f>
        <v/>
      </c>
      <c r="I7" s="9">
        <f>IF(A7="",0,H7-G7)</f>
        <v/>
      </c>
      <c r="J7" s="6">
        <f>IFERROR(INDEX($C$3:$C$52,MATCH(B7,$A$3:$A$52,0)),"")</f>
        <v/>
      </c>
      <c r="K7" s="6">
        <f>IF(OR(B7="",J7&lt;&gt;"Decisión"),"",IF(ROUND(I7,2)=ROUND(MAXIFS($I$3:$I$52,$B$3:$B$52,B7),2),"Sí ✓",""))</f>
        <v/>
      </c>
    </row>
    <row r="8">
      <c r="A8" s="6" t="n"/>
      <c r="B8" s="6" t="n"/>
      <c r="C8" s="6" t="n"/>
      <c r="D8" s="6" t="n"/>
      <c r="E8" s="7" t="n"/>
      <c r="F8" s="8" t="n"/>
      <c r="G8" s="8" t="n"/>
      <c r="H8" s="9">
        <f>IF(A8="",0,IF(C8="Resultado",F8,IF(C8="Azar",SUMPRODUCT(($B$9:$B$52=A8)*($E$9:$E$52)*($H$9:$H$52)),IF(C8="Decisión",IFERROR(MAXIFS($I$9:$I$52,$B$9:$B$52,A8),0),0))))</f>
        <v/>
      </c>
      <c r="I8" s="9">
        <f>IF(A8="",0,H8-G8)</f>
        <v/>
      </c>
      <c r="J8" s="6">
        <f>IFERROR(INDEX($C$3:$C$52,MATCH(B8,$A$3:$A$52,0)),"")</f>
        <v/>
      </c>
      <c r="K8" s="6">
        <f>IF(OR(B8="",J8&lt;&gt;"Decisión"),"",IF(ROUND(I8,2)=ROUND(MAXIFS($I$3:$I$52,$B$3:$B$52,B8),2),"Sí ✓",""))</f>
        <v/>
      </c>
    </row>
    <row r="9">
      <c r="A9" s="6" t="n"/>
      <c r="B9" s="6" t="n"/>
      <c r="C9" s="6" t="n"/>
      <c r="D9" s="6" t="n"/>
      <c r="E9" s="7" t="n"/>
      <c r="F9" s="8" t="n"/>
      <c r="G9" s="8" t="n"/>
      <c r="H9" s="9">
        <f>IF(A9="",0,IF(C9="Resultado",F9,IF(C9="Azar",SUMPRODUCT(($B$10:$B$52=A9)*($E$10:$E$52)*($H$10:$H$52)),IF(C9="Decisión",IFERROR(MAXIFS($I$10:$I$52,$B$10:$B$52,A9),0),0))))</f>
        <v/>
      </c>
      <c r="I9" s="9">
        <f>IF(A9="",0,H9-G9)</f>
        <v/>
      </c>
      <c r="J9" s="6">
        <f>IFERROR(INDEX($C$3:$C$52,MATCH(B9,$A$3:$A$52,0)),"")</f>
        <v/>
      </c>
      <c r="K9" s="6">
        <f>IF(OR(B9="",J9&lt;&gt;"Decisión"),"",IF(ROUND(I9,2)=ROUND(MAXIFS($I$3:$I$52,$B$3:$B$52,B9),2),"Sí ✓",""))</f>
        <v/>
      </c>
    </row>
    <row r="10">
      <c r="A10" s="6" t="n"/>
      <c r="B10" s="6" t="n"/>
      <c r="C10" s="6" t="n"/>
      <c r="D10" s="6" t="n"/>
      <c r="E10" s="7" t="n"/>
      <c r="F10" s="8" t="n"/>
      <c r="G10" s="8" t="n"/>
      <c r="H10" s="9">
        <f>IF(A10="",0,IF(C10="Resultado",F10,IF(C10="Azar",SUMPRODUCT(($B$11:$B$52=A10)*($E$11:$E$52)*($H$11:$H$52)),IF(C10="Decisión",IFERROR(MAXIFS($I$11:$I$52,$B$11:$B$52,A10),0),0))))</f>
        <v/>
      </c>
      <c r="I10" s="9">
        <f>IF(A10="",0,H10-G10)</f>
        <v/>
      </c>
      <c r="J10" s="6">
        <f>IFERROR(INDEX($C$3:$C$52,MATCH(B10,$A$3:$A$52,0)),"")</f>
        <v/>
      </c>
      <c r="K10" s="6">
        <f>IF(OR(B10="",J10&lt;&gt;"Decisión"),"",IF(ROUND(I10,2)=ROUND(MAXIFS($I$3:$I$52,$B$3:$B$52,B10),2),"Sí ✓",""))</f>
        <v/>
      </c>
    </row>
    <row r="11">
      <c r="A11" s="6" t="n"/>
      <c r="B11" s="6" t="n"/>
      <c r="C11" s="6" t="n"/>
      <c r="D11" s="6" t="n"/>
      <c r="E11" s="7" t="n"/>
      <c r="F11" s="8" t="n"/>
      <c r="G11" s="8" t="n"/>
      <c r="H11" s="9">
        <f>IF(A11="",0,IF(C11="Resultado",F11,IF(C11="Azar",SUMPRODUCT(($B$12:$B$52=A11)*($E$12:$E$52)*($H$12:$H$52)),IF(C11="Decisión",IFERROR(MAXIFS($I$12:$I$52,$B$12:$B$52,A11),0),0))))</f>
        <v/>
      </c>
      <c r="I11" s="9">
        <f>IF(A11="",0,H11-G11)</f>
        <v/>
      </c>
      <c r="J11" s="6">
        <f>IFERROR(INDEX($C$3:$C$52,MATCH(B11,$A$3:$A$52,0)),"")</f>
        <v/>
      </c>
      <c r="K11" s="6">
        <f>IF(OR(B11="",J11&lt;&gt;"Decisión"),"",IF(ROUND(I11,2)=ROUND(MAXIFS($I$3:$I$52,$B$3:$B$52,B11),2),"Sí ✓",""))</f>
        <v/>
      </c>
    </row>
    <row r="12">
      <c r="A12" s="6" t="n"/>
      <c r="B12" s="6" t="n"/>
      <c r="C12" s="6" t="n"/>
      <c r="D12" s="6" t="n"/>
      <c r="E12" s="7" t="n"/>
      <c r="F12" s="8" t="n"/>
      <c r="G12" s="8" t="n"/>
      <c r="H12" s="9">
        <f>IF(A12="",0,IF(C12="Resultado",F12,IF(C12="Azar",SUMPRODUCT(($B$13:$B$52=A12)*($E$13:$E$52)*($H$13:$H$52)),IF(C12="Decisión",IFERROR(MAXIFS($I$13:$I$52,$B$13:$B$52,A12),0),0))))</f>
        <v/>
      </c>
      <c r="I12" s="9">
        <f>IF(A12="",0,H12-G12)</f>
        <v/>
      </c>
      <c r="J12" s="6">
        <f>IFERROR(INDEX($C$3:$C$52,MATCH(B12,$A$3:$A$52,0)),"")</f>
        <v/>
      </c>
      <c r="K12" s="6">
        <f>IF(OR(B12="",J12&lt;&gt;"Decisión"),"",IF(ROUND(I12,2)=ROUND(MAXIFS($I$3:$I$52,$B$3:$B$52,B12),2),"Sí ✓",""))</f>
        <v/>
      </c>
    </row>
    <row r="13">
      <c r="A13" s="6" t="n"/>
      <c r="B13" s="6" t="n"/>
      <c r="C13" s="6" t="n"/>
      <c r="D13" s="6" t="n"/>
      <c r="E13" s="7" t="n"/>
      <c r="F13" s="8" t="n"/>
      <c r="G13" s="8" t="n"/>
      <c r="H13" s="9">
        <f>IF(A13="",0,IF(C13="Resultado",F13,IF(C13="Azar",SUMPRODUCT(($B$14:$B$52=A13)*($E$14:$E$52)*($H$14:$H$52)),IF(C13="Decisión",IFERROR(MAXIFS($I$14:$I$52,$B$14:$B$52,A13),0),0))))</f>
        <v/>
      </c>
      <c r="I13" s="9">
        <f>IF(A13="",0,H13-G13)</f>
        <v/>
      </c>
      <c r="J13" s="6">
        <f>IFERROR(INDEX($C$3:$C$52,MATCH(B13,$A$3:$A$52,0)),"")</f>
        <v/>
      </c>
      <c r="K13" s="6">
        <f>IF(OR(B13="",J13&lt;&gt;"Decisión"),"",IF(ROUND(I13,2)=ROUND(MAXIFS($I$3:$I$52,$B$3:$B$52,B13),2),"Sí ✓",""))</f>
        <v/>
      </c>
    </row>
    <row r="14">
      <c r="A14" s="6" t="n"/>
      <c r="B14" s="6" t="n"/>
      <c r="C14" s="6" t="n"/>
      <c r="D14" s="6" t="n"/>
      <c r="E14" s="7" t="n"/>
      <c r="F14" s="8" t="n"/>
      <c r="G14" s="8" t="n"/>
      <c r="H14" s="9">
        <f>IF(A14="",0,IF(C14="Resultado",F14,IF(C14="Azar",SUMPRODUCT(($B$15:$B$52=A14)*($E$15:$E$52)*($H$15:$H$52)),IF(C14="Decisión",IFERROR(MAXIFS($I$15:$I$52,$B$15:$B$52,A14),0),0))))</f>
        <v/>
      </c>
      <c r="I14" s="9">
        <f>IF(A14="",0,H14-G14)</f>
        <v/>
      </c>
      <c r="J14" s="6">
        <f>IFERROR(INDEX($C$3:$C$52,MATCH(B14,$A$3:$A$52,0)),"")</f>
        <v/>
      </c>
      <c r="K14" s="6">
        <f>IF(OR(B14="",J14&lt;&gt;"Decisión"),"",IF(ROUND(I14,2)=ROUND(MAXIFS($I$3:$I$52,$B$3:$B$52,B14),2),"Sí ✓",""))</f>
        <v/>
      </c>
    </row>
    <row r="15">
      <c r="A15" s="6" t="n"/>
      <c r="B15" s="6" t="n"/>
      <c r="C15" s="6" t="n"/>
      <c r="D15" s="6" t="n"/>
      <c r="E15" s="7" t="n"/>
      <c r="F15" s="8" t="n"/>
      <c r="G15" s="8" t="n"/>
      <c r="H15" s="9">
        <f>IF(A15="",0,IF(C15="Resultado",F15,IF(C15="Azar",SUMPRODUCT(($B$16:$B$52=A15)*($E$16:$E$52)*($H$16:$H$52)),IF(C15="Decisión",IFERROR(MAXIFS($I$16:$I$52,$B$16:$B$52,A15),0),0))))</f>
        <v/>
      </c>
      <c r="I15" s="9">
        <f>IF(A15="",0,H15-G15)</f>
        <v/>
      </c>
      <c r="J15" s="6">
        <f>IFERROR(INDEX($C$3:$C$52,MATCH(B15,$A$3:$A$52,0)),"")</f>
        <v/>
      </c>
      <c r="K15" s="6">
        <f>IF(OR(B15="",J15&lt;&gt;"Decisión"),"",IF(ROUND(I15,2)=ROUND(MAXIFS($I$3:$I$52,$B$3:$B$52,B15),2),"Sí ✓",""))</f>
        <v/>
      </c>
    </row>
    <row r="16">
      <c r="A16" s="6" t="n"/>
      <c r="B16" s="6" t="n"/>
      <c r="C16" s="6" t="n"/>
      <c r="D16" s="6" t="n"/>
      <c r="E16" s="7" t="n"/>
      <c r="F16" s="8" t="n"/>
      <c r="G16" s="8" t="n"/>
      <c r="H16" s="9">
        <f>IF(A16="",0,IF(C16="Resultado",F16,IF(C16="Azar",SUMPRODUCT(($B$17:$B$52=A16)*($E$17:$E$52)*($H$17:$H$52)),IF(C16="Decisión",IFERROR(MAXIFS($I$17:$I$52,$B$17:$B$52,A16),0),0))))</f>
        <v/>
      </c>
      <c r="I16" s="9">
        <f>IF(A16="",0,H16-G16)</f>
        <v/>
      </c>
      <c r="J16" s="6">
        <f>IFERROR(INDEX($C$3:$C$52,MATCH(B16,$A$3:$A$52,0)),"")</f>
        <v/>
      </c>
      <c r="K16" s="6">
        <f>IF(OR(B16="",J16&lt;&gt;"Decisión"),"",IF(ROUND(I16,2)=ROUND(MAXIFS($I$3:$I$52,$B$3:$B$52,B16),2),"Sí ✓",""))</f>
        <v/>
      </c>
    </row>
    <row r="17">
      <c r="A17" s="6" t="n"/>
      <c r="B17" s="6" t="n"/>
      <c r="C17" s="6" t="n"/>
      <c r="D17" s="6" t="n"/>
      <c r="E17" s="7" t="n"/>
      <c r="F17" s="8" t="n"/>
      <c r="G17" s="8" t="n"/>
      <c r="H17" s="9">
        <f>IF(A17="",0,IF(C17="Resultado",F17,IF(C17="Azar",SUMPRODUCT(($B$18:$B$52=A17)*($E$18:$E$52)*($H$18:$H$52)),IF(C17="Decisión",IFERROR(MAXIFS($I$18:$I$52,$B$18:$B$52,A17),0),0))))</f>
        <v/>
      </c>
      <c r="I17" s="9">
        <f>IF(A17="",0,H17-G17)</f>
        <v/>
      </c>
      <c r="J17" s="6">
        <f>IFERROR(INDEX($C$3:$C$52,MATCH(B17,$A$3:$A$52,0)),"")</f>
        <v/>
      </c>
      <c r="K17" s="6">
        <f>IF(OR(B17="",J17&lt;&gt;"Decisión"),"",IF(ROUND(I17,2)=ROUND(MAXIFS($I$3:$I$52,$B$3:$B$52,B17),2),"Sí ✓",""))</f>
        <v/>
      </c>
    </row>
    <row r="18">
      <c r="A18" s="6" t="n"/>
      <c r="B18" s="6" t="n"/>
      <c r="C18" s="6" t="n"/>
      <c r="D18" s="6" t="n"/>
      <c r="E18" s="7" t="n"/>
      <c r="F18" s="8" t="n"/>
      <c r="G18" s="8" t="n"/>
      <c r="H18" s="9">
        <f>IF(A18="",0,IF(C18="Resultado",F18,IF(C18="Azar",SUMPRODUCT(($B$19:$B$52=A18)*($E$19:$E$52)*($H$19:$H$52)),IF(C18="Decisión",IFERROR(MAXIFS($I$19:$I$52,$B$19:$B$52,A18),0),0))))</f>
        <v/>
      </c>
      <c r="I18" s="9">
        <f>IF(A18="",0,H18-G18)</f>
        <v/>
      </c>
      <c r="J18" s="6">
        <f>IFERROR(INDEX($C$3:$C$52,MATCH(B18,$A$3:$A$52,0)),"")</f>
        <v/>
      </c>
      <c r="K18" s="6">
        <f>IF(OR(B18="",J18&lt;&gt;"Decisión"),"",IF(ROUND(I18,2)=ROUND(MAXIFS($I$3:$I$52,$B$3:$B$52,B18),2),"Sí ✓",""))</f>
        <v/>
      </c>
    </row>
    <row r="19">
      <c r="A19" s="6" t="n"/>
      <c r="B19" s="6" t="n"/>
      <c r="C19" s="6" t="n"/>
      <c r="D19" s="6" t="n"/>
      <c r="E19" s="7" t="n"/>
      <c r="F19" s="8" t="n"/>
      <c r="G19" s="8" t="n"/>
      <c r="H19" s="9">
        <f>IF(A19="",0,IF(C19="Resultado",F19,IF(C19="Azar",SUMPRODUCT(($B$20:$B$52=A19)*($E$20:$E$52)*($H$20:$H$52)),IF(C19="Decisión",IFERROR(MAXIFS($I$20:$I$52,$B$20:$B$52,A19),0),0))))</f>
        <v/>
      </c>
      <c r="I19" s="9">
        <f>IF(A19="",0,H19-G19)</f>
        <v/>
      </c>
      <c r="J19" s="6">
        <f>IFERROR(INDEX($C$3:$C$52,MATCH(B19,$A$3:$A$52,0)),"")</f>
        <v/>
      </c>
      <c r="K19" s="6">
        <f>IF(OR(B19="",J19&lt;&gt;"Decisión"),"",IF(ROUND(I19,2)=ROUND(MAXIFS($I$3:$I$52,$B$3:$B$52,B19),2),"Sí ✓",""))</f>
        <v/>
      </c>
    </row>
    <row r="20">
      <c r="A20" s="6" t="n"/>
      <c r="B20" s="6" t="n"/>
      <c r="C20" s="6" t="n"/>
      <c r="D20" s="6" t="n"/>
      <c r="E20" s="7" t="n"/>
      <c r="F20" s="8" t="n"/>
      <c r="G20" s="8" t="n"/>
      <c r="H20" s="9">
        <f>IF(A20="",0,IF(C20="Resultado",F20,IF(C20="Azar",SUMPRODUCT(($B$21:$B$52=A20)*($E$21:$E$52)*($H$21:$H$52)),IF(C20="Decisión",IFERROR(MAXIFS($I$21:$I$52,$B$21:$B$52,A20),0),0))))</f>
        <v/>
      </c>
      <c r="I20" s="9">
        <f>IF(A20="",0,H20-G20)</f>
        <v/>
      </c>
      <c r="J20" s="6">
        <f>IFERROR(INDEX($C$3:$C$52,MATCH(B20,$A$3:$A$52,0)),"")</f>
        <v/>
      </c>
      <c r="K20" s="6">
        <f>IF(OR(B20="",J20&lt;&gt;"Decisión"),"",IF(ROUND(I20,2)=ROUND(MAXIFS($I$3:$I$52,$B$3:$B$52,B20),2),"Sí ✓",""))</f>
        <v/>
      </c>
    </row>
    <row r="21">
      <c r="A21" s="6" t="n"/>
      <c r="B21" s="6" t="n"/>
      <c r="C21" s="6" t="n"/>
      <c r="D21" s="6" t="n"/>
      <c r="E21" s="7" t="n"/>
      <c r="F21" s="8" t="n"/>
      <c r="G21" s="8" t="n"/>
      <c r="H21" s="9">
        <f>IF(A21="",0,IF(C21="Resultado",F21,IF(C21="Azar",SUMPRODUCT(($B$22:$B$52=A21)*($E$22:$E$52)*($H$22:$H$52)),IF(C21="Decisión",IFERROR(MAXIFS($I$22:$I$52,$B$22:$B$52,A21),0),0))))</f>
        <v/>
      </c>
      <c r="I21" s="9">
        <f>IF(A21="",0,H21-G21)</f>
        <v/>
      </c>
      <c r="J21" s="6">
        <f>IFERROR(INDEX($C$3:$C$52,MATCH(B21,$A$3:$A$52,0)),"")</f>
        <v/>
      </c>
      <c r="K21" s="6">
        <f>IF(OR(B21="",J21&lt;&gt;"Decisión"),"",IF(ROUND(I21,2)=ROUND(MAXIFS($I$3:$I$52,$B$3:$B$52,B21),2),"Sí ✓",""))</f>
        <v/>
      </c>
    </row>
    <row r="22">
      <c r="A22" s="6" t="n"/>
      <c r="B22" s="6" t="n"/>
      <c r="C22" s="6" t="n"/>
      <c r="D22" s="6" t="n"/>
      <c r="E22" s="7" t="n"/>
      <c r="F22" s="8" t="n"/>
      <c r="G22" s="8" t="n"/>
      <c r="H22" s="9">
        <f>IF(A22="",0,IF(C22="Resultado",F22,IF(C22="Azar",SUMPRODUCT(($B$23:$B$52=A22)*($E$23:$E$52)*($H$23:$H$52)),IF(C22="Decisión",IFERROR(MAXIFS($I$23:$I$52,$B$23:$B$52,A22),0),0))))</f>
        <v/>
      </c>
      <c r="I22" s="9">
        <f>IF(A22="",0,H22-G22)</f>
        <v/>
      </c>
      <c r="J22" s="6">
        <f>IFERROR(INDEX($C$3:$C$52,MATCH(B22,$A$3:$A$52,0)),"")</f>
        <v/>
      </c>
      <c r="K22" s="6">
        <f>IF(OR(B22="",J22&lt;&gt;"Decisión"),"",IF(ROUND(I22,2)=ROUND(MAXIFS($I$3:$I$52,$B$3:$B$52,B22),2),"Sí ✓",""))</f>
        <v/>
      </c>
    </row>
    <row r="23">
      <c r="A23" s="6" t="n"/>
      <c r="B23" s="6" t="n"/>
      <c r="C23" s="6" t="n"/>
      <c r="D23" s="6" t="n"/>
      <c r="E23" s="7" t="n"/>
      <c r="F23" s="8" t="n"/>
      <c r="G23" s="8" t="n"/>
      <c r="H23" s="9">
        <f>IF(A23="",0,IF(C23="Resultado",F23,IF(C23="Azar",SUMPRODUCT(($B$24:$B$52=A23)*($E$24:$E$52)*($H$24:$H$52)),IF(C23="Decisión",IFERROR(MAXIFS($I$24:$I$52,$B$24:$B$52,A23),0),0))))</f>
        <v/>
      </c>
      <c r="I23" s="9">
        <f>IF(A23="",0,H23-G23)</f>
        <v/>
      </c>
      <c r="J23" s="6">
        <f>IFERROR(INDEX($C$3:$C$52,MATCH(B23,$A$3:$A$52,0)),"")</f>
        <v/>
      </c>
      <c r="K23" s="6">
        <f>IF(OR(B23="",J23&lt;&gt;"Decisión"),"",IF(ROUND(I23,2)=ROUND(MAXIFS($I$3:$I$52,$B$3:$B$52,B23),2),"Sí ✓",""))</f>
        <v/>
      </c>
    </row>
    <row r="24">
      <c r="A24" s="6" t="n"/>
      <c r="B24" s="6" t="n"/>
      <c r="C24" s="6" t="n"/>
      <c r="D24" s="6" t="n"/>
      <c r="E24" s="7" t="n"/>
      <c r="F24" s="8" t="n"/>
      <c r="G24" s="8" t="n"/>
      <c r="H24" s="9">
        <f>IF(A24="",0,IF(C24="Resultado",F24,IF(C24="Azar",SUMPRODUCT(($B$25:$B$52=A24)*($E$25:$E$52)*($H$25:$H$52)),IF(C24="Decisión",IFERROR(MAXIFS($I$25:$I$52,$B$25:$B$52,A24),0),0))))</f>
        <v/>
      </c>
      <c r="I24" s="9">
        <f>IF(A24="",0,H24-G24)</f>
        <v/>
      </c>
      <c r="J24" s="6">
        <f>IFERROR(INDEX($C$3:$C$52,MATCH(B24,$A$3:$A$52,0)),"")</f>
        <v/>
      </c>
      <c r="K24" s="6">
        <f>IF(OR(B24="",J24&lt;&gt;"Decisión"),"",IF(ROUND(I24,2)=ROUND(MAXIFS($I$3:$I$52,$B$3:$B$52,B24),2),"Sí ✓",""))</f>
        <v/>
      </c>
    </row>
    <row r="25">
      <c r="A25" s="6" t="n"/>
      <c r="B25" s="6" t="n"/>
      <c r="C25" s="6" t="n"/>
      <c r="D25" s="6" t="n"/>
      <c r="E25" s="7" t="n"/>
      <c r="F25" s="8" t="n"/>
      <c r="G25" s="8" t="n"/>
      <c r="H25" s="9">
        <f>IF(A25="",0,IF(C25="Resultado",F25,IF(C25="Azar",SUMPRODUCT(($B$26:$B$52=A25)*($E$26:$E$52)*($H$26:$H$52)),IF(C25="Decisión",IFERROR(MAXIFS($I$26:$I$52,$B$26:$B$52,A25),0),0))))</f>
        <v/>
      </c>
      <c r="I25" s="9">
        <f>IF(A25="",0,H25-G25)</f>
        <v/>
      </c>
      <c r="J25" s="6">
        <f>IFERROR(INDEX($C$3:$C$52,MATCH(B25,$A$3:$A$52,0)),"")</f>
        <v/>
      </c>
      <c r="K25" s="6">
        <f>IF(OR(B25="",J25&lt;&gt;"Decisión"),"",IF(ROUND(I25,2)=ROUND(MAXIFS($I$3:$I$52,$B$3:$B$52,B25),2),"Sí ✓",""))</f>
        <v/>
      </c>
    </row>
    <row r="26">
      <c r="A26" s="6" t="n"/>
      <c r="B26" s="6" t="n"/>
      <c r="C26" s="6" t="n"/>
      <c r="D26" s="6" t="n"/>
      <c r="E26" s="7" t="n"/>
      <c r="F26" s="8" t="n"/>
      <c r="G26" s="8" t="n"/>
      <c r="H26" s="9">
        <f>IF(A26="",0,IF(C26="Resultado",F26,IF(C26="Azar",SUMPRODUCT(($B$27:$B$52=A26)*($E$27:$E$52)*($H$27:$H$52)),IF(C26="Decisión",IFERROR(MAXIFS($I$27:$I$52,$B$27:$B$52,A26),0),0))))</f>
        <v/>
      </c>
      <c r="I26" s="9">
        <f>IF(A26="",0,H26-G26)</f>
        <v/>
      </c>
      <c r="J26" s="6">
        <f>IFERROR(INDEX($C$3:$C$52,MATCH(B26,$A$3:$A$52,0)),"")</f>
        <v/>
      </c>
      <c r="K26" s="6">
        <f>IF(OR(B26="",J26&lt;&gt;"Decisión"),"",IF(ROUND(I26,2)=ROUND(MAXIFS($I$3:$I$52,$B$3:$B$52,B26),2),"Sí ✓",""))</f>
        <v/>
      </c>
    </row>
    <row r="27">
      <c r="A27" s="6" t="n"/>
      <c r="B27" s="6" t="n"/>
      <c r="C27" s="6" t="n"/>
      <c r="D27" s="6" t="n"/>
      <c r="E27" s="7" t="n"/>
      <c r="F27" s="8" t="n"/>
      <c r="G27" s="8" t="n"/>
      <c r="H27" s="9">
        <f>IF(A27="",0,IF(C27="Resultado",F27,IF(C27="Azar",SUMPRODUCT(($B$28:$B$52=A27)*($E$28:$E$52)*($H$28:$H$52)),IF(C27="Decisión",IFERROR(MAXIFS($I$28:$I$52,$B$28:$B$52,A27),0),0))))</f>
        <v/>
      </c>
      <c r="I27" s="9">
        <f>IF(A27="",0,H27-G27)</f>
        <v/>
      </c>
      <c r="J27" s="6">
        <f>IFERROR(INDEX($C$3:$C$52,MATCH(B27,$A$3:$A$52,0)),"")</f>
        <v/>
      </c>
      <c r="K27" s="6">
        <f>IF(OR(B27="",J27&lt;&gt;"Decisión"),"",IF(ROUND(I27,2)=ROUND(MAXIFS($I$3:$I$52,$B$3:$B$52,B27),2),"Sí ✓",""))</f>
        <v/>
      </c>
    </row>
    <row r="28">
      <c r="A28" s="6" t="n"/>
      <c r="B28" s="6" t="n"/>
      <c r="C28" s="6" t="n"/>
      <c r="D28" s="6" t="n"/>
      <c r="E28" s="7" t="n"/>
      <c r="F28" s="8" t="n"/>
      <c r="G28" s="8" t="n"/>
      <c r="H28" s="9">
        <f>IF(A28="",0,IF(C28="Resultado",F28,IF(C28="Azar",SUMPRODUCT(($B$29:$B$52=A28)*($E$29:$E$52)*($H$29:$H$52)),IF(C28="Decisión",IFERROR(MAXIFS($I$29:$I$52,$B$29:$B$52,A28),0),0))))</f>
        <v/>
      </c>
      <c r="I28" s="9">
        <f>IF(A28="",0,H28-G28)</f>
        <v/>
      </c>
      <c r="J28" s="6">
        <f>IFERROR(INDEX($C$3:$C$52,MATCH(B28,$A$3:$A$52,0)),"")</f>
        <v/>
      </c>
      <c r="K28" s="6">
        <f>IF(OR(B28="",J28&lt;&gt;"Decisión"),"",IF(ROUND(I28,2)=ROUND(MAXIFS($I$3:$I$52,$B$3:$B$52,B28),2),"Sí ✓",""))</f>
        <v/>
      </c>
    </row>
    <row r="29">
      <c r="A29" s="6" t="n"/>
      <c r="B29" s="6" t="n"/>
      <c r="C29" s="6" t="n"/>
      <c r="D29" s="6" t="n"/>
      <c r="E29" s="7" t="n"/>
      <c r="F29" s="8" t="n"/>
      <c r="G29" s="8" t="n"/>
      <c r="H29" s="9">
        <f>IF(A29="",0,IF(C29="Resultado",F29,IF(C29="Azar",SUMPRODUCT(($B$30:$B$52=A29)*($E$30:$E$52)*($H$30:$H$52)),IF(C29="Decisión",IFERROR(MAXIFS($I$30:$I$52,$B$30:$B$52,A29),0),0))))</f>
        <v/>
      </c>
      <c r="I29" s="9">
        <f>IF(A29="",0,H29-G29)</f>
        <v/>
      </c>
      <c r="J29" s="6">
        <f>IFERROR(INDEX($C$3:$C$52,MATCH(B29,$A$3:$A$52,0)),"")</f>
        <v/>
      </c>
      <c r="K29" s="6">
        <f>IF(OR(B29="",J29&lt;&gt;"Decisión"),"",IF(ROUND(I29,2)=ROUND(MAXIFS($I$3:$I$52,$B$3:$B$52,B29),2),"Sí ✓",""))</f>
        <v/>
      </c>
    </row>
    <row r="30">
      <c r="A30" s="6" t="n"/>
      <c r="B30" s="6" t="n"/>
      <c r="C30" s="6" t="n"/>
      <c r="D30" s="6" t="n"/>
      <c r="E30" s="7" t="n"/>
      <c r="F30" s="8" t="n"/>
      <c r="G30" s="8" t="n"/>
      <c r="H30" s="9">
        <f>IF(A30="",0,IF(C30="Resultado",F30,IF(C30="Azar",SUMPRODUCT(($B$31:$B$52=A30)*($E$31:$E$52)*($H$31:$H$52)),IF(C30="Decisión",IFERROR(MAXIFS($I$31:$I$52,$B$31:$B$52,A30),0),0))))</f>
        <v/>
      </c>
      <c r="I30" s="9">
        <f>IF(A30="",0,H30-G30)</f>
        <v/>
      </c>
      <c r="J30" s="6">
        <f>IFERROR(INDEX($C$3:$C$52,MATCH(B30,$A$3:$A$52,0)),"")</f>
        <v/>
      </c>
      <c r="K30" s="6">
        <f>IF(OR(B30="",J30&lt;&gt;"Decisión"),"",IF(ROUND(I30,2)=ROUND(MAXIFS($I$3:$I$52,$B$3:$B$52,B30),2),"Sí ✓",""))</f>
        <v/>
      </c>
    </row>
    <row r="31">
      <c r="A31" s="6" t="n"/>
      <c r="B31" s="6" t="n"/>
      <c r="C31" s="6" t="n"/>
      <c r="D31" s="6" t="n"/>
      <c r="E31" s="7" t="n"/>
      <c r="F31" s="8" t="n"/>
      <c r="G31" s="8" t="n"/>
      <c r="H31" s="9">
        <f>IF(A31="",0,IF(C31="Resultado",F31,IF(C31="Azar",SUMPRODUCT(($B$32:$B$52=A31)*($E$32:$E$52)*($H$32:$H$52)),IF(C31="Decisión",IFERROR(MAXIFS($I$32:$I$52,$B$32:$B$52,A31),0),0))))</f>
        <v/>
      </c>
      <c r="I31" s="9">
        <f>IF(A31="",0,H31-G31)</f>
        <v/>
      </c>
      <c r="J31" s="6">
        <f>IFERROR(INDEX($C$3:$C$52,MATCH(B31,$A$3:$A$52,0)),"")</f>
        <v/>
      </c>
      <c r="K31" s="6">
        <f>IF(OR(B31="",J31&lt;&gt;"Decisión"),"",IF(ROUND(I31,2)=ROUND(MAXIFS($I$3:$I$52,$B$3:$B$52,B31),2),"Sí ✓",""))</f>
        <v/>
      </c>
    </row>
    <row r="32">
      <c r="A32" s="6" t="n"/>
      <c r="B32" s="6" t="n"/>
      <c r="C32" s="6" t="n"/>
      <c r="D32" s="6" t="n"/>
      <c r="E32" s="7" t="n"/>
      <c r="F32" s="8" t="n"/>
      <c r="G32" s="8" t="n"/>
      <c r="H32" s="9">
        <f>IF(A32="",0,IF(C32="Resultado",F32,IF(C32="Azar",SUMPRODUCT(($B$33:$B$52=A32)*($E$33:$E$52)*($H$33:$H$52)),IF(C32="Decisión",IFERROR(MAXIFS($I$33:$I$52,$B$33:$B$52,A32),0),0))))</f>
        <v/>
      </c>
      <c r="I32" s="9">
        <f>IF(A32="",0,H32-G32)</f>
        <v/>
      </c>
      <c r="J32" s="6">
        <f>IFERROR(INDEX($C$3:$C$52,MATCH(B32,$A$3:$A$52,0)),"")</f>
        <v/>
      </c>
      <c r="K32" s="6">
        <f>IF(OR(B32="",J32&lt;&gt;"Decisión"),"",IF(ROUND(I32,2)=ROUND(MAXIFS($I$3:$I$52,$B$3:$B$52,B32),2),"Sí ✓",""))</f>
        <v/>
      </c>
    </row>
    <row r="33">
      <c r="A33" s="6" t="n"/>
      <c r="B33" s="6" t="n"/>
      <c r="C33" s="6" t="n"/>
      <c r="D33" s="6" t="n"/>
      <c r="E33" s="7" t="n"/>
      <c r="F33" s="8" t="n"/>
      <c r="G33" s="8" t="n"/>
      <c r="H33" s="9">
        <f>IF(A33="",0,IF(C33="Resultado",F33,IF(C33="Azar",SUMPRODUCT(($B$34:$B$52=A33)*($E$34:$E$52)*($H$34:$H$52)),IF(C33="Decisión",IFERROR(MAXIFS($I$34:$I$52,$B$34:$B$52,A33),0),0))))</f>
        <v/>
      </c>
      <c r="I33" s="9">
        <f>IF(A33="",0,H33-G33)</f>
        <v/>
      </c>
      <c r="J33" s="6">
        <f>IFERROR(INDEX($C$3:$C$52,MATCH(B33,$A$3:$A$52,0)),"")</f>
        <v/>
      </c>
      <c r="K33" s="6">
        <f>IF(OR(B33="",J33&lt;&gt;"Decisión"),"",IF(ROUND(I33,2)=ROUND(MAXIFS($I$3:$I$52,$B$3:$B$52,B33),2),"Sí ✓",""))</f>
        <v/>
      </c>
    </row>
    <row r="34">
      <c r="A34" s="6" t="n"/>
      <c r="B34" s="6" t="n"/>
      <c r="C34" s="6" t="n"/>
      <c r="D34" s="6" t="n"/>
      <c r="E34" s="7" t="n"/>
      <c r="F34" s="8" t="n"/>
      <c r="G34" s="8" t="n"/>
      <c r="H34" s="9">
        <f>IF(A34="",0,IF(C34="Resultado",F34,IF(C34="Azar",SUMPRODUCT(($B$35:$B$52=A34)*($E$35:$E$52)*($H$35:$H$52)),IF(C34="Decisión",IFERROR(MAXIFS($I$35:$I$52,$B$35:$B$52,A34),0),0))))</f>
        <v/>
      </c>
      <c r="I34" s="9">
        <f>IF(A34="",0,H34-G34)</f>
        <v/>
      </c>
      <c r="J34" s="6">
        <f>IFERROR(INDEX($C$3:$C$52,MATCH(B34,$A$3:$A$52,0)),"")</f>
        <v/>
      </c>
      <c r="K34" s="6">
        <f>IF(OR(B34="",J34&lt;&gt;"Decisión"),"",IF(ROUND(I34,2)=ROUND(MAXIFS($I$3:$I$52,$B$3:$B$52,B34),2),"Sí ✓",""))</f>
        <v/>
      </c>
    </row>
    <row r="35">
      <c r="A35" s="6" t="n"/>
      <c r="B35" s="6" t="n"/>
      <c r="C35" s="6" t="n"/>
      <c r="D35" s="6" t="n"/>
      <c r="E35" s="7" t="n"/>
      <c r="F35" s="8" t="n"/>
      <c r="G35" s="8" t="n"/>
      <c r="H35" s="9">
        <f>IF(A35="",0,IF(C35="Resultado",F35,IF(C35="Azar",SUMPRODUCT(($B$36:$B$52=A35)*($E$36:$E$52)*($H$36:$H$52)),IF(C35="Decisión",IFERROR(MAXIFS($I$36:$I$52,$B$36:$B$52,A35),0),0))))</f>
        <v/>
      </c>
      <c r="I35" s="9">
        <f>IF(A35="",0,H35-G35)</f>
        <v/>
      </c>
      <c r="J35" s="6">
        <f>IFERROR(INDEX($C$3:$C$52,MATCH(B35,$A$3:$A$52,0)),"")</f>
        <v/>
      </c>
      <c r="K35" s="6">
        <f>IF(OR(B35="",J35&lt;&gt;"Decisión"),"",IF(ROUND(I35,2)=ROUND(MAXIFS($I$3:$I$52,$B$3:$B$52,B35),2),"Sí ✓",""))</f>
        <v/>
      </c>
    </row>
    <row r="36">
      <c r="A36" s="6" t="n"/>
      <c r="B36" s="6" t="n"/>
      <c r="C36" s="6" t="n"/>
      <c r="D36" s="6" t="n"/>
      <c r="E36" s="7" t="n"/>
      <c r="F36" s="8" t="n"/>
      <c r="G36" s="8" t="n"/>
      <c r="H36" s="9">
        <f>IF(A36="",0,IF(C36="Resultado",F36,IF(C36="Azar",SUMPRODUCT(($B$37:$B$52=A36)*($E$37:$E$52)*($H$37:$H$52)),IF(C36="Decisión",IFERROR(MAXIFS($I$37:$I$52,$B$37:$B$52,A36),0),0))))</f>
        <v/>
      </c>
      <c r="I36" s="9">
        <f>IF(A36="",0,H36-G36)</f>
        <v/>
      </c>
      <c r="J36" s="6">
        <f>IFERROR(INDEX($C$3:$C$52,MATCH(B36,$A$3:$A$52,0)),"")</f>
        <v/>
      </c>
      <c r="K36" s="6">
        <f>IF(OR(B36="",J36&lt;&gt;"Decisión"),"",IF(ROUND(I36,2)=ROUND(MAXIFS($I$3:$I$52,$B$3:$B$52,B36),2),"Sí ✓",""))</f>
        <v/>
      </c>
    </row>
    <row r="37">
      <c r="A37" s="6" t="n"/>
      <c r="B37" s="6" t="n"/>
      <c r="C37" s="6" t="n"/>
      <c r="D37" s="6" t="n"/>
      <c r="E37" s="7" t="n"/>
      <c r="F37" s="8" t="n"/>
      <c r="G37" s="8" t="n"/>
      <c r="H37" s="9">
        <f>IF(A37="",0,IF(C37="Resultado",F37,IF(C37="Azar",SUMPRODUCT(($B$38:$B$52=A37)*($E$38:$E$52)*($H$38:$H$52)),IF(C37="Decisión",IFERROR(MAXIFS($I$38:$I$52,$B$38:$B$52,A37),0),0))))</f>
        <v/>
      </c>
      <c r="I37" s="9">
        <f>IF(A37="",0,H37-G37)</f>
        <v/>
      </c>
      <c r="J37" s="6">
        <f>IFERROR(INDEX($C$3:$C$52,MATCH(B37,$A$3:$A$52,0)),"")</f>
        <v/>
      </c>
      <c r="K37" s="6">
        <f>IF(OR(B37="",J37&lt;&gt;"Decisión"),"",IF(ROUND(I37,2)=ROUND(MAXIFS($I$3:$I$52,$B$3:$B$52,B37),2),"Sí ✓",""))</f>
        <v/>
      </c>
    </row>
    <row r="38">
      <c r="A38" s="6" t="n"/>
      <c r="B38" s="6" t="n"/>
      <c r="C38" s="6" t="n"/>
      <c r="D38" s="6" t="n"/>
      <c r="E38" s="7" t="n"/>
      <c r="F38" s="8" t="n"/>
      <c r="G38" s="8" t="n"/>
      <c r="H38" s="9">
        <f>IF(A38="",0,IF(C38="Resultado",F38,IF(C38="Azar",SUMPRODUCT(($B$39:$B$52=A38)*($E$39:$E$52)*($H$39:$H$52)),IF(C38="Decisión",IFERROR(MAXIFS($I$39:$I$52,$B$39:$B$52,A38),0),0))))</f>
        <v/>
      </c>
      <c r="I38" s="9">
        <f>IF(A38="",0,H38-G38)</f>
        <v/>
      </c>
      <c r="J38" s="6">
        <f>IFERROR(INDEX($C$3:$C$52,MATCH(B38,$A$3:$A$52,0)),"")</f>
        <v/>
      </c>
      <c r="K38" s="6">
        <f>IF(OR(B38="",J38&lt;&gt;"Decisión"),"",IF(ROUND(I38,2)=ROUND(MAXIFS($I$3:$I$52,$B$3:$B$52,B38),2),"Sí ✓",""))</f>
        <v/>
      </c>
    </row>
    <row r="39">
      <c r="A39" s="6" t="n"/>
      <c r="B39" s="6" t="n"/>
      <c r="C39" s="6" t="n"/>
      <c r="D39" s="6" t="n"/>
      <c r="E39" s="7" t="n"/>
      <c r="F39" s="8" t="n"/>
      <c r="G39" s="8" t="n"/>
      <c r="H39" s="9">
        <f>IF(A39="",0,IF(C39="Resultado",F39,IF(C39="Azar",SUMPRODUCT(($B$40:$B$52=A39)*($E$40:$E$52)*($H$40:$H$52)),IF(C39="Decisión",IFERROR(MAXIFS($I$40:$I$52,$B$40:$B$52,A39),0),0))))</f>
        <v/>
      </c>
      <c r="I39" s="9">
        <f>IF(A39="",0,H39-G39)</f>
        <v/>
      </c>
      <c r="J39" s="6">
        <f>IFERROR(INDEX($C$3:$C$52,MATCH(B39,$A$3:$A$52,0)),"")</f>
        <v/>
      </c>
      <c r="K39" s="6">
        <f>IF(OR(B39="",J39&lt;&gt;"Decisión"),"",IF(ROUND(I39,2)=ROUND(MAXIFS($I$3:$I$52,$B$3:$B$52,B39),2),"Sí ✓",""))</f>
        <v/>
      </c>
    </row>
    <row r="40">
      <c r="A40" s="6" t="n"/>
      <c r="B40" s="6" t="n"/>
      <c r="C40" s="6" t="n"/>
      <c r="D40" s="6" t="n"/>
      <c r="E40" s="7" t="n"/>
      <c r="F40" s="8" t="n"/>
      <c r="G40" s="8" t="n"/>
      <c r="H40" s="9">
        <f>IF(A40="",0,IF(C40="Resultado",F40,IF(C40="Azar",SUMPRODUCT(($B$41:$B$52=A40)*($E$41:$E$52)*($H$41:$H$52)),IF(C40="Decisión",IFERROR(MAXIFS($I$41:$I$52,$B$41:$B$52,A40),0),0))))</f>
        <v/>
      </c>
      <c r="I40" s="9">
        <f>IF(A40="",0,H40-G40)</f>
        <v/>
      </c>
      <c r="J40" s="6">
        <f>IFERROR(INDEX($C$3:$C$52,MATCH(B40,$A$3:$A$52,0)),"")</f>
        <v/>
      </c>
      <c r="K40" s="6">
        <f>IF(OR(B40="",J40&lt;&gt;"Decisión"),"",IF(ROUND(I40,2)=ROUND(MAXIFS($I$3:$I$52,$B$3:$B$52,B40),2),"Sí ✓",""))</f>
        <v/>
      </c>
    </row>
    <row r="41">
      <c r="A41" s="6" t="n"/>
      <c r="B41" s="6" t="n"/>
      <c r="C41" s="6" t="n"/>
      <c r="D41" s="6" t="n"/>
      <c r="E41" s="7" t="n"/>
      <c r="F41" s="8" t="n"/>
      <c r="G41" s="8" t="n"/>
      <c r="H41" s="9">
        <f>IF(A41="",0,IF(C41="Resultado",F41,IF(C41="Azar",SUMPRODUCT(($B$42:$B$52=A41)*($E$42:$E$52)*($H$42:$H$52)),IF(C41="Decisión",IFERROR(MAXIFS($I$42:$I$52,$B$42:$B$52,A41),0),0))))</f>
        <v/>
      </c>
      <c r="I41" s="9">
        <f>IF(A41="",0,H41-G41)</f>
        <v/>
      </c>
      <c r="J41" s="6">
        <f>IFERROR(INDEX($C$3:$C$52,MATCH(B41,$A$3:$A$52,0)),"")</f>
        <v/>
      </c>
      <c r="K41" s="6">
        <f>IF(OR(B41="",J41&lt;&gt;"Decisión"),"",IF(ROUND(I41,2)=ROUND(MAXIFS($I$3:$I$52,$B$3:$B$52,B41),2),"Sí ✓",""))</f>
        <v/>
      </c>
    </row>
    <row r="42">
      <c r="A42" s="6" t="n"/>
      <c r="B42" s="6" t="n"/>
      <c r="C42" s="6" t="n"/>
      <c r="D42" s="6" t="n"/>
      <c r="E42" s="7" t="n"/>
      <c r="F42" s="8" t="n"/>
      <c r="G42" s="8" t="n"/>
      <c r="H42" s="9">
        <f>IF(A42="",0,IF(C42="Resultado",F42,IF(C42="Azar",SUMPRODUCT(($B$43:$B$52=A42)*($E$43:$E$52)*($H$43:$H$52)),IF(C42="Decisión",IFERROR(MAXIFS($I$43:$I$52,$B$43:$B$52,A42),0),0))))</f>
        <v/>
      </c>
      <c r="I42" s="9">
        <f>IF(A42="",0,H42-G42)</f>
        <v/>
      </c>
      <c r="J42" s="6">
        <f>IFERROR(INDEX($C$3:$C$52,MATCH(B42,$A$3:$A$52,0)),"")</f>
        <v/>
      </c>
      <c r="K42" s="6">
        <f>IF(OR(B42="",J42&lt;&gt;"Decisión"),"",IF(ROUND(I42,2)=ROUND(MAXIFS($I$3:$I$52,$B$3:$B$52,B42),2),"Sí ✓",""))</f>
        <v/>
      </c>
    </row>
    <row r="43">
      <c r="A43" s="6" t="n"/>
      <c r="B43" s="6" t="n"/>
      <c r="C43" s="6" t="n"/>
      <c r="D43" s="6" t="n"/>
      <c r="E43" s="7" t="n"/>
      <c r="F43" s="8" t="n"/>
      <c r="G43" s="8" t="n"/>
      <c r="H43" s="9">
        <f>IF(A43="",0,IF(C43="Resultado",F43,IF(C43="Azar",SUMPRODUCT(($B$44:$B$52=A43)*($E$44:$E$52)*($H$44:$H$52)),IF(C43="Decisión",IFERROR(MAXIFS($I$44:$I$52,$B$44:$B$52,A43),0),0))))</f>
        <v/>
      </c>
      <c r="I43" s="9">
        <f>IF(A43="",0,H43-G43)</f>
        <v/>
      </c>
      <c r="J43" s="6">
        <f>IFERROR(INDEX($C$3:$C$52,MATCH(B43,$A$3:$A$52,0)),"")</f>
        <v/>
      </c>
      <c r="K43" s="6">
        <f>IF(OR(B43="",J43&lt;&gt;"Decisión"),"",IF(ROUND(I43,2)=ROUND(MAXIFS($I$3:$I$52,$B$3:$B$52,B43),2),"Sí ✓",""))</f>
        <v/>
      </c>
    </row>
    <row r="44">
      <c r="A44" s="6" t="n"/>
      <c r="B44" s="6" t="n"/>
      <c r="C44" s="6" t="n"/>
      <c r="D44" s="6" t="n"/>
      <c r="E44" s="7" t="n"/>
      <c r="F44" s="8" t="n"/>
      <c r="G44" s="8" t="n"/>
      <c r="H44" s="9">
        <f>IF(A44="",0,IF(C44="Resultado",F44,IF(C44="Azar",SUMPRODUCT(($B$45:$B$52=A44)*($E$45:$E$52)*($H$45:$H$52)),IF(C44="Decisión",IFERROR(MAXIFS($I$45:$I$52,$B$45:$B$52,A44),0),0))))</f>
        <v/>
      </c>
      <c r="I44" s="9">
        <f>IF(A44="",0,H44-G44)</f>
        <v/>
      </c>
      <c r="J44" s="6">
        <f>IFERROR(INDEX($C$3:$C$52,MATCH(B44,$A$3:$A$52,0)),"")</f>
        <v/>
      </c>
      <c r="K44" s="6">
        <f>IF(OR(B44="",J44&lt;&gt;"Decisión"),"",IF(ROUND(I44,2)=ROUND(MAXIFS($I$3:$I$52,$B$3:$B$52,B44),2),"Sí ✓",""))</f>
        <v/>
      </c>
    </row>
    <row r="45">
      <c r="A45" s="6" t="n"/>
      <c r="B45" s="6" t="n"/>
      <c r="C45" s="6" t="n"/>
      <c r="D45" s="6" t="n"/>
      <c r="E45" s="7" t="n"/>
      <c r="F45" s="8" t="n"/>
      <c r="G45" s="8" t="n"/>
      <c r="H45" s="9">
        <f>IF(A45="",0,IF(C45="Resultado",F45,IF(C45="Azar",SUMPRODUCT(($B$46:$B$52=A45)*($E$46:$E$52)*($H$46:$H$52)),IF(C45="Decisión",IFERROR(MAXIFS($I$46:$I$52,$B$46:$B$52,A45),0),0))))</f>
        <v/>
      </c>
      <c r="I45" s="9">
        <f>IF(A45="",0,H45-G45)</f>
        <v/>
      </c>
      <c r="J45" s="6">
        <f>IFERROR(INDEX($C$3:$C$52,MATCH(B45,$A$3:$A$52,0)),"")</f>
        <v/>
      </c>
      <c r="K45" s="6">
        <f>IF(OR(B45="",J45&lt;&gt;"Decisión"),"",IF(ROUND(I45,2)=ROUND(MAXIFS($I$3:$I$52,$B$3:$B$52,B45),2),"Sí ✓",""))</f>
        <v/>
      </c>
    </row>
    <row r="46">
      <c r="A46" s="6" t="n"/>
      <c r="B46" s="6" t="n"/>
      <c r="C46" s="6" t="n"/>
      <c r="D46" s="6" t="n"/>
      <c r="E46" s="7" t="n"/>
      <c r="F46" s="8" t="n"/>
      <c r="G46" s="8" t="n"/>
      <c r="H46" s="9">
        <f>IF(A46="",0,IF(C46="Resultado",F46,IF(C46="Azar",SUMPRODUCT(($B$47:$B$52=A46)*($E$47:$E$52)*($H$47:$H$52)),IF(C46="Decisión",IFERROR(MAXIFS($I$47:$I$52,$B$47:$B$52,A46),0),0))))</f>
        <v/>
      </c>
      <c r="I46" s="9">
        <f>IF(A46="",0,H46-G46)</f>
        <v/>
      </c>
      <c r="J46" s="6">
        <f>IFERROR(INDEX($C$3:$C$52,MATCH(B46,$A$3:$A$52,0)),"")</f>
        <v/>
      </c>
      <c r="K46" s="6">
        <f>IF(OR(B46="",J46&lt;&gt;"Decisión"),"",IF(ROUND(I46,2)=ROUND(MAXIFS($I$3:$I$52,$B$3:$B$52,B46),2),"Sí ✓",""))</f>
        <v/>
      </c>
    </row>
    <row r="47">
      <c r="A47" s="6" t="n"/>
      <c r="B47" s="6" t="n"/>
      <c r="C47" s="6" t="n"/>
      <c r="D47" s="6" t="n"/>
      <c r="E47" s="7" t="n"/>
      <c r="F47" s="8" t="n"/>
      <c r="G47" s="8" t="n"/>
      <c r="H47" s="9">
        <f>IF(A47="",0,IF(C47="Resultado",F47,IF(C47="Azar",SUMPRODUCT(($B$48:$B$52=A47)*($E$48:$E$52)*($H$48:$H$52)),IF(C47="Decisión",IFERROR(MAXIFS($I$48:$I$52,$B$48:$B$52,A47),0),0))))</f>
        <v/>
      </c>
      <c r="I47" s="9">
        <f>IF(A47="",0,H47-G47)</f>
        <v/>
      </c>
      <c r="J47" s="6">
        <f>IFERROR(INDEX($C$3:$C$52,MATCH(B47,$A$3:$A$52,0)),"")</f>
        <v/>
      </c>
      <c r="K47" s="6">
        <f>IF(OR(B47="",J47&lt;&gt;"Decisión"),"",IF(ROUND(I47,2)=ROUND(MAXIFS($I$3:$I$52,$B$3:$B$52,B47),2),"Sí ✓",""))</f>
        <v/>
      </c>
    </row>
    <row r="48">
      <c r="A48" s="6" t="n"/>
      <c r="B48" s="6" t="n"/>
      <c r="C48" s="6" t="n"/>
      <c r="D48" s="6" t="n"/>
      <c r="E48" s="7" t="n"/>
      <c r="F48" s="8" t="n"/>
      <c r="G48" s="8" t="n"/>
      <c r="H48" s="9">
        <f>IF(A48="",0,IF(C48="Resultado",F48,IF(C48="Azar",SUMPRODUCT(($B$49:$B$52=A48)*($E$49:$E$52)*($H$49:$H$52)),IF(C48="Decisión",IFERROR(MAXIFS($I$49:$I$52,$B$49:$B$52,A48),0),0))))</f>
        <v/>
      </c>
      <c r="I48" s="9">
        <f>IF(A48="",0,H48-G48)</f>
        <v/>
      </c>
      <c r="J48" s="6">
        <f>IFERROR(INDEX($C$3:$C$52,MATCH(B48,$A$3:$A$52,0)),"")</f>
        <v/>
      </c>
      <c r="K48" s="6">
        <f>IF(OR(B48="",J48&lt;&gt;"Decisión"),"",IF(ROUND(I48,2)=ROUND(MAXIFS($I$3:$I$52,$B$3:$B$52,B48),2),"Sí ✓",""))</f>
        <v/>
      </c>
    </row>
    <row r="49">
      <c r="A49" s="6" t="n"/>
      <c r="B49" s="6" t="n"/>
      <c r="C49" s="6" t="n"/>
      <c r="D49" s="6" t="n"/>
      <c r="E49" s="7" t="n"/>
      <c r="F49" s="8" t="n"/>
      <c r="G49" s="8" t="n"/>
      <c r="H49" s="9">
        <f>IF(A49="",0,IF(C49="Resultado",F49,IF(C49="Azar",SUMPRODUCT(($B$50:$B$52=A49)*($E$50:$E$52)*($H$50:$H$52)),IF(C49="Decisión",IFERROR(MAXIFS($I$50:$I$52,$B$50:$B$52,A49),0),0))))</f>
        <v/>
      </c>
      <c r="I49" s="9">
        <f>IF(A49="",0,H49-G49)</f>
        <v/>
      </c>
      <c r="J49" s="6">
        <f>IFERROR(INDEX($C$3:$C$52,MATCH(B49,$A$3:$A$52,0)),"")</f>
        <v/>
      </c>
      <c r="K49" s="6">
        <f>IF(OR(B49="",J49&lt;&gt;"Decisión"),"",IF(ROUND(I49,2)=ROUND(MAXIFS($I$3:$I$52,$B$3:$B$52,B49),2),"Sí ✓",""))</f>
        <v/>
      </c>
    </row>
    <row r="50">
      <c r="A50" s="6" t="n"/>
      <c r="B50" s="6" t="n"/>
      <c r="C50" s="6" t="n"/>
      <c r="D50" s="6" t="n"/>
      <c r="E50" s="7" t="n"/>
      <c r="F50" s="8" t="n"/>
      <c r="G50" s="8" t="n"/>
      <c r="H50" s="9">
        <f>IF(A50="",0,IF(C50="Resultado",F50,IF(C50="Azar",SUMPRODUCT(($B$51:$B$52=A50)*($E$51:$E$52)*($H$51:$H$52)),IF(C50="Decisión",IFERROR(MAXIFS($I$51:$I$52,$B$51:$B$52,A50),0),0))))</f>
        <v/>
      </c>
      <c r="I50" s="9">
        <f>IF(A50="",0,H50-G50)</f>
        <v/>
      </c>
      <c r="J50" s="6">
        <f>IFERROR(INDEX($C$3:$C$52,MATCH(B50,$A$3:$A$52,0)),"")</f>
        <v/>
      </c>
      <c r="K50" s="6">
        <f>IF(OR(B50="",J50&lt;&gt;"Decisión"),"",IF(ROUND(I50,2)=ROUND(MAXIFS($I$3:$I$52,$B$3:$B$52,B50),2),"Sí ✓",""))</f>
        <v/>
      </c>
    </row>
    <row r="51">
      <c r="A51" s="6" t="n"/>
      <c r="B51" s="6" t="n"/>
      <c r="C51" s="6" t="n"/>
      <c r="D51" s="6" t="n"/>
      <c r="E51" s="7" t="n"/>
      <c r="F51" s="8" t="n"/>
      <c r="G51" s="8" t="n"/>
      <c r="H51" s="9">
        <f>IF(A51="",0,IF(C51="Resultado",F51,IF(C51="Azar",SUMPRODUCT(($B$52:$B$52=A51)*($E$52:$E$52)*($H$52:$H$52)),IF(C51="Decisión",IFERROR(MAXIFS($I$52:$I$52,$B$52:$B$52,A51),0),0))))</f>
        <v/>
      </c>
      <c r="I51" s="9">
        <f>IF(A51="",0,H51-G51)</f>
        <v/>
      </c>
      <c r="J51" s="6">
        <f>IFERROR(INDEX($C$3:$C$52,MATCH(B51,$A$3:$A$52,0)),"")</f>
        <v/>
      </c>
      <c r="K51" s="6">
        <f>IF(OR(B51="",J51&lt;&gt;"Decisión"),"",IF(ROUND(I51,2)=ROUND(MAXIFS($I$3:$I$52,$B$3:$B$52,B51),2),"Sí ✓",""))</f>
        <v/>
      </c>
    </row>
    <row r="52">
      <c r="A52" s="6" t="n"/>
      <c r="B52" s="6" t="n"/>
      <c r="C52" s="6" t="n"/>
      <c r="D52" s="6" t="n"/>
      <c r="E52" s="7" t="n"/>
      <c r="F52" s="8" t="n"/>
      <c r="G52" s="8" t="n"/>
      <c r="H52" s="9">
        <f>IF(A52="",0,IF(C52="Resultado",F52,IF(C52="Azar",0,IF(C52="Decisión",0,0))))</f>
        <v/>
      </c>
      <c r="I52" s="9">
        <f>IF(A52="",0,H52-G52)</f>
        <v/>
      </c>
      <c r="J52" s="6">
        <f>IFERROR(INDEX($C$3:$C$52,MATCH(B52,$A$3:$A$52,0)),"")</f>
        <v/>
      </c>
      <c r="K52" s="6">
        <f>IF(OR(B52="",J52&lt;&gt;"Decisión"),"",IF(ROUND(I52,2)=ROUND(MAXIFS($I$3:$I$52,$B$3:$B$52,B52),2),"Sí ✓",""))</f>
        <v/>
      </c>
    </row>
  </sheetData>
  <conditionalFormatting sqref="K3:K52">
    <cfRule type="expression" priority="1" dxfId="0">
      <formula>K3="Sí ✓"</formula>
    </cfRule>
  </conditionalFormatting>
  <dataValidations count="1">
    <dataValidation sqref="C3:C52" showDropDown="0" showInputMessage="0" showErrorMessage="0" allowBlank="1" type="list">
      <formula1>"Decisión,Azar,Resultado"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34" customWidth="1" min="4" max="4"/>
    <col width="13" customWidth="1" min="5" max="5"/>
    <col width="14" customWidth="1" min="6" max="6"/>
    <col width="14" customWidth="1" min="7" max="7"/>
    <col width="15" customWidth="1" min="8" max="8"/>
    <col width="16" customWidth="1" min="9" max="9"/>
    <col outlineLevel="1" width="20" customWidth="1" min="10" max="10"/>
    <col width="20" customWidth="1" min="11" max="11"/>
    <col width="3" customWidth="1" min="12" max="12"/>
  </cols>
  <sheetData>
    <row r="1">
      <c r="A1" s="4" t="inlineStr">
        <is>
          <t>Caso 1</t>
        </is>
      </c>
      <c r="M1" s="4" t="inlineStr">
        <is>
          <t>Diagrama</t>
        </is>
      </c>
    </row>
    <row r="2" ht="30" customHeight="1">
      <c r="A2" s="5" t="inlineStr">
        <is>
          <t>ID Nodo</t>
        </is>
      </c>
      <c r="B2" s="5" t="inlineStr">
        <is>
          <t>ID Padre</t>
        </is>
      </c>
      <c r="C2" s="5" t="inlineStr">
        <is>
          <t>Tipo</t>
        </is>
      </c>
      <c r="D2" s="5" t="inlineStr">
        <is>
          <t>Etiqueta</t>
        </is>
      </c>
      <c r="E2" s="5" t="inlineStr">
        <is>
          <t>Probabilidad</t>
        </is>
      </c>
      <c r="F2" s="5" t="inlineStr">
        <is>
          <t>Valor terminal</t>
        </is>
      </c>
      <c r="G2" s="5" t="inlineStr">
        <is>
          <t>Costo / inversión</t>
        </is>
      </c>
      <c r="H2" s="5" t="inlineStr">
        <is>
          <t>VME calculado</t>
        </is>
      </c>
      <c r="I2" s="5" t="inlineStr">
        <is>
          <t>Neto (VME - Costo)</t>
        </is>
      </c>
      <c r="J2" s="5" t="inlineStr">
        <is>
          <t>Tipo del padre (auxiliar)</t>
        </is>
      </c>
      <c r="K2" s="5" t="inlineStr">
        <is>
          <t>¿Mejor opción del padre?</t>
        </is>
      </c>
    </row>
    <row r="3">
      <c r="A3" s="6" t="n">
        <v>1</v>
      </c>
      <c r="B3" s="6" t="n"/>
      <c r="C3" s="6" t="inlineStr">
        <is>
          <t>Decisión</t>
        </is>
      </c>
      <c r="D3" s="6" t="inlineStr">
        <is>
          <t>¿Cuántas unidades comprar?</t>
        </is>
      </c>
      <c r="E3" s="7" t="n"/>
      <c r="F3" s="8" t="n"/>
      <c r="G3" s="8" t="n">
        <v>0</v>
      </c>
      <c r="H3" s="9">
        <f>IF(A3="",0,IF(C3="Resultado",F3,IF(C3="Azar",SUMPRODUCT(($B$4:$B$52=A3)*($E$4:$E$52)*($H$4:$H$52)),IF(C3="Decisión",IFERROR(MAXIFS($I$4:$I$52,$B$4:$B$52,A3),0),0))))</f>
        <v/>
      </c>
      <c r="I3" s="9">
        <f>IF(A3="",0,H3-G3)</f>
        <v/>
      </c>
      <c r="J3" s="6">
        <f>IFERROR(INDEX($C$3:$C$52,MATCH(B3,$A$3:$A$52,0)),"")</f>
        <v/>
      </c>
      <c r="K3" s="6">
        <f>IF(OR(B3="",J3&lt;&gt;"Decisión"),"",IF(ROUND(I3,2)=ROUND(MAXIFS($I$3:$I$52,$B$3:$B$52,B3),2),"Sí ✓",""))</f>
        <v/>
      </c>
    </row>
    <row r="4">
      <c r="A4" s="6" t="n">
        <v>2</v>
      </c>
      <c r="B4" s="6" t="n">
        <v>1</v>
      </c>
      <c r="C4" s="6" t="inlineStr">
        <is>
          <t>Azar</t>
        </is>
      </c>
      <c r="D4" s="6" t="inlineStr">
        <is>
          <t>1.000 unidades</t>
        </is>
      </c>
      <c r="E4" s="7" t="n"/>
      <c r="F4" s="8" t="n"/>
      <c r="G4" s="8" t="n">
        <v>0</v>
      </c>
      <c r="H4" s="9">
        <f>IF(A4="",0,IF(C4="Resultado",F4,IF(C4="Azar",SUMPRODUCT(($B$5:$B$52=A4)*($E$5:$E$52)*($H$5:$H$52)),IF(C4="Decisión",IFERROR(MAXIFS($I$5:$I$52,$B$5:$B$52,A4),0),0))))</f>
        <v/>
      </c>
      <c r="I4" s="9">
        <f>IF(A4="",0,H4-G4)</f>
        <v/>
      </c>
      <c r="J4" s="6">
        <f>IFERROR(INDEX($C$3:$C$52,MATCH(B4,$A$3:$A$52,0)),"")</f>
        <v/>
      </c>
      <c r="K4" s="6">
        <f>IF(OR(B4="",J4&lt;&gt;"Decisión"),"",IF(ROUND(I4,2)=ROUND(MAXIFS($I$3:$I$52,$B$3:$B$52,B4),2),"Sí ✓",""))</f>
        <v/>
      </c>
    </row>
    <row r="5">
      <c r="A5" s="6" t="n">
        <v>3</v>
      </c>
      <c r="B5" s="6" t="n">
        <v>1</v>
      </c>
      <c r="C5" s="6" t="inlineStr">
        <is>
          <t>Azar</t>
        </is>
      </c>
      <c r="D5" s="6" t="inlineStr">
        <is>
          <t>2.000 unidades</t>
        </is>
      </c>
      <c r="E5" s="7" t="n"/>
      <c r="F5" s="8" t="n"/>
      <c r="G5" s="8" t="n">
        <v>0</v>
      </c>
      <c r="H5" s="9">
        <f>IF(A5="",0,IF(C5="Resultado",F5,IF(C5="Azar",SUMPRODUCT(($B$6:$B$52=A5)*($E$6:$E$52)*($H$6:$H$52)),IF(C5="Decisión",IFERROR(MAXIFS($I$6:$I$52,$B$6:$B$52,A5),0),0))))</f>
        <v/>
      </c>
      <c r="I5" s="9">
        <f>IF(A5="",0,H5-G5)</f>
        <v/>
      </c>
      <c r="J5" s="6">
        <f>IFERROR(INDEX($C$3:$C$52,MATCH(B5,$A$3:$A$52,0)),"")</f>
        <v/>
      </c>
      <c r="K5" s="6">
        <f>IF(OR(B5="",J5&lt;&gt;"Decisión"),"",IF(ROUND(I5,2)=ROUND(MAXIFS($I$3:$I$52,$B$3:$B$52,B5),2),"Sí ✓",""))</f>
        <v/>
      </c>
    </row>
    <row r="6">
      <c r="A6" s="6" t="n">
        <v>4</v>
      </c>
      <c r="B6" s="6" t="n">
        <v>2</v>
      </c>
      <c r="C6" s="6" t="inlineStr">
        <is>
          <t>Resultado</t>
        </is>
      </c>
      <c r="D6" s="6" t="inlineStr">
        <is>
          <t>Demanda Alta</t>
        </is>
      </c>
      <c r="E6" s="7" t="n">
        <v>0.6</v>
      </c>
      <c r="F6" s="8" t="n">
        <v>30000</v>
      </c>
      <c r="G6" s="8" t="n">
        <v>0</v>
      </c>
      <c r="H6" s="9">
        <f>IF(A6="",0,IF(C6="Resultado",F6,IF(C6="Azar",SUMPRODUCT(($B$7:$B$52=A6)*($E$7:$E$52)*($H$7:$H$52)),IF(C6="Decisión",IFERROR(MAXIFS($I$7:$I$52,$B$7:$B$52,A6),0),0))))</f>
        <v/>
      </c>
      <c r="I6" s="9">
        <f>IF(A6="",0,H6-G6)</f>
        <v/>
      </c>
      <c r="J6" s="6">
        <f>IFERROR(INDEX($C$3:$C$52,MATCH(B6,$A$3:$A$52,0)),"")</f>
        <v/>
      </c>
      <c r="K6" s="6">
        <f>IF(OR(B6="",J6&lt;&gt;"Decisión"),"",IF(ROUND(I6,2)=ROUND(MAXIFS($I$3:$I$52,$B$3:$B$52,B6),2),"Sí ✓",""))</f>
        <v/>
      </c>
    </row>
    <row r="7">
      <c r="A7" s="6" t="n">
        <v>5</v>
      </c>
      <c r="B7" s="6" t="n">
        <v>2</v>
      </c>
      <c r="C7" s="6" t="inlineStr">
        <is>
          <t>Resultado</t>
        </is>
      </c>
      <c r="D7" s="6" t="inlineStr">
        <is>
          <t>Demanda Baja</t>
        </is>
      </c>
      <c r="E7" s="7" t="n">
        <v>0.4</v>
      </c>
      <c r="F7" s="8" t="n">
        <v>20000</v>
      </c>
      <c r="G7" s="8" t="n">
        <v>0</v>
      </c>
      <c r="H7" s="9">
        <f>IF(A7="",0,IF(C7="Resultado",F7,IF(C7="Azar",SUMPRODUCT(($B$8:$B$52=A7)*($E$8:$E$52)*($H$8:$H$52)),IF(C7="Decisión",IFERROR(MAXIFS($I$8:$I$52,$B$8:$B$52,A7),0),0))))</f>
        <v/>
      </c>
      <c r="I7" s="9">
        <f>IF(A7="",0,H7-G7)</f>
        <v/>
      </c>
      <c r="J7" s="6">
        <f>IFERROR(INDEX($C$3:$C$52,MATCH(B7,$A$3:$A$52,0)),"")</f>
        <v/>
      </c>
      <c r="K7" s="6">
        <f>IF(OR(B7="",J7&lt;&gt;"Decisión"),"",IF(ROUND(I7,2)=ROUND(MAXIFS($I$3:$I$52,$B$3:$B$52,B7),2),"Sí ✓",""))</f>
        <v/>
      </c>
    </row>
    <row r="8">
      <c r="A8" s="6" t="n">
        <v>6</v>
      </c>
      <c r="B8" s="6" t="n">
        <v>3</v>
      </c>
      <c r="C8" s="6" t="inlineStr">
        <is>
          <t>Resultado</t>
        </is>
      </c>
      <c r="D8" s="6" t="inlineStr">
        <is>
          <t>Demanda Alta</t>
        </is>
      </c>
      <c r="E8" s="7" t="n">
        <v>0.6</v>
      </c>
      <c r="F8" s="8" t="n">
        <v>45000</v>
      </c>
      <c r="G8" s="8" t="n">
        <v>0</v>
      </c>
      <c r="H8" s="9">
        <f>IF(A8="",0,IF(C8="Resultado",F8,IF(C8="Azar",SUMPRODUCT(($B$9:$B$52=A8)*($E$9:$E$52)*($H$9:$H$52)),IF(C8="Decisión",IFERROR(MAXIFS($I$9:$I$52,$B$9:$B$52,A8),0),0))))</f>
        <v/>
      </c>
      <c r="I8" s="9">
        <f>IF(A8="",0,H8-G8)</f>
        <v/>
      </c>
      <c r="J8" s="6">
        <f>IFERROR(INDEX($C$3:$C$52,MATCH(B8,$A$3:$A$52,0)),"")</f>
        <v/>
      </c>
      <c r="K8" s="6">
        <f>IF(OR(B8="",J8&lt;&gt;"Decisión"),"",IF(ROUND(I8,2)=ROUND(MAXIFS($I$3:$I$52,$B$3:$B$52,B8),2),"Sí ✓",""))</f>
        <v/>
      </c>
    </row>
    <row r="9">
      <c r="A9" s="6" t="n">
        <v>7</v>
      </c>
      <c r="B9" s="6" t="n">
        <v>3</v>
      </c>
      <c r="C9" s="6" t="inlineStr">
        <is>
          <t>Resultado</t>
        </is>
      </c>
      <c r="D9" s="6" t="inlineStr">
        <is>
          <t>Demanda Baja</t>
        </is>
      </c>
      <c r="E9" s="7" t="n">
        <v>0.4</v>
      </c>
      <c r="F9" s="8" t="n">
        <v>5000</v>
      </c>
      <c r="G9" s="8" t="n">
        <v>0</v>
      </c>
      <c r="H9" s="9">
        <f>IF(A9="",0,IF(C9="Resultado",F9,IF(C9="Azar",SUMPRODUCT(($B$10:$B$52=A9)*($E$10:$E$52)*($H$10:$H$52)),IF(C9="Decisión",IFERROR(MAXIFS($I$10:$I$52,$B$10:$B$52,A9),0),0))))</f>
        <v/>
      </c>
      <c r="I9" s="9">
        <f>IF(A9="",0,H9-G9)</f>
        <v/>
      </c>
      <c r="J9" s="6">
        <f>IFERROR(INDEX($C$3:$C$52,MATCH(B9,$A$3:$A$52,0)),"")</f>
        <v/>
      </c>
      <c r="K9" s="6">
        <f>IF(OR(B9="",J9&lt;&gt;"Decisión"),"",IF(ROUND(I9,2)=ROUND(MAXIFS($I$3:$I$52,$B$3:$B$52,B9),2),"Sí ✓",""))</f>
        <v/>
      </c>
    </row>
    <row r="10">
      <c r="A10" s="6" t="n"/>
      <c r="B10" s="6" t="n"/>
      <c r="C10" s="6" t="n"/>
      <c r="D10" s="6" t="n"/>
      <c r="E10" s="7" t="n"/>
      <c r="F10" s="8" t="n"/>
      <c r="G10" s="8" t="n"/>
      <c r="H10" s="9">
        <f>IF(A10="",0,IF(C10="Resultado",F10,IF(C10="Azar",SUMPRODUCT(($B$11:$B$52=A10)*($E$11:$E$52)*($H$11:$H$52)),IF(C10="Decisión",IFERROR(MAXIFS($I$11:$I$52,$B$11:$B$52,A10),0),0))))</f>
        <v/>
      </c>
      <c r="I10" s="9">
        <f>IF(A10="",0,H10-G10)</f>
        <v/>
      </c>
      <c r="J10" s="6">
        <f>IFERROR(INDEX($C$3:$C$52,MATCH(B10,$A$3:$A$52,0)),"")</f>
        <v/>
      </c>
      <c r="K10" s="6">
        <f>IF(OR(B10="",J10&lt;&gt;"Decisión"),"",IF(ROUND(I10,2)=ROUND(MAXIFS($I$3:$I$52,$B$3:$B$52,B10),2),"Sí ✓",""))</f>
        <v/>
      </c>
    </row>
    <row r="11">
      <c r="A11" s="6" t="n"/>
      <c r="B11" s="6" t="n"/>
      <c r="C11" s="6" t="n"/>
      <c r="D11" s="6" t="n"/>
      <c r="E11" s="7" t="n"/>
      <c r="F11" s="8" t="n"/>
      <c r="G11" s="8" t="n"/>
      <c r="H11" s="9">
        <f>IF(A11="",0,IF(C11="Resultado",F11,IF(C11="Azar",SUMPRODUCT(($B$12:$B$52=A11)*($E$12:$E$52)*($H$12:$H$52)),IF(C11="Decisión",IFERROR(MAXIFS($I$12:$I$52,$B$12:$B$52,A11),0),0))))</f>
        <v/>
      </c>
      <c r="I11" s="9">
        <f>IF(A11="",0,H11-G11)</f>
        <v/>
      </c>
      <c r="J11" s="6">
        <f>IFERROR(INDEX($C$3:$C$52,MATCH(B11,$A$3:$A$52,0)),"")</f>
        <v/>
      </c>
      <c r="K11" s="6">
        <f>IF(OR(B11="",J11&lt;&gt;"Decisión"),"",IF(ROUND(I11,2)=ROUND(MAXIFS($I$3:$I$52,$B$3:$B$52,B11),2),"Sí ✓",""))</f>
        <v/>
      </c>
    </row>
    <row r="12">
      <c r="A12" s="6" t="n"/>
      <c r="B12" s="6" t="n"/>
      <c r="C12" s="6" t="n"/>
      <c r="D12" s="6" t="n"/>
      <c r="E12" s="7" t="n"/>
      <c r="F12" s="8" t="n"/>
      <c r="G12" s="8" t="n"/>
      <c r="H12" s="9">
        <f>IF(A12="",0,IF(C12="Resultado",F12,IF(C12="Azar",SUMPRODUCT(($B$13:$B$52=A12)*($E$13:$E$52)*($H$13:$H$52)),IF(C12="Decisión",IFERROR(MAXIFS($I$13:$I$52,$B$13:$B$52,A12),0),0))))</f>
        <v/>
      </c>
      <c r="I12" s="9">
        <f>IF(A12="",0,H12-G12)</f>
        <v/>
      </c>
      <c r="J12" s="6">
        <f>IFERROR(INDEX($C$3:$C$52,MATCH(B12,$A$3:$A$52,0)),"")</f>
        <v/>
      </c>
      <c r="K12" s="6">
        <f>IF(OR(B12="",J12&lt;&gt;"Decisión"),"",IF(ROUND(I12,2)=ROUND(MAXIFS($I$3:$I$52,$B$3:$B$52,B12),2),"Sí ✓",""))</f>
        <v/>
      </c>
    </row>
    <row r="13">
      <c r="A13" s="6" t="n"/>
      <c r="B13" s="6" t="n"/>
      <c r="C13" s="6" t="n"/>
      <c r="D13" s="6" t="n"/>
      <c r="E13" s="7" t="n"/>
      <c r="F13" s="8" t="n"/>
      <c r="G13" s="8" t="n"/>
      <c r="H13" s="9">
        <f>IF(A13="",0,IF(C13="Resultado",F13,IF(C13="Azar",SUMPRODUCT(($B$14:$B$52=A13)*($E$14:$E$52)*($H$14:$H$52)),IF(C13="Decisión",IFERROR(MAXIFS($I$14:$I$52,$B$14:$B$52,A13),0),0))))</f>
        <v/>
      </c>
      <c r="I13" s="9">
        <f>IF(A13="",0,H13-G13)</f>
        <v/>
      </c>
      <c r="J13" s="6">
        <f>IFERROR(INDEX($C$3:$C$52,MATCH(B13,$A$3:$A$52,0)),"")</f>
        <v/>
      </c>
      <c r="K13" s="6">
        <f>IF(OR(B13="",J13&lt;&gt;"Decisión"),"",IF(ROUND(I13,2)=ROUND(MAXIFS($I$3:$I$52,$B$3:$B$52,B13),2),"Sí ✓",""))</f>
        <v/>
      </c>
    </row>
    <row r="14">
      <c r="A14" s="6" t="n"/>
      <c r="B14" s="6" t="n"/>
      <c r="C14" s="6" t="n"/>
      <c r="D14" s="6" t="n"/>
      <c r="E14" s="7" t="n"/>
      <c r="F14" s="8" t="n"/>
      <c r="G14" s="8" t="n"/>
      <c r="H14" s="9">
        <f>IF(A14="",0,IF(C14="Resultado",F14,IF(C14="Azar",SUMPRODUCT(($B$15:$B$52=A14)*($E$15:$E$52)*($H$15:$H$52)),IF(C14="Decisión",IFERROR(MAXIFS($I$15:$I$52,$B$15:$B$52,A14),0),0))))</f>
        <v/>
      </c>
      <c r="I14" s="9">
        <f>IF(A14="",0,H14-G14)</f>
        <v/>
      </c>
      <c r="J14" s="6">
        <f>IFERROR(INDEX($C$3:$C$52,MATCH(B14,$A$3:$A$52,0)),"")</f>
        <v/>
      </c>
      <c r="K14" s="6">
        <f>IF(OR(B14="",J14&lt;&gt;"Decisión"),"",IF(ROUND(I14,2)=ROUND(MAXIFS($I$3:$I$52,$B$3:$B$52,B14),2),"Sí ✓",""))</f>
        <v/>
      </c>
    </row>
    <row r="15">
      <c r="A15" s="6" t="n"/>
      <c r="B15" s="6" t="n"/>
      <c r="C15" s="6" t="n"/>
      <c r="D15" s="6" t="n"/>
      <c r="E15" s="7" t="n"/>
      <c r="F15" s="8" t="n"/>
      <c r="G15" s="8" t="n"/>
      <c r="H15" s="9">
        <f>IF(A15="",0,IF(C15="Resultado",F15,IF(C15="Azar",SUMPRODUCT(($B$16:$B$52=A15)*($E$16:$E$52)*($H$16:$H$52)),IF(C15="Decisión",IFERROR(MAXIFS($I$16:$I$52,$B$16:$B$52,A15),0),0))))</f>
        <v/>
      </c>
      <c r="I15" s="9">
        <f>IF(A15="",0,H15-G15)</f>
        <v/>
      </c>
      <c r="J15" s="6">
        <f>IFERROR(INDEX($C$3:$C$52,MATCH(B15,$A$3:$A$52,0)),"")</f>
        <v/>
      </c>
      <c r="K15" s="6">
        <f>IF(OR(B15="",J15&lt;&gt;"Decisión"),"",IF(ROUND(I15,2)=ROUND(MAXIFS($I$3:$I$52,$B$3:$B$52,B15),2),"Sí ✓",""))</f>
        <v/>
      </c>
    </row>
    <row r="16">
      <c r="A16" s="6" t="n"/>
      <c r="B16" s="6" t="n"/>
      <c r="C16" s="6" t="n"/>
      <c r="D16" s="6" t="n"/>
      <c r="E16" s="7" t="n"/>
      <c r="F16" s="8" t="n"/>
      <c r="G16" s="8" t="n"/>
      <c r="H16" s="9">
        <f>IF(A16="",0,IF(C16="Resultado",F16,IF(C16="Azar",SUMPRODUCT(($B$17:$B$52=A16)*($E$17:$E$52)*($H$17:$H$52)),IF(C16="Decisión",IFERROR(MAXIFS($I$17:$I$52,$B$17:$B$52,A16),0),0))))</f>
        <v/>
      </c>
      <c r="I16" s="9">
        <f>IF(A16="",0,H16-G16)</f>
        <v/>
      </c>
      <c r="J16" s="6">
        <f>IFERROR(INDEX($C$3:$C$52,MATCH(B16,$A$3:$A$52,0)),"")</f>
        <v/>
      </c>
      <c r="K16" s="6">
        <f>IF(OR(B16="",J16&lt;&gt;"Decisión"),"",IF(ROUND(I16,2)=ROUND(MAXIFS($I$3:$I$52,$B$3:$B$52,B16),2),"Sí ✓",""))</f>
        <v/>
      </c>
    </row>
    <row r="17">
      <c r="A17" s="6" t="n"/>
      <c r="B17" s="6" t="n"/>
      <c r="C17" s="6" t="n"/>
      <c r="D17" s="6" t="n"/>
      <c r="E17" s="7" t="n"/>
      <c r="F17" s="8" t="n"/>
      <c r="G17" s="8" t="n"/>
      <c r="H17" s="9">
        <f>IF(A17="",0,IF(C17="Resultado",F17,IF(C17="Azar",SUMPRODUCT(($B$18:$B$52=A17)*($E$18:$E$52)*($H$18:$H$52)),IF(C17="Decisión",IFERROR(MAXIFS($I$18:$I$52,$B$18:$B$52,A17),0),0))))</f>
        <v/>
      </c>
      <c r="I17" s="9">
        <f>IF(A17="",0,H17-G17)</f>
        <v/>
      </c>
      <c r="J17" s="6">
        <f>IFERROR(INDEX($C$3:$C$52,MATCH(B17,$A$3:$A$52,0)),"")</f>
        <v/>
      </c>
      <c r="K17" s="6">
        <f>IF(OR(B17="",J17&lt;&gt;"Decisión"),"",IF(ROUND(I17,2)=ROUND(MAXIFS($I$3:$I$52,$B$3:$B$52,B17),2),"Sí ✓",""))</f>
        <v/>
      </c>
    </row>
    <row r="18">
      <c r="A18" s="6" t="n"/>
      <c r="B18" s="6" t="n"/>
      <c r="C18" s="6" t="n"/>
      <c r="D18" s="6" t="n"/>
      <c r="E18" s="7" t="n"/>
      <c r="F18" s="8" t="n"/>
      <c r="G18" s="8" t="n"/>
      <c r="H18" s="9">
        <f>IF(A18="",0,IF(C18="Resultado",F18,IF(C18="Azar",SUMPRODUCT(($B$19:$B$52=A18)*($E$19:$E$52)*($H$19:$H$52)),IF(C18="Decisión",IFERROR(MAXIFS($I$19:$I$52,$B$19:$B$52,A18),0),0))))</f>
        <v/>
      </c>
      <c r="I18" s="9">
        <f>IF(A18="",0,H18-G18)</f>
        <v/>
      </c>
      <c r="J18" s="6">
        <f>IFERROR(INDEX($C$3:$C$52,MATCH(B18,$A$3:$A$52,0)),"")</f>
        <v/>
      </c>
      <c r="K18" s="6">
        <f>IF(OR(B18="",J18&lt;&gt;"Decisión"),"",IF(ROUND(I18,2)=ROUND(MAXIFS($I$3:$I$52,$B$3:$B$52,B18),2),"Sí ✓",""))</f>
        <v/>
      </c>
    </row>
    <row r="19">
      <c r="A19" s="6" t="n"/>
      <c r="B19" s="6" t="n"/>
      <c r="C19" s="6" t="n"/>
      <c r="D19" s="6" t="n"/>
      <c r="E19" s="7" t="n"/>
      <c r="F19" s="8" t="n"/>
      <c r="G19" s="8" t="n"/>
      <c r="H19" s="9">
        <f>IF(A19="",0,IF(C19="Resultado",F19,IF(C19="Azar",SUMPRODUCT(($B$20:$B$52=A19)*($E$20:$E$52)*($H$20:$H$52)),IF(C19="Decisión",IFERROR(MAXIFS($I$20:$I$52,$B$20:$B$52,A19),0),0))))</f>
        <v/>
      </c>
      <c r="I19" s="9">
        <f>IF(A19="",0,H19-G19)</f>
        <v/>
      </c>
      <c r="J19" s="6">
        <f>IFERROR(INDEX($C$3:$C$52,MATCH(B19,$A$3:$A$52,0)),"")</f>
        <v/>
      </c>
      <c r="K19" s="6">
        <f>IF(OR(B19="",J19&lt;&gt;"Decisión"),"",IF(ROUND(I19,2)=ROUND(MAXIFS($I$3:$I$52,$B$3:$B$52,B19),2),"Sí ✓",""))</f>
        <v/>
      </c>
    </row>
    <row r="20">
      <c r="A20" s="6" t="n"/>
      <c r="B20" s="6" t="n"/>
      <c r="C20" s="6" t="n"/>
      <c r="D20" s="6" t="n"/>
      <c r="E20" s="7" t="n"/>
      <c r="F20" s="8" t="n"/>
      <c r="G20" s="8" t="n"/>
      <c r="H20" s="9">
        <f>IF(A20="",0,IF(C20="Resultado",F20,IF(C20="Azar",SUMPRODUCT(($B$21:$B$52=A20)*($E$21:$E$52)*($H$21:$H$52)),IF(C20="Decisión",IFERROR(MAXIFS($I$21:$I$52,$B$21:$B$52,A20),0),0))))</f>
        <v/>
      </c>
      <c r="I20" s="9">
        <f>IF(A20="",0,H20-G20)</f>
        <v/>
      </c>
      <c r="J20" s="6">
        <f>IFERROR(INDEX($C$3:$C$52,MATCH(B20,$A$3:$A$52,0)),"")</f>
        <v/>
      </c>
      <c r="K20" s="6">
        <f>IF(OR(B20="",J20&lt;&gt;"Decisión"),"",IF(ROUND(I20,2)=ROUND(MAXIFS($I$3:$I$52,$B$3:$B$52,B20),2),"Sí ✓",""))</f>
        <v/>
      </c>
    </row>
    <row r="21">
      <c r="A21" s="6" t="n"/>
      <c r="B21" s="6" t="n"/>
      <c r="C21" s="6" t="n"/>
      <c r="D21" s="6" t="n"/>
      <c r="E21" s="7" t="n"/>
      <c r="F21" s="8" t="n"/>
      <c r="G21" s="8" t="n"/>
      <c r="H21" s="9">
        <f>IF(A21="",0,IF(C21="Resultado",F21,IF(C21="Azar",SUMPRODUCT(($B$22:$B$52=A21)*($E$22:$E$52)*($H$22:$H$52)),IF(C21="Decisión",IFERROR(MAXIFS($I$22:$I$52,$B$22:$B$52,A21),0),0))))</f>
        <v/>
      </c>
      <c r="I21" s="9">
        <f>IF(A21="",0,H21-G21)</f>
        <v/>
      </c>
      <c r="J21" s="6">
        <f>IFERROR(INDEX($C$3:$C$52,MATCH(B21,$A$3:$A$52,0)),"")</f>
        <v/>
      </c>
      <c r="K21" s="6">
        <f>IF(OR(B21="",J21&lt;&gt;"Decisión"),"",IF(ROUND(I21,2)=ROUND(MAXIFS($I$3:$I$52,$B$3:$B$52,B21),2),"Sí ✓",""))</f>
        <v/>
      </c>
    </row>
    <row r="22">
      <c r="A22" s="6" t="n"/>
      <c r="B22" s="6" t="n"/>
      <c r="C22" s="6" t="n"/>
      <c r="D22" s="6" t="n"/>
      <c r="E22" s="7" t="n"/>
      <c r="F22" s="8" t="n"/>
      <c r="G22" s="8" t="n"/>
      <c r="H22" s="9">
        <f>IF(A22="",0,IF(C22="Resultado",F22,IF(C22="Azar",SUMPRODUCT(($B$23:$B$52=A22)*($E$23:$E$52)*($H$23:$H$52)),IF(C22="Decisión",IFERROR(MAXIFS($I$23:$I$52,$B$23:$B$52,A22),0),0))))</f>
        <v/>
      </c>
      <c r="I22" s="9">
        <f>IF(A22="",0,H22-G22)</f>
        <v/>
      </c>
      <c r="J22" s="6">
        <f>IFERROR(INDEX($C$3:$C$52,MATCH(B22,$A$3:$A$52,0)),"")</f>
        <v/>
      </c>
      <c r="K22" s="6">
        <f>IF(OR(B22="",J22&lt;&gt;"Decisión"),"",IF(ROUND(I22,2)=ROUND(MAXIFS($I$3:$I$52,$B$3:$B$52,B22),2),"Sí ✓",""))</f>
        <v/>
      </c>
    </row>
    <row r="23">
      <c r="A23" s="6" t="n"/>
      <c r="B23" s="6" t="n"/>
      <c r="C23" s="6" t="n"/>
      <c r="D23" s="6" t="n"/>
      <c r="E23" s="7" t="n"/>
      <c r="F23" s="8" t="n"/>
      <c r="G23" s="8" t="n"/>
      <c r="H23" s="9">
        <f>IF(A23="",0,IF(C23="Resultado",F23,IF(C23="Azar",SUMPRODUCT(($B$24:$B$52=A23)*($E$24:$E$52)*($H$24:$H$52)),IF(C23="Decisión",IFERROR(MAXIFS($I$24:$I$52,$B$24:$B$52,A23),0),0))))</f>
        <v/>
      </c>
      <c r="I23" s="9">
        <f>IF(A23="",0,H23-G23)</f>
        <v/>
      </c>
      <c r="J23" s="6">
        <f>IFERROR(INDEX($C$3:$C$52,MATCH(B23,$A$3:$A$52,0)),"")</f>
        <v/>
      </c>
      <c r="K23" s="6">
        <f>IF(OR(B23="",J23&lt;&gt;"Decisión"),"",IF(ROUND(I23,2)=ROUND(MAXIFS($I$3:$I$52,$B$3:$B$52,B23),2),"Sí ✓",""))</f>
        <v/>
      </c>
    </row>
    <row r="24">
      <c r="A24" s="6" t="n"/>
      <c r="B24" s="6" t="n"/>
      <c r="C24" s="6" t="n"/>
      <c r="D24" s="6" t="n"/>
      <c r="E24" s="7" t="n"/>
      <c r="F24" s="8" t="n"/>
      <c r="G24" s="8" t="n"/>
      <c r="H24" s="9">
        <f>IF(A24="",0,IF(C24="Resultado",F24,IF(C24="Azar",SUMPRODUCT(($B$25:$B$52=A24)*($E$25:$E$52)*($H$25:$H$52)),IF(C24="Decisión",IFERROR(MAXIFS($I$25:$I$52,$B$25:$B$52,A24),0),0))))</f>
        <v/>
      </c>
      <c r="I24" s="9">
        <f>IF(A24="",0,H24-G24)</f>
        <v/>
      </c>
      <c r="J24" s="6">
        <f>IFERROR(INDEX($C$3:$C$52,MATCH(B24,$A$3:$A$52,0)),"")</f>
        <v/>
      </c>
      <c r="K24" s="6">
        <f>IF(OR(B24="",J24&lt;&gt;"Decisión"),"",IF(ROUND(I24,2)=ROUND(MAXIFS($I$3:$I$52,$B$3:$B$52,B24),2),"Sí ✓",""))</f>
        <v/>
      </c>
    </row>
    <row r="25">
      <c r="A25" s="6" t="n"/>
      <c r="B25" s="6" t="n"/>
      <c r="C25" s="6" t="n"/>
      <c r="D25" s="6" t="n"/>
      <c r="E25" s="7" t="n"/>
      <c r="F25" s="8" t="n"/>
      <c r="G25" s="8" t="n"/>
      <c r="H25" s="9">
        <f>IF(A25="",0,IF(C25="Resultado",F25,IF(C25="Azar",SUMPRODUCT(($B$26:$B$52=A25)*($E$26:$E$52)*($H$26:$H$52)),IF(C25="Decisión",IFERROR(MAXIFS($I$26:$I$52,$B$26:$B$52,A25),0),0))))</f>
        <v/>
      </c>
      <c r="I25" s="9">
        <f>IF(A25="",0,H25-G25)</f>
        <v/>
      </c>
      <c r="J25" s="6">
        <f>IFERROR(INDEX($C$3:$C$52,MATCH(B25,$A$3:$A$52,0)),"")</f>
        <v/>
      </c>
      <c r="K25" s="6">
        <f>IF(OR(B25="",J25&lt;&gt;"Decisión"),"",IF(ROUND(I25,2)=ROUND(MAXIFS($I$3:$I$52,$B$3:$B$52,B25),2),"Sí ✓",""))</f>
        <v/>
      </c>
    </row>
    <row r="26">
      <c r="A26" s="6" t="n"/>
      <c r="B26" s="6" t="n"/>
      <c r="C26" s="6" t="n"/>
      <c r="D26" s="6" t="n"/>
      <c r="E26" s="7" t="n"/>
      <c r="F26" s="8" t="n"/>
      <c r="G26" s="8" t="n"/>
      <c r="H26" s="9">
        <f>IF(A26="",0,IF(C26="Resultado",F26,IF(C26="Azar",SUMPRODUCT(($B$27:$B$52=A26)*($E$27:$E$52)*($H$27:$H$52)),IF(C26="Decisión",IFERROR(MAXIFS($I$27:$I$52,$B$27:$B$52,A26),0),0))))</f>
        <v/>
      </c>
      <c r="I26" s="9">
        <f>IF(A26="",0,H26-G26)</f>
        <v/>
      </c>
      <c r="J26" s="6">
        <f>IFERROR(INDEX($C$3:$C$52,MATCH(B26,$A$3:$A$52,0)),"")</f>
        <v/>
      </c>
      <c r="K26" s="6">
        <f>IF(OR(B26="",J26&lt;&gt;"Decisión"),"",IF(ROUND(I26,2)=ROUND(MAXIFS($I$3:$I$52,$B$3:$B$52,B26),2),"Sí ✓",""))</f>
        <v/>
      </c>
    </row>
    <row r="27">
      <c r="A27" s="6" t="n"/>
      <c r="B27" s="6" t="n"/>
      <c r="C27" s="6" t="n"/>
      <c r="D27" s="6" t="n"/>
      <c r="E27" s="7" t="n"/>
      <c r="F27" s="8" t="n"/>
      <c r="G27" s="8" t="n"/>
      <c r="H27" s="9">
        <f>IF(A27="",0,IF(C27="Resultado",F27,IF(C27="Azar",SUMPRODUCT(($B$28:$B$52=A27)*($E$28:$E$52)*($H$28:$H$52)),IF(C27="Decisión",IFERROR(MAXIFS($I$28:$I$52,$B$28:$B$52,A27),0),0))))</f>
        <v/>
      </c>
      <c r="I27" s="9">
        <f>IF(A27="",0,H27-G27)</f>
        <v/>
      </c>
      <c r="J27" s="6">
        <f>IFERROR(INDEX($C$3:$C$52,MATCH(B27,$A$3:$A$52,0)),"")</f>
        <v/>
      </c>
      <c r="K27" s="6">
        <f>IF(OR(B27="",J27&lt;&gt;"Decisión"),"",IF(ROUND(I27,2)=ROUND(MAXIFS($I$3:$I$52,$B$3:$B$52,B27),2),"Sí ✓",""))</f>
        <v/>
      </c>
    </row>
    <row r="28">
      <c r="A28" s="6" t="n"/>
      <c r="B28" s="6" t="n"/>
      <c r="C28" s="6" t="n"/>
      <c r="D28" s="6" t="n"/>
      <c r="E28" s="7" t="n"/>
      <c r="F28" s="8" t="n"/>
      <c r="G28" s="8" t="n"/>
      <c r="H28" s="9">
        <f>IF(A28="",0,IF(C28="Resultado",F28,IF(C28="Azar",SUMPRODUCT(($B$29:$B$52=A28)*($E$29:$E$52)*($H$29:$H$52)),IF(C28="Decisión",IFERROR(MAXIFS($I$29:$I$52,$B$29:$B$52,A28),0),0))))</f>
        <v/>
      </c>
      <c r="I28" s="9">
        <f>IF(A28="",0,H28-G28)</f>
        <v/>
      </c>
      <c r="J28" s="6">
        <f>IFERROR(INDEX($C$3:$C$52,MATCH(B28,$A$3:$A$52,0)),"")</f>
        <v/>
      </c>
      <c r="K28" s="6">
        <f>IF(OR(B28="",J28&lt;&gt;"Decisión"),"",IF(ROUND(I28,2)=ROUND(MAXIFS($I$3:$I$52,$B$3:$B$52,B28),2),"Sí ✓",""))</f>
        <v/>
      </c>
    </row>
    <row r="29">
      <c r="A29" s="6" t="n"/>
      <c r="B29" s="6" t="n"/>
      <c r="C29" s="6" t="n"/>
      <c r="D29" s="6" t="n"/>
      <c r="E29" s="7" t="n"/>
      <c r="F29" s="8" t="n"/>
      <c r="G29" s="8" t="n"/>
      <c r="H29" s="9">
        <f>IF(A29="",0,IF(C29="Resultado",F29,IF(C29="Azar",SUMPRODUCT(($B$30:$B$52=A29)*($E$30:$E$52)*($H$30:$H$52)),IF(C29="Decisión",IFERROR(MAXIFS($I$30:$I$52,$B$30:$B$52,A29),0),0))))</f>
        <v/>
      </c>
      <c r="I29" s="9">
        <f>IF(A29="",0,H29-G29)</f>
        <v/>
      </c>
      <c r="J29" s="6">
        <f>IFERROR(INDEX($C$3:$C$52,MATCH(B29,$A$3:$A$52,0)),"")</f>
        <v/>
      </c>
      <c r="K29" s="6">
        <f>IF(OR(B29="",J29&lt;&gt;"Decisión"),"",IF(ROUND(I29,2)=ROUND(MAXIFS($I$3:$I$52,$B$3:$B$52,B29),2),"Sí ✓",""))</f>
        <v/>
      </c>
    </row>
    <row r="30">
      <c r="A30" s="6" t="n"/>
      <c r="B30" s="6" t="n"/>
      <c r="C30" s="6" t="n"/>
      <c r="D30" s="6" t="n"/>
      <c r="E30" s="7" t="n"/>
      <c r="F30" s="8" t="n"/>
      <c r="G30" s="8" t="n"/>
      <c r="H30" s="9">
        <f>IF(A30="",0,IF(C30="Resultado",F30,IF(C30="Azar",SUMPRODUCT(($B$31:$B$52=A30)*($E$31:$E$52)*($H$31:$H$52)),IF(C30="Decisión",IFERROR(MAXIFS($I$31:$I$52,$B$31:$B$52,A30),0),0))))</f>
        <v/>
      </c>
      <c r="I30" s="9">
        <f>IF(A30="",0,H30-G30)</f>
        <v/>
      </c>
      <c r="J30" s="6">
        <f>IFERROR(INDEX($C$3:$C$52,MATCH(B30,$A$3:$A$52,0)),"")</f>
        <v/>
      </c>
      <c r="K30" s="6">
        <f>IF(OR(B30="",J30&lt;&gt;"Decisión"),"",IF(ROUND(I30,2)=ROUND(MAXIFS($I$3:$I$52,$B$3:$B$52,B30),2),"Sí ✓",""))</f>
        <v/>
      </c>
    </row>
    <row r="31">
      <c r="A31" s="6" t="n"/>
      <c r="B31" s="6" t="n"/>
      <c r="C31" s="6" t="n"/>
      <c r="D31" s="6" t="n"/>
      <c r="E31" s="7" t="n"/>
      <c r="F31" s="8" t="n"/>
      <c r="G31" s="8" t="n"/>
      <c r="H31" s="9">
        <f>IF(A31="",0,IF(C31="Resultado",F31,IF(C31="Azar",SUMPRODUCT(($B$32:$B$52=A31)*($E$32:$E$52)*($H$32:$H$52)),IF(C31="Decisión",IFERROR(MAXIFS($I$32:$I$52,$B$32:$B$52,A31),0),0))))</f>
        <v/>
      </c>
      <c r="I31" s="9">
        <f>IF(A31="",0,H31-G31)</f>
        <v/>
      </c>
      <c r="J31" s="6">
        <f>IFERROR(INDEX($C$3:$C$52,MATCH(B31,$A$3:$A$52,0)),"")</f>
        <v/>
      </c>
      <c r="K31" s="6">
        <f>IF(OR(B31="",J31&lt;&gt;"Decisión"),"",IF(ROUND(I31,2)=ROUND(MAXIFS($I$3:$I$52,$B$3:$B$52,B31),2),"Sí ✓",""))</f>
        <v/>
      </c>
    </row>
    <row r="32">
      <c r="A32" s="6" t="n"/>
      <c r="B32" s="6" t="n"/>
      <c r="C32" s="6" t="n"/>
      <c r="D32" s="6" t="n"/>
      <c r="E32" s="7" t="n"/>
      <c r="F32" s="8" t="n"/>
      <c r="G32" s="8" t="n"/>
      <c r="H32" s="9">
        <f>IF(A32="",0,IF(C32="Resultado",F32,IF(C32="Azar",SUMPRODUCT(($B$33:$B$52=A32)*($E$33:$E$52)*($H$33:$H$52)),IF(C32="Decisión",IFERROR(MAXIFS($I$33:$I$52,$B$33:$B$52,A32),0),0))))</f>
        <v/>
      </c>
      <c r="I32" s="9">
        <f>IF(A32="",0,H32-G32)</f>
        <v/>
      </c>
      <c r="J32" s="6">
        <f>IFERROR(INDEX($C$3:$C$52,MATCH(B32,$A$3:$A$52,0)),"")</f>
        <v/>
      </c>
      <c r="K32" s="6">
        <f>IF(OR(B32="",J32&lt;&gt;"Decisión"),"",IF(ROUND(I32,2)=ROUND(MAXIFS($I$3:$I$52,$B$3:$B$52,B32),2),"Sí ✓",""))</f>
        <v/>
      </c>
    </row>
    <row r="33">
      <c r="A33" s="6" t="n"/>
      <c r="B33" s="6" t="n"/>
      <c r="C33" s="6" t="n"/>
      <c r="D33" s="6" t="n"/>
      <c r="E33" s="7" t="n"/>
      <c r="F33" s="8" t="n"/>
      <c r="G33" s="8" t="n"/>
      <c r="H33" s="9">
        <f>IF(A33="",0,IF(C33="Resultado",F33,IF(C33="Azar",SUMPRODUCT(($B$34:$B$52=A33)*($E$34:$E$52)*($H$34:$H$52)),IF(C33="Decisión",IFERROR(MAXIFS($I$34:$I$52,$B$34:$B$52,A33),0),0))))</f>
        <v/>
      </c>
      <c r="I33" s="9">
        <f>IF(A33="",0,H33-G33)</f>
        <v/>
      </c>
      <c r="J33" s="6">
        <f>IFERROR(INDEX($C$3:$C$52,MATCH(B33,$A$3:$A$52,0)),"")</f>
        <v/>
      </c>
      <c r="K33" s="6">
        <f>IF(OR(B33="",J33&lt;&gt;"Decisión"),"",IF(ROUND(I33,2)=ROUND(MAXIFS($I$3:$I$52,$B$3:$B$52,B33),2),"Sí ✓",""))</f>
        <v/>
      </c>
    </row>
    <row r="34">
      <c r="A34" s="6" t="n"/>
      <c r="B34" s="6" t="n"/>
      <c r="C34" s="6" t="n"/>
      <c r="D34" s="6" t="n"/>
      <c r="E34" s="7" t="n"/>
      <c r="F34" s="8" t="n"/>
      <c r="G34" s="8" t="n"/>
      <c r="H34" s="9">
        <f>IF(A34="",0,IF(C34="Resultado",F34,IF(C34="Azar",SUMPRODUCT(($B$35:$B$52=A34)*($E$35:$E$52)*($H$35:$H$52)),IF(C34="Decisión",IFERROR(MAXIFS($I$35:$I$52,$B$35:$B$52,A34),0),0))))</f>
        <v/>
      </c>
      <c r="I34" s="9">
        <f>IF(A34="",0,H34-G34)</f>
        <v/>
      </c>
      <c r="J34" s="6">
        <f>IFERROR(INDEX($C$3:$C$52,MATCH(B34,$A$3:$A$52,0)),"")</f>
        <v/>
      </c>
      <c r="K34" s="6">
        <f>IF(OR(B34="",J34&lt;&gt;"Decisión"),"",IF(ROUND(I34,2)=ROUND(MAXIFS($I$3:$I$52,$B$3:$B$52,B34),2),"Sí ✓",""))</f>
        <v/>
      </c>
    </row>
    <row r="35">
      <c r="A35" s="6" t="n"/>
      <c r="B35" s="6" t="n"/>
      <c r="C35" s="6" t="n"/>
      <c r="D35" s="6" t="n"/>
      <c r="E35" s="7" t="n"/>
      <c r="F35" s="8" t="n"/>
      <c r="G35" s="8" t="n"/>
      <c r="H35" s="9">
        <f>IF(A35="",0,IF(C35="Resultado",F35,IF(C35="Azar",SUMPRODUCT(($B$36:$B$52=A35)*($E$36:$E$52)*($H$36:$H$52)),IF(C35="Decisión",IFERROR(MAXIFS($I$36:$I$52,$B$36:$B$52,A35),0),0))))</f>
        <v/>
      </c>
      <c r="I35" s="9">
        <f>IF(A35="",0,H35-G35)</f>
        <v/>
      </c>
      <c r="J35" s="6">
        <f>IFERROR(INDEX($C$3:$C$52,MATCH(B35,$A$3:$A$52,0)),"")</f>
        <v/>
      </c>
      <c r="K35" s="6">
        <f>IF(OR(B35="",J35&lt;&gt;"Decisión"),"",IF(ROUND(I35,2)=ROUND(MAXIFS($I$3:$I$52,$B$3:$B$52,B35),2),"Sí ✓",""))</f>
        <v/>
      </c>
    </row>
    <row r="36">
      <c r="A36" s="6" t="n"/>
      <c r="B36" s="6" t="n"/>
      <c r="C36" s="6" t="n"/>
      <c r="D36" s="6" t="n"/>
      <c r="E36" s="7" t="n"/>
      <c r="F36" s="8" t="n"/>
      <c r="G36" s="8" t="n"/>
      <c r="H36" s="9">
        <f>IF(A36="",0,IF(C36="Resultado",F36,IF(C36="Azar",SUMPRODUCT(($B$37:$B$52=A36)*($E$37:$E$52)*($H$37:$H$52)),IF(C36="Decisión",IFERROR(MAXIFS($I$37:$I$52,$B$37:$B$52,A36),0),0))))</f>
        <v/>
      </c>
      <c r="I36" s="9">
        <f>IF(A36="",0,H36-G36)</f>
        <v/>
      </c>
      <c r="J36" s="6">
        <f>IFERROR(INDEX($C$3:$C$52,MATCH(B36,$A$3:$A$52,0)),"")</f>
        <v/>
      </c>
      <c r="K36" s="6">
        <f>IF(OR(B36="",J36&lt;&gt;"Decisión"),"",IF(ROUND(I36,2)=ROUND(MAXIFS($I$3:$I$52,$B$3:$B$52,B36),2),"Sí ✓",""))</f>
        <v/>
      </c>
    </row>
    <row r="37">
      <c r="A37" s="6" t="n"/>
      <c r="B37" s="6" t="n"/>
      <c r="C37" s="6" t="n"/>
      <c r="D37" s="6" t="n"/>
      <c r="E37" s="7" t="n"/>
      <c r="F37" s="8" t="n"/>
      <c r="G37" s="8" t="n"/>
      <c r="H37" s="9">
        <f>IF(A37="",0,IF(C37="Resultado",F37,IF(C37="Azar",SUMPRODUCT(($B$38:$B$52=A37)*($E$38:$E$52)*($H$38:$H$52)),IF(C37="Decisión",IFERROR(MAXIFS($I$38:$I$52,$B$38:$B$52,A37),0),0))))</f>
        <v/>
      </c>
      <c r="I37" s="9">
        <f>IF(A37="",0,H37-G37)</f>
        <v/>
      </c>
      <c r="J37" s="6">
        <f>IFERROR(INDEX($C$3:$C$52,MATCH(B37,$A$3:$A$52,0)),"")</f>
        <v/>
      </c>
      <c r="K37" s="6">
        <f>IF(OR(B37="",J37&lt;&gt;"Decisión"),"",IF(ROUND(I37,2)=ROUND(MAXIFS($I$3:$I$52,$B$3:$B$52,B37),2),"Sí ✓",""))</f>
        <v/>
      </c>
    </row>
    <row r="38">
      <c r="A38" s="6" t="n"/>
      <c r="B38" s="6" t="n"/>
      <c r="C38" s="6" t="n"/>
      <c r="D38" s="6" t="n"/>
      <c r="E38" s="7" t="n"/>
      <c r="F38" s="8" t="n"/>
      <c r="G38" s="8" t="n"/>
      <c r="H38" s="9">
        <f>IF(A38="",0,IF(C38="Resultado",F38,IF(C38="Azar",SUMPRODUCT(($B$39:$B$52=A38)*($E$39:$E$52)*($H$39:$H$52)),IF(C38="Decisión",IFERROR(MAXIFS($I$39:$I$52,$B$39:$B$52,A38),0),0))))</f>
        <v/>
      </c>
      <c r="I38" s="9">
        <f>IF(A38="",0,H38-G38)</f>
        <v/>
      </c>
      <c r="J38" s="6">
        <f>IFERROR(INDEX($C$3:$C$52,MATCH(B38,$A$3:$A$52,0)),"")</f>
        <v/>
      </c>
      <c r="K38" s="6">
        <f>IF(OR(B38="",J38&lt;&gt;"Decisión"),"",IF(ROUND(I38,2)=ROUND(MAXIFS($I$3:$I$52,$B$3:$B$52,B38),2),"Sí ✓",""))</f>
        <v/>
      </c>
    </row>
    <row r="39">
      <c r="A39" s="6" t="n"/>
      <c r="B39" s="6" t="n"/>
      <c r="C39" s="6" t="n"/>
      <c r="D39" s="6" t="n"/>
      <c r="E39" s="7" t="n"/>
      <c r="F39" s="8" t="n"/>
      <c r="G39" s="8" t="n"/>
      <c r="H39" s="9">
        <f>IF(A39="",0,IF(C39="Resultado",F39,IF(C39="Azar",SUMPRODUCT(($B$40:$B$52=A39)*($E$40:$E$52)*($H$40:$H$52)),IF(C39="Decisión",IFERROR(MAXIFS($I$40:$I$52,$B$40:$B$52,A39),0),0))))</f>
        <v/>
      </c>
      <c r="I39" s="9">
        <f>IF(A39="",0,H39-G39)</f>
        <v/>
      </c>
      <c r="J39" s="6">
        <f>IFERROR(INDEX($C$3:$C$52,MATCH(B39,$A$3:$A$52,0)),"")</f>
        <v/>
      </c>
      <c r="K39" s="6">
        <f>IF(OR(B39="",J39&lt;&gt;"Decisión"),"",IF(ROUND(I39,2)=ROUND(MAXIFS($I$3:$I$52,$B$3:$B$52,B39),2),"Sí ✓",""))</f>
        <v/>
      </c>
    </row>
    <row r="40">
      <c r="A40" s="6" t="n"/>
      <c r="B40" s="6" t="n"/>
      <c r="C40" s="6" t="n"/>
      <c r="D40" s="6" t="n"/>
      <c r="E40" s="7" t="n"/>
      <c r="F40" s="8" t="n"/>
      <c r="G40" s="8" t="n"/>
      <c r="H40" s="9">
        <f>IF(A40="",0,IF(C40="Resultado",F40,IF(C40="Azar",SUMPRODUCT(($B$41:$B$52=A40)*($E$41:$E$52)*($H$41:$H$52)),IF(C40="Decisión",IFERROR(MAXIFS($I$41:$I$52,$B$41:$B$52,A40),0),0))))</f>
        <v/>
      </c>
      <c r="I40" s="9">
        <f>IF(A40="",0,H40-G40)</f>
        <v/>
      </c>
      <c r="J40" s="6">
        <f>IFERROR(INDEX($C$3:$C$52,MATCH(B40,$A$3:$A$52,0)),"")</f>
        <v/>
      </c>
      <c r="K40" s="6">
        <f>IF(OR(B40="",J40&lt;&gt;"Decisión"),"",IF(ROUND(I40,2)=ROUND(MAXIFS($I$3:$I$52,$B$3:$B$52,B40),2),"Sí ✓",""))</f>
        <v/>
      </c>
    </row>
    <row r="41">
      <c r="A41" s="6" t="n"/>
      <c r="B41" s="6" t="n"/>
      <c r="C41" s="6" t="n"/>
      <c r="D41" s="6" t="n"/>
      <c r="E41" s="7" t="n"/>
      <c r="F41" s="8" t="n"/>
      <c r="G41" s="8" t="n"/>
      <c r="H41" s="9">
        <f>IF(A41="",0,IF(C41="Resultado",F41,IF(C41="Azar",SUMPRODUCT(($B$42:$B$52=A41)*($E$42:$E$52)*($H$42:$H$52)),IF(C41="Decisión",IFERROR(MAXIFS($I$42:$I$52,$B$42:$B$52,A41),0),0))))</f>
        <v/>
      </c>
      <c r="I41" s="9">
        <f>IF(A41="",0,H41-G41)</f>
        <v/>
      </c>
      <c r="J41" s="6">
        <f>IFERROR(INDEX($C$3:$C$52,MATCH(B41,$A$3:$A$52,0)),"")</f>
        <v/>
      </c>
      <c r="K41" s="6">
        <f>IF(OR(B41="",J41&lt;&gt;"Decisión"),"",IF(ROUND(I41,2)=ROUND(MAXIFS($I$3:$I$52,$B$3:$B$52,B41),2),"Sí ✓",""))</f>
        <v/>
      </c>
    </row>
    <row r="42">
      <c r="A42" s="6" t="n"/>
      <c r="B42" s="6" t="n"/>
      <c r="C42" s="6" t="n"/>
      <c r="D42" s="6" t="n"/>
      <c r="E42" s="7" t="n"/>
      <c r="F42" s="8" t="n"/>
      <c r="G42" s="8" t="n"/>
      <c r="H42" s="9">
        <f>IF(A42="",0,IF(C42="Resultado",F42,IF(C42="Azar",SUMPRODUCT(($B$43:$B$52=A42)*($E$43:$E$52)*($H$43:$H$52)),IF(C42="Decisión",IFERROR(MAXIFS($I$43:$I$52,$B$43:$B$52,A42),0),0))))</f>
        <v/>
      </c>
      <c r="I42" s="9">
        <f>IF(A42="",0,H42-G42)</f>
        <v/>
      </c>
      <c r="J42" s="6">
        <f>IFERROR(INDEX($C$3:$C$52,MATCH(B42,$A$3:$A$52,0)),"")</f>
        <v/>
      </c>
      <c r="K42" s="6">
        <f>IF(OR(B42="",J42&lt;&gt;"Decisión"),"",IF(ROUND(I42,2)=ROUND(MAXIFS($I$3:$I$52,$B$3:$B$52,B42),2),"Sí ✓",""))</f>
        <v/>
      </c>
    </row>
    <row r="43">
      <c r="A43" s="6" t="n"/>
      <c r="B43" s="6" t="n"/>
      <c r="C43" s="6" t="n"/>
      <c r="D43" s="6" t="n"/>
      <c r="E43" s="7" t="n"/>
      <c r="F43" s="8" t="n"/>
      <c r="G43" s="8" t="n"/>
      <c r="H43" s="9">
        <f>IF(A43="",0,IF(C43="Resultado",F43,IF(C43="Azar",SUMPRODUCT(($B$44:$B$52=A43)*($E$44:$E$52)*($H$44:$H$52)),IF(C43="Decisión",IFERROR(MAXIFS($I$44:$I$52,$B$44:$B$52,A43),0),0))))</f>
        <v/>
      </c>
      <c r="I43" s="9">
        <f>IF(A43="",0,H43-G43)</f>
        <v/>
      </c>
      <c r="J43" s="6">
        <f>IFERROR(INDEX($C$3:$C$52,MATCH(B43,$A$3:$A$52,0)),"")</f>
        <v/>
      </c>
      <c r="K43" s="6">
        <f>IF(OR(B43="",J43&lt;&gt;"Decisión"),"",IF(ROUND(I43,2)=ROUND(MAXIFS($I$3:$I$52,$B$3:$B$52,B43),2),"Sí ✓",""))</f>
        <v/>
      </c>
    </row>
    <row r="44">
      <c r="A44" s="6" t="n"/>
      <c r="B44" s="6" t="n"/>
      <c r="C44" s="6" t="n"/>
      <c r="D44" s="6" t="n"/>
      <c r="E44" s="7" t="n"/>
      <c r="F44" s="8" t="n"/>
      <c r="G44" s="8" t="n"/>
      <c r="H44" s="9">
        <f>IF(A44="",0,IF(C44="Resultado",F44,IF(C44="Azar",SUMPRODUCT(($B$45:$B$52=A44)*($E$45:$E$52)*($H$45:$H$52)),IF(C44="Decisión",IFERROR(MAXIFS($I$45:$I$52,$B$45:$B$52,A44),0),0))))</f>
        <v/>
      </c>
      <c r="I44" s="9">
        <f>IF(A44="",0,H44-G44)</f>
        <v/>
      </c>
      <c r="J44" s="6">
        <f>IFERROR(INDEX($C$3:$C$52,MATCH(B44,$A$3:$A$52,0)),"")</f>
        <v/>
      </c>
      <c r="K44" s="6">
        <f>IF(OR(B44="",J44&lt;&gt;"Decisión"),"",IF(ROUND(I44,2)=ROUND(MAXIFS($I$3:$I$52,$B$3:$B$52,B44),2),"Sí ✓",""))</f>
        <v/>
      </c>
    </row>
    <row r="45">
      <c r="A45" s="6" t="n"/>
      <c r="B45" s="6" t="n"/>
      <c r="C45" s="6" t="n"/>
      <c r="D45" s="6" t="n"/>
      <c r="E45" s="7" t="n"/>
      <c r="F45" s="8" t="n"/>
      <c r="G45" s="8" t="n"/>
      <c r="H45" s="9">
        <f>IF(A45="",0,IF(C45="Resultado",F45,IF(C45="Azar",SUMPRODUCT(($B$46:$B$52=A45)*($E$46:$E$52)*($H$46:$H$52)),IF(C45="Decisión",IFERROR(MAXIFS($I$46:$I$52,$B$46:$B$52,A45),0),0))))</f>
        <v/>
      </c>
      <c r="I45" s="9">
        <f>IF(A45="",0,H45-G45)</f>
        <v/>
      </c>
      <c r="J45" s="6">
        <f>IFERROR(INDEX($C$3:$C$52,MATCH(B45,$A$3:$A$52,0)),"")</f>
        <v/>
      </c>
      <c r="K45" s="6">
        <f>IF(OR(B45="",J45&lt;&gt;"Decisión"),"",IF(ROUND(I45,2)=ROUND(MAXIFS($I$3:$I$52,$B$3:$B$52,B45),2),"Sí ✓",""))</f>
        <v/>
      </c>
    </row>
    <row r="46">
      <c r="A46" s="6" t="n"/>
      <c r="B46" s="6" t="n"/>
      <c r="C46" s="6" t="n"/>
      <c r="D46" s="6" t="n"/>
      <c r="E46" s="7" t="n"/>
      <c r="F46" s="8" t="n"/>
      <c r="G46" s="8" t="n"/>
      <c r="H46" s="9">
        <f>IF(A46="",0,IF(C46="Resultado",F46,IF(C46="Azar",SUMPRODUCT(($B$47:$B$52=A46)*($E$47:$E$52)*($H$47:$H$52)),IF(C46="Decisión",IFERROR(MAXIFS($I$47:$I$52,$B$47:$B$52,A46),0),0))))</f>
        <v/>
      </c>
      <c r="I46" s="9">
        <f>IF(A46="",0,H46-G46)</f>
        <v/>
      </c>
      <c r="J46" s="6">
        <f>IFERROR(INDEX($C$3:$C$52,MATCH(B46,$A$3:$A$52,0)),"")</f>
        <v/>
      </c>
      <c r="K46" s="6">
        <f>IF(OR(B46="",J46&lt;&gt;"Decisión"),"",IF(ROUND(I46,2)=ROUND(MAXIFS($I$3:$I$52,$B$3:$B$52,B46),2),"Sí ✓",""))</f>
        <v/>
      </c>
    </row>
    <row r="47">
      <c r="A47" s="6" t="n"/>
      <c r="B47" s="6" t="n"/>
      <c r="C47" s="6" t="n"/>
      <c r="D47" s="6" t="n"/>
      <c r="E47" s="7" t="n"/>
      <c r="F47" s="8" t="n"/>
      <c r="G47" s="8" t="n"/>
      <c r="H47" s="9">
        <f>IF(A47="",0,IF(C47="Resultado",F47,IF(C47="Azar",SUMPRODUCT(($B$48:$B$52=A47)*($E$48:$E$52)*($H$48:$H$52)),IF(C47="Decisión",IFERROR(MAXIFS($I$48:$I$52,$B$48:$B$52,A47),0),0))))</f>
        <v/>
      </c>
      <c r="I47" s="9">
        <f>IF(A47="",0,H47-G47)</f>
        <v/>
      </c>
      <c r="J47" s="6">
        <f>IFERROR(INDEX($C$3:$C$52,MATCH(B47,$A$3:$A$52,0)),"")</f>
        <v/>
      </c>
      <c r="K47" s="6">
        <f>IF(OR(B47="",J47&lt;&gt;"Decisión"),"",IF(ROUND(I47,2)=ROUND(MAXIFS($I$3:$I$52,$B$3:$B$52,B47),2),"Sí ✓",""))</f>
        <v/>
      </c>
    </row>
    <row r="48">
      <c r="A48" s="6" t="n"/>
      <c r="B48" s="6" t="n"/>
      <c r="C48" s="6" t="n"/>
      <c r="D48" s="6" t="n"/>
      <c r="E48" s="7" t="n"/>
      <c r="F48" s="8" t="n"/>
      <c r="G48" s="8" t="n"/>
      <c r="H48" s="9">
        <f>IF(A48="",0,IF(C48="Resultado",F48,IF(C48="Azar",SUMPRODUCT(($B$49:$B$52=A48)*($E$49:$E$52)*($H$49:$H$52)),IF(C48="Decisión",IFERROR(MAXIFS($I$49:$I$52,$B$49:$B$52,A48),0),0))))</f>
        <v/>
      </c>
      <c r="I48" s="9">
        <f>IF(A48="",0,H48-G48)</f>
        <v/>
      </c>
      <c r="J48" s="6">
        <f>IFERROR(INDEX($C$3:$C$52,MATCH(B48,$A$3:$A$52,0)),"")</f>
        <v/>
      </c>
      <c r="K48" s="6">
        <f>IF(OR(B48="",J48&lt;&gt;"Decisión"),"",IF(ROUND(I48,2)=ROUND(MAXIFS($I$3:$I$52,$B$3:$B$52,B48),2),"Sí ✓",""))</f>
        <v/>
      </c>
    </row>
    <row r="49">
      <c r="A49" s="6" t="n"/>
      <c r="B49" s="6" t="n"/>
      <c r="C49" s="6" t="n"/>
      <c r="D49" s="6" t="n"/>
      <c r="E49" s="7" t="n"/>
      <c r="F49" s="8" t="n"/>
      <c r="G49" s="8" t="n"/>
      <c r="H49" s="9">
        <f>IF(A49="",0,IF(C49="Resultado",F49,IF(C49="Azar",SUMPRODUCT(($B$50:$B$52=A49)*($E$50:$E$52)*($H$50:$H$52)),IF(C49="Decisión",IFERROR(MAXIFS($I$50:$I$52,$B$50:$B$52,A49),0),0))))</f>
        <v/>
      </c>
      <c r="I49" s="9">
        <f>IF(A49="",0,H49-G49)</f>
        <v/>
      </c>
      <c r="J49" s="6">
        <f>IFERROR(INDEX($C$3:$C$52,MATCH(B49,$A$3:$A$52,0)),"")</f>
        <v/>
      </c>
      <c r="K49" s="6">
        <f>IF(OR(B49="",J49&lt;&gt;"Decisión"),"",IF(ROUND(I49,2)=ROUND(MAXIFS($I$3:$I$52,$B$3:$B$52,B49),2),"Sí ✓",""))</f>
        <v/>
      </c>
    </row>
    <row r="50">
      <c r="A50" s="6" t="n"/>
      <c r="B50" s="6" t="n"/>
      <c r="C50" s="6" t="n"/>
      <c r="D50" s="6" t="n"/>
      <c r="E50" s="7" t="n"/>
      <c r="F50" s="8" t="n"/>
      <c r="G50" s="8" t="n"/>
      <c r="H50" s="9">
        <f>IF(A50="",0,IF(C50="Resultado",F50,IF(C50="Azar",SUMPRODUCT(($B$51:$B$52=A50)*($E$51:$E$52)*($H$51:$H$52)),IF(C50="Decisión",IFERROR(MAXIFS($I$51:$I$52,$B$51:$B$52,A50),0),0))))</f>
        <v/>
      </c>
      <c r="I50" s="9">
        <f>IF(A50="",0,H50-G50)</f>
        <v/>
      </c>
      <c r="J50" s="6">
        <f>IFERROR(INDEX($C$3:$C$52,MATCH(B50,$A$3:$A$52,0)),"")</f>
        <v/>
      </c>
      <c r="K50" s="6">
        <f>IF(OR(B50="",J50&lt;&gt;"Decisión"),"",IF(ROUND(I50,2)=ROUND(MAXIFS($I$3:$I$52,$B$3:$B$52,B50),2),"Sí ✓",""))</f>
        <v/>
      </c>
    </row>
    <row r="51">
      <c r="A51" s="6" t="n"/>
      <c r="B51" s="6" t="n"/>
      <c r="C51" s="6" t="n"/>
      <c r="D51" s="6" t="n"/>
      <c r="E51" s="7" t="n"/>
      <c r="F51" s="8" t="n"/>
      <c r="G51" s="8" t="n"/>
      <c r="H51" s="9">
        <f>IF(A51="",0,IF(C51="Resultado",F51,IF(C51="Azar",SUMPRODUCT(($B$52:$B$52=A51)*($E$52:$E$52)*($H$52:$H$52)),IF(C51="Decisión",IFERROR(MAXIFS($I$52:$I$52,$B$52:$B$52,A51),0),0))))</f>
        <v/>
      </c>
      <c r="I51" s="9">
        <f>IF(A51="",0,H51-G51)</f>
        <v/>
      </c>
      <c r="J51" s="6">
        <f>IFERROR(INDEX($C$3:$C$52,MATCH(B51,$A$3:$A$52,0)),"")</f>
        <v/>
      </c>
      <c r="K51" s="6">
        <f>IF(OR(B51="",J51&lt;&gt;"Decisión"),"",IF(ROUND(I51,2)=ROUND(MAXIFS($I$3:$I$52,$B$3:$B$52,B51),2),"Sí ✓",""))</f>
        <v/>
      </c>
    </row>
    <row r="52">
      <c r="A52" s="6" t="n"/>
      <c r="B52" s="6" t="n"/>
      <c r="C52" s="6" t="n"/>
      <c r="D52" s="6" t="n"/>
      <c r="E52" s="7" t="n"/>
      <c r="F52" s="8" t="n"/>
      <c r="G52" s="8" t="n"/>
      <c r="H52" s="9">
        <f>IF(A52="",0,IF(C52="Resultado",F52,IF(C52="Azar",0,IF(C52="Decisión",0,0))))</f>
        <v/>
      </c>
      <c r="I52" s="9">
        <f>IF(A52="",0,H52-G52)</f>
        <v/>
      </c>
      <c r="J52" s="6">
        <f>IFERROR(INDEX($C$3:$C$52,MATCH(B52,$A$3:$A$52,0)),"")</f>
        <v/>
      </c>
      <c r="K52" s="6">
        <f>IF(OR(B52="",J52&lt;&gt;"Decisión"),"",IF(ROUND(I52,2)=ROUND(MAXIFS($I$3:$I$52,$B$3:$B$52,B52),2),"Sí ✓",""))</f>
        <v/>
      </c>
    </row>
    <row r="55">
      <c r="A55" s="10" t="inlineStr">
        <is>
          <t>Resumen</t>
        </is>
      </c>
    </row>
    <row r="56">
      <c r="A56" s="11" t="inlineStr">
        <is>
          <t>VME total (nodo raíz):</t>
        </is>
      </c>
      <c r="D56" s="12">
        <f>H3</f>
        <v/>
      </c>
    </row>
    <row r="57">
      <c r="A57" s="11" t="inlineStr">
        <is>
          <t>Decisión recomendada:</t>
        </is>
      </c>
      <c r="D57" s="12">
        <f>IF(K4="Sí ✓",D4,D5)</f>
        <v/>
      </c>
    </row>
  </sheetData>
  <conditionalFormatting sqref="K3:K52">
    <cfRule type="expression" priority="1" dxfId="0">
      <formula>K3="Sí ✓"</formula>
    </cfRule>
  </conditionalFormatting>
  <dataValidations count="1">
    <dataValidation sqref="C3:C52" showDropDown="0" showInputMessage="0" showErrorMessage="0" allowBlank="1" type="list">
      <formula1>"Decisión,Azar,Resultado"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34" customWidth="1" min="4" max="4"/>
    <col width="13" customWidth="1" min="5" max="5"/>
    <col width="14" customWidth="1" min="6" max="6"/>
    <col width="14" customWidth="1" min="7" max="7"/>
    <col width="15" customWidth="1" min="8" max="8"/>
    <col width="16" customWidth="1" min="9" max="9"/>
    <col outlineLevel="1" width="20" customWidth="1" min="10" max="10"/>
    <col width="20" customWidth="1" min="11" max="11"/>
    <col width="3" customWidth="1" min="12" max="12"/>
  </cols>
  <sheetData>
    <row r="1">
      <c r="A1" s="4" t="inlineStr">
        <is>
          <t>Caso 2</t>
        </is>
      </c>
      <c r="M1" s="4" t="inlineStr">
        <is>
          <t>Diagrama</t>
        </is>
      </c>
    </row>
    <row r="2" ht="30" customHeight="1">
      <c r="A2" s="5" t="inlineStr">
        <is>
          <t>ID Nodo</t>
        </is>
      </c>
      <c r="B2" s="5" t="inlineStr">
        <is>
          <t>ID Padre</t>
        </is>
      </c>
      <c r="C2" s="5" t="inlineStr">
        <is>
          <t>Tipo</t>
        </is>
      </c>
      <c r="D2" s="5" t="inlineStr">
        <is>
          <t>Etiqueta</t>
        </is>
      </c>
      <c r="E2" s="5" t="inlineStr">
        <is>
          <t>Probabilidad</t>
        </is>
      </c>
      <c r="F2" s="5" t="inlineStr">
        <is>
          <t>Valor terminal</t>
        </is>
      </c>
      <c r="G2" s="5" t="inlineStr">
        <is>
          <t>Costo / inversión</t>
        </is>
      </c>
      <c r="H2" s="5" t="inlineStr">
        <is>
          <t>VME calculado</t>
        </is>
      </c>
      <c r="I2" s="5" t="inlineStr">
        <is>
          <t>Neto (VME - Costo)</t>
        </is>
      </c>
      <c r="J2" s="5" t="inlineStr">
        <is>
          <t>Tipo del padre (auxiliar)</t>
        </is>
      </c>
      <c r="K2" s="5" t="inlineStr">
        <is>
          <t>¿Mejor opción del padre?</t>
        </is>
      </c>
    </row>
    <row r="3">
      <c r="A3" s="6" t="n">
        <v>1</v>
      </c>
      <c r="B3" s="6" t="n"/>
      <c r="C3" s="6" t="inlineStr">
        <is>
          <t>Decisión</t>
        </is>
      </c>
      <c r="D3" s="6" t="inlineStr">
        <is>
          <t>¿Comprar una línea o dos líneas de fabricación?</t>
        </is>
      </c>
      <c r="E3" s="7" t="n"/>
      <c r="F3" s="8" t="n"/>
      <c r="G3" s="8" t="n">
        <v>0</v>
      </c>
      <c r="H3" s="9">
        <f>IF(A3="",0,IF(C3="Resultado",F3,IF(C3="Azar",SUMPRODUCT(($B$4:$B$52=A3)*($E$4:$E$52)*($H$4:$H$52)),IF(C3="Decisión",IFERROR(MAXIFS($I$4:$I$52,$B$4:$B$52,A3),0),0))))</f>
        <v/>
      </c>
      <c r="I3" s="9">
        <f>IF(A3="",0,H3-G3)</f>
        <v/>
      </c>
      <c r="J3" s="6">
        <f>IFERROR(INDEX($C$3:$C$52,MATCH(B3,$A$3:$A$52,0)),"")</f>
        <v/>
      </c>
      <c r="K3" s="6">
        <f>IF(OR(B3="",J3&lt;&gt;"Decisión"),"",IF(ROUND(I3,2)=ROUND(MAXIFS($I$3:$I$52,$B$3:$B$52,B3),2),"Sí ✓",""))</f>
        <v/>
      </c>
    </row>
    <row r="4">
      <c r="A4" s="6" t="n">
        <v>2</v>
      </c>
      <c r="B4" s="6" t="n">
        <v>1</v>
      </c>
      <c r="C4" s="6" t="inlineStr">
        <is>
          <t>Azar</t>
        </is>
      </c>
      <c r="D4" s="6" t="inlineStr">
        <is>
          <t>Comprar las dos líneas</t>
        </is>
      </c>
      <c r="E4" s="7" t="n"/>
      <c r="F4" s="8" t="n"/>
      <c r="G4" s="8" t="n">
        <v>0</v>
      </c>
      <c r="H4" s="9">
        <f>IF(A4="",0,IF(C4="Resultado",F4,IF(C4="Azar",SUMPRODUCT(($B$5:$B$52=A4)*($E$5:$E$52)*($H$5:$H$52)),IF(C4="Decisión",IFERROR(MAXIFS($I$5:$I$52,$B$5:$B$52,A4),0),0))))</f>
        <v/>
      </c>
      <c r="I4" s="9">
        <f>IF(A4="",0,H4-G4)</f>
        <v/>
      </c>
      <c r="J4" s="6">
        <f>IFERROR(INDEX($C$3:$C$52,MATCH(B4,$A$3:$A$52,0)),"")</f>
        <v/>
      </c>
      <c r="K4" s="6">
        <f>IF(OR(B4="",J4&lt;&gt;"Decisión"),"",IF(ROUND(I4,2)=ROUND(MAXIFS($I$3:$I$52,$B$3:$B$52,B4),2),"Sí ✓",""))</f>
        <v/>
      </c>
    </row>
    <row r="5">
      <c r="A5" s="6" t="n">
        <v>3</v>
      </c>
      <c r="B5" s="6" t="n">
        <v>1</v>
      </c>
      <c r="C5" s="6" t="inlineStr">
        <is>
          <t>Azar</t>
        </is>
      </c>
      <c r="D5" s="6" t="inlineStr">
        <is>
          <t>Comprar una línea</t>
        </is>
      </c>
      <c r="E5" s="7" t="n"/>
      <c r="F5" s="8" t="n"/>
      <c r="G5" s="8" t="n">
        <v>0</v>
      </c>
      <c r="H5" s="9">
        <f>IF(A5="",0,IF(C5="Resultado",F5,IF(C5="Azar",SUMPRODUCT(($B$6:$B$52=A5)*($E$6:$E$52)*($H$6:$H$52)),IF(C5="Decisión",IFERROR(MAXIFS($I$6:$I$52,$B$6:$B$52,A5),0),0))))</f>
        <v/>
      </c>
      <c r="I5" s="9">
        <f>IF(A5="",0,H5-G5)</f>
        <v/>
      </c>
      <c r="J5" s="6">
        <f>IFERROR(INDEX($C$3:$C$52,MATCH(B5,$A$3:$A$52,0)),"")</f>
        <v/>
      </c>
      <c r="K5" s="6">
        <f>IF(OR(B5="",J5&lt;&gt;"Decisión"),"",IF(ROUND(I5,2)=ROUND(MAXIFS($I$3:$I$52,$B$3:$B$52,B5),2),"Sí ✓",""))</f>
        <v/>
      </c>
    </row>
    <row r="6">
      <c r="A6" s="6" t="n">
        <v>4</v>
      </c>
      <c r="B6" s="6" t="n">
        <v>2</v>
      </c>
      <c r="C6" s="6" t="inlineStr">
        <is>
          <t>Resultado</t>
        </is>
      </c>
      <c r="D6" s="6" t="inlineStr">
        <is>
          <t>Demanda Baja</t>
        </is>
      </c>
      <c r="E6" s="7" t="n">
        <v>0.3</v>
      </c>
      <c r="F6" s="8" t="n">
        <v>90000</v>
      </c>
      <c r="G6" s="8" t="n">
        <v>0</v>
      </c>
      <c r="H6" s="9">
        <f>IF(A6="",0,IF(C6="Resultado",F6,IF(C6="Azar",SUMPRODUCT(($B$7:$B$52=A6)*($E$7:$E$52)*($H$7:$H$52)),IF(C6="Decisión",IFERROR(MAXIFS($I$7:$I$52,$B$7:$B$52,A6),0),0))))</f>
        <v/>
      </c>
      <c r="I6" s="9">
        <f>IF(A6="",0,H6-G6)</f>
        <v/>
      </c>
      <c r="J6" s="6">
        <f>IFERROR(INDEX($C$3:$C$52,MATCH(B6,$A$3:$A$52,0)),"")</f>
        <v/>
      </c>
      <c r="K6" s="6">
        <f>IF(OR(B6="",J6&lt;&gt;"Decisión"),"",IF(ROUND(I6,2)=ROUND(MAXIFS($I$3:$I$52,$B$3:$B$52,B6),2),"Sí ✓",""))</f>
        <v/>
      </c>
    </row>
    <row r="7">
      <c r="A7" s="6" t="n">
        <v>5</v>
      </c>
      <c r="B7" s="6" t="n">
        <v>2</v>
      </c>
      <c r="C7" s="6" t="inlineStr">
        <is>
          <t>Resultado</t>
        </is>
      </c>
      <c r="D7" s="6" t="inlineStr">
        <is>
          <t>Demanda Alta</t>
        </is>
      </c>
      <c r="E7" s="7" t="n">
        <v>0.7</v>
      </c>
      <c r="F7" s="8" t="n">
        <v>170000</v>
      </c>
      <c r="G7" s="8" t="n">
        <v>0</v>
      </c>
      <c r="H7" s="9">
        <f>IF(A7="",0,IF(C7="Resultado",F7,IF(C7="Azar",SUMPRODUCT(($B$8:$B$52=A7)*($E$8:$E$52)*($H$8:$H$52)),IF(C7="Decisión",IFERROR(MAXIFS($I$8:$I$52,$B$8:$B$52,A7),0),0))))</f>
        <v/>
      </c>
      <c r="I7" s="9">
        <f>IF(A7="",0,H7-G7)</f>
        <v/>
      </c>
      <c r="J7" s="6">
        <f>IFERROR(INDEX($C$3:$C$52,MATCH(B7,$A$3:$A$52,0)),"")</f>
        <v/>
      </c>
      <c r="K7" s="6">
        <f>IF(OR(B7="",J7&lt;&gt;"Decisión"),"",IF(ROUND(I7,2)=ROUND(MAXIFS($I$3:$I$52,$B$3:$B$52,B7),2),"Sí ✓",""))</f>
        <v/>
      </c>
    </row>
    <row r="8">
      <c r="A8" s="6" t="n">
        <v>6</v>
      </c>
      <c r="B8" s="6" t="n">
        <v>3</v>
      </c>
      <c r="C8" s="6" t="inlineStr">
        <is>
          <t>Resultado</t>
        </is>
      </c>
      <c r="D8" s="6" t="inlineStr">
        <is>
          <t>Demanda Baja</t>
        </is>
      </c>
      <c r="E8" s="7" t="n">
        <v>0.3</v>
      </c>
      <c r="F8" s="8" t="n">
        <v>120000</v>
      </c>
      <c r="G8" s="8" t="n">
        <v>0</v>
      </c>
      <c r="H8" s="9">
        <f>IF(A8="",0,IF(C8="Resultado",F8,IF(C8="Azar",SUMPRODUCT(($B$9:$B$52=A8)*($E$9:$E$52)*($H$9:$H$52)),IF(C8="Decisión",IFERROR(MAXIFS($I$9:$I$52,$B$9:$B$52,A8),0),0))))</f>
        <v/>
      </c>
      <c r="I8" s="9">
        <f>IF(A8="",0,H8-G8)</f>
        <v/>
      </c>
      <c r="J8" s="6">
        <f>IFERROR(INDEX($C$3:$C$52,MATCH(B8,$A$3:$A$52,0)),"")</f>
        <v/>
      </c>
      <c r="K8" s="6">
        <f>IF(OR(B8="",J8&lt;&gt;"Decisión"),"",IF(ROUND(I8,2)=ROUND(MAXIFS($I$3:$I$52,$B$3:$B$52,B8),2),"Sí ✓",""))</f>
        <v/>
      </c>
    </row>
    <row r="9">
      <c r="A9" s="6" t="n">
        <v>7</v>
      </c>
      <c r="B9" s="6" t="n">
        <v>3</v>
      </c>
      <c r="C9" s="6" t="inlineStr">
        <is>
          <t>Decisión</t>
        </is>
      </c>
      <c r="D9" s="6" t="inlineStr">
        <is>
          <t>Demanda Alta: ¿qué hacer?</t>
        </is>
      </c>
      <c r="E9" s="7" t="n">
        <v>0.7</v>
      </c>
      <c r="F9" s="8" t="n"/>
      <c r="G9" s="8" t="n">
        <v>0</v>
      </c>
      <c r="H9" s="9">
        <f>IF(A9="",0,IF(C9="Resultado",F9,IF(C9="Azar",SUMPRODUCT(($B$10:$B$52=A9)*($E$10:$E$52)*($H$10:$H$52)),IF(C9="Decisión",IFERROR(MAXIFS($I$10:$I$52,$B$10:$B$52,A9),0),0))))</f>
        <v/>
      </c>
      <c r="I9" s="9">
        <f>IF(A9="",0,H9-G9)</f>
        <v/>
      </c>
      <c r="J9" s="6">
        <f>IFERROR(INDEX($C$3:$C$52,MATCH(B9,$A$3:$A$52,0)),"")</f>
        <v/>
      </c>
      <c r="K9" s="6">
        <f>IF(OR(B9="",J9&lt;&gt;"Decisión"),"",IF(ROUND(I9,2)=ROUND(MAXIFS($I$3:$I$52,$B$3:$B$52,B9),2),"Sí ✓",""))</f>
        <v/>
      </c>
    </row>
    <row r="10">
      <c r="A10" s="6" t="n">
        <v>8</v>
      </c>
      <c r="B10" s="6" t="n">
        <v>7</v>
      </c>
      <c r="C10" s="6" t="inlineStr">
        <is>
          <t>Resultado</t>
        </is>
      </c>
      <c r="D10" s="6" t="inlineStr">
        <is>
          <t>No hacer nada</t>
        </is>
      </c>
      <c r="E10" s="7" t="n"/>
      <c r="F10" s="8" t="n">
        <v>120000</v>
      </c>
      <c r="G10" s="8" t="n">
        <v>0</v>
      </c>
      <c r="H10" s="9">
        <f>IF(A10="",0,IF(C10="Resultado",F10,IF(C10="Azar",SUMPRODUCT(($B$11:$B$52=A10)*($E$11:$E$52)*($H$11:$H$52)),IF(C10="Decisión",IFERROR(MAXIFS($I$11:$I$52,$B$11:$B$52,A10),0),0))))</f>
        <v/>
      </c>
      <c r="I10" s="9">
        <f>IF(A10="",0,H10-G10)</f>
        <v/>
      </c>
      <c r="J10" s="6">
        <f>IFERROR(INDEX($C$3:$C$52,MATCH(B10,$A$3:$A$52,0)),"")</f>
        <v/>
      </c>
      <c r="K10" s="6">
        <f>IF(OR(B10="",J10&lt;&gt;"Decisión"),"",IF(ROUND(I10,2)=ROUND(MAXIFS($I$3:$I$52,$B$3:$B$52,B10),2),"Sí ✓",""))</f>
        <v/>
      </c>
    </row>
    <row r="11">
      <c r="A11" s="6" t="n">
        <v>9</v>
      </c>
      <c r="B11" s="6" t="n">
        <v>7</v>
      </c>
      <c r="C11" s="6" t="inlineStr">
        <is>
          <t>Resultado</t>
        </is>
      </c>
      <c r="D11" s="6" t="inlineStr">
        <is>
          <t>Subcontratar</t>
        </is>
      </c>
      <c r="E11" s="7" t="n"/>
      <c r="F11" s="8" t="n">
        <v>140000</v>
      </c>
      <c r="G11" s="8" t="n">
        <v>0</v>
      </c>
      <c r="H11" s="9">
        <f>IF(A11="",0,IF(C11="Resultado",F11,IF(C11="Azar",SUMPRODUCT(($B$12:$B$52=A11)*($E$12:$E$52)*($H$12:$H$52)),IF(C11="Decisión",IFERROR(MAXIFS($I$12:$I$52,$B$12:$B$52,A11),0),0))))</f>
        <v/>
      </c>
      <c r="I11" s="9">
        <f>IF(A11="",0,H11-G11)</f>
        <v/>
      </c>
      <c r="J11" s="6">
        <f>IFERROR(INDEX($C$3:$C$52,MATCH(B11,$A$3:$A$52,0)),"")</f>
        <v/>
      </c>
      <c r="K11" s="6">
        <f>IF(OR(B11="",J11&lt;&gt;"Decisión"),"",IF(ROUND(I11,2)=ROUND(MAXIFS($I$3:$I$52,$B$3:$B$52,B11),2),"Sí ✓",""))</f>
        <v/>
      </c>
    </row>
    <row r="12">
      <c r="A12" s="6" t="n">
        <v>10</v>
      </c>
      <c r="B12" s="6" t="n">
        <v>7</v>
      </c>
      <c r="C12" s="6" t="inlineStr">
        <is>
          <t>Resultado</t>
        </is>
      </c>
      <c r="D12" s="6" t="inlineStr">
        <is>
          <t>Comprar 2ª línea</t>
        </is>
      </c>
      <c r="E12" s="7" t="n"/>
      <c r="F12" s="8" t="n">
        <v>130000</v>
      </c>
      <c r="G12" s="8" t="n">
        <v>0</v>
      </c>
      <c r="H12" s="9">
        <f>IF(A12="",0,IF(C12="Resultado",F12,IF(C12="Azar",SUMPRODUCT(($B$13:$B$52=A12)*($E$13:$E$52)*($H$13:$H$52)),IF(C12="Decisión",IFERROR(MAXIFS($I$13:$I$52,$B$13:$B$52,A12),0),0))))</f>
        <v/>
      </c>
      <c r="I12" s="9">
        <f>IF(A12="",0,H12-G12)</f>
        <v/>
      </c>
      <c r="J12" s="6">
        <f>IFERROR(INDEX($C$3:$C$52,MATCH(B12,$A$3:$A$52,0)),"")</f>
        <v/>
      </c>
      <c r="K12" s="6">
        <f>IF(OR(B12="",J12&lt;&gt;"Decisión"),"",IF(ROUND(I12,2)=ROUND(MAXIFS($I$3:$I$52,$B$3:$B$52,B12),2),"Sí ✓",""))</f>
        <v/>
      </c>
    </row>
    <row r="13">
      <c r="A13" s="6" t="n"/>
      <c r="B13" s="6" t="n"/>
      <c r="C13" s="6" t="n"/>
      <c r="D13" s="6" t="n"/>
      <c r="E13" s="7" t="n"/>
      <c r="F13" s="8" t="n"/>
      <c r="G13" s="8" t="n"/>
      <c r="H13" s="9">
        <f>IF(A13="",0,IF(C13="Resultado",F13,IF(C13="Azar",SUMPRODUCT(($B$14:$B$52=A13)*($E$14:$E$52)*($H$14:$H$52)),IF(C13="Decisión",IFERROR(MAXIFS($I$14:$I$52,$B$14:$B$52,A13),0),0))))</f>
        <v/>
      </c>
      <c r="I13" s="9">
        <f>IF(A13="",0,H13-G13)</f>
        <v/>
      </c>
      <c r="J13" s="6">
        <f>IFERROR(INDEX($C$3:$C$52,MATCH(B13,$A$3:$A$52,0)),"")</f>
        <v/>
      </c>
      <c r="K13" s="6">
        <f>IF(OR(B13="",J13&lt;&gt;"Decisión"),"",IF(ROUND(I13,2)=ROUND(MAXIFS($I$3:$I$52,$B$3:$B$52,B13),2),"Sí ✓",""))</f>
        <v/>
      </c>
    </row>
    <row r="14">
      <c r="A14" s="6" t="n"/>
      <c r="B14" s="6" t="n"/>
      <c r="C14" s="6" t="n"/>
      <c r="D14" s="6" t="n"/>
      <c r="E14" s="7" t="n"/>
      <c r="F14" s="8" t="n"/>
      <c r="G14" s="8" t="n"/>
      <c r="H14" s="9">
        <f>IF(A14="",0,IF(C14="Resultado",F14,IF(C14="Azar",SUMPRODUCT(($B$15:$B$52=A14)*($E$15:$E$52)*($H$15:$H$52)),IF(C14="Decisión",IFERROR(MAXIFS($I$15:$I$52,$B$15:$B$52,A14),0),0))))</f>
        <v/>
      </c>
      <c r="I14" s="9">
        <f>IF(A14="",0,H14-G14)</f>
        <v/>
      </c>
      <c r="J14" s="6">
        <f>IFERROR(INDEX($C$3:$C$52,MATCH(B14,$A$3:$A$52,0)),"")</f>
        <v/>
      </c>
      <c r="K14" s="6">
        <f>IF(OR(B14="",J14&lt;&gt;"Decisión"),"",IF(ROUND(I14,2)=ROUND(MAXIFS($I$3:$I$52,$B$3:$B$52,B14),2),"Sí ✓",""))</f>
        <v/>
      </c>
    </row>
    <row r="15">
      <c r="A15" s="6" t="n"/>
      <c r="B15" s="6" t="n"/>
      <c r="C15" s="6" t="n"/>
      <c r="D15" s="6" t="n"/>
      <c r="E15" s="7" t="n"/>
      <c r="F15" s="8" t="n"/>
      <c r="G15" s="8" t="n"/>
      <c r="H15" s="9">
        <f>IF(A15="",0,IF(C15="Resultado",F15,IF(C15="Azar",SUMPRODUCT(($B$16:$B$52=A15)*($E$16:$E$52)*($H$16:$H$52)),IF(C15="Decisión",IFERROR(MAXIFS($I$16:$I$52,$B$16:$B$52,A15),0),0))))</f>
        <v/>
      </c>
      <c r="I15" s="9">
        <f>IF(A15="",0,H15-G15)</f>
        <v/>
      </c>
      <c r="J15" s="6">
        <f>IFERROR(INDEX($C$3:$C$52,MATCH(B15,$A$3:$A$52,0)),"")</f>
        <v/>
      </c>
      <c r="K15" s="6">
        <f>IF(OR(B15="",J15&lt;&gt;"Decisión"),"",IF(ROUND(I15,2)=ROUND(MAXIFS($I$3:$I$52,$B$3:$B$52,B15),2),"Sí ✓",""))</f>
        <v/>
      </c>
    </row>
    <row r="16">
      <c r="A16" s="6" t="n"/>
      <c r="B16" s="6" t="n"/>
      <c r="C16" s="6" t="n"/>
      <c r="D16" s="6" t="n"/>
      <c r="E16" s="7" t="n"/>
      <c r="F16" s="8" t="n"/>
      <c r="G16" s="8" t="n"/>
      <c r="H16" s="9">
        <f>IF(A16="",0,IF(C16="Resultado",F16,IF(C16="Azar",SUMPRODUCT(($B$17:$B$52=A16)*($E$17:$E$52)*($H$17:$H$52)),IF(C16="Decisión",IFERROR(MAXIFS($I$17:$I$52,$B$17:$B$52,A16),0),0))))</f>
        <v/>
      </c>
      <c r="I16" s="9">
        <f>IF(A16="",0,H16-G16)</f>
        <v/>
      </c>
      <c r="J16" s="6">
        <f>IFERROR(INDEX($C$3:$C$52,MATCH(B16,$A$3:$A$52,0)),"")</f>
        <v/>
      </c>
      <c r="K16" s="6">
        <f>IF(OR(B16="",J16&lt;&gt;"Decisión"),"",IF(ROUND(I16,2)=ROUND(MAXIFS($I$3:$I$52,$B$3:$B$52,B16),2),"Sí ✓",""))</f>
        <v/>
      </c>
    </row>
    <row r="17">
      <c r="A17" s="6" t="n"/>
      <c r="B17" s="6" t="n"/>
      <c r="C17" s="6" t="n"/>
      <c r="D17" s="6" t="n"/>
      <c r="E17" s="7" t="n"/>
      <c r="F17" s="8" t="n"/>
      <c r="G17" s="8" t="n"/>
      <c r="H17" s="9">
        <f>IF(A17="",0,IF(C17="Resultado",F17,IF(C17="Azar",SUMPRODUCT(($B$18:$B$52=A17)*($E$18:$E$52)*($H$18:$H$52)),IF(C17="Decisión",IFERROR(MAXIFS($I$18:$I$52,$B$18:$B$52,A17),0),0))))</f>
        <v/>
      </c>
      <c r="I17" s="9">
        <f>IF(A17="",0,H17-G17)</f>
        <v/>
      </c>
      <c r="J17" s="6">
        <f>IFERROR(INDEX($C$3:$C$52,MATCH(B17,$A$3:$A$52,0)),"")</f>
        <v/>
      </c>
      <c r="K17" s="6">
        <f>IF(OR(B17="",J17&lt;&gt;"Decisión"),"",IF(ROUND(I17,2)=ROUND(MAXIFS($I$3:$I$52,$B$3:$B$52,B17),2),"Sí ✓",""))</f>
        <v/>
      </c>
    </row>
    <row r="18">
      <c r="A18" s="6" t="n"/>
      <c r="B18" s="6" t="n"/>
      <c r="C18" s="6" t="n"/>
      <c r="D18" s="6" t="n"/>
      <c r="E18" s="7" t="n"/>
      <c r="F18" s="8" t="n"/>
      <c r="G18" s="8" t="n"/>
      <c r="H18" s="9">
        <f>IF(A18="",0,IF(C18="Resultado",F18,IF(C18="Azar",SUMPRODUCT(($B$19:$B$52=A18)*($E$19:$E$52)*($H$19:$H$52)),IF(C18="Decisión",IFERROR(MAXIFS($I$19:$I$52,$B$19:$B$52,A18),0),0))))</f>
        <v/>
      </c>
      <c r="I18" s="9">
        <f>IF(A18="",0,H18-G18)</f>
        <v/>
      </c>
      <c r="J18" s="6">
        <f>IFERROR(INDEX($C$3:$C$52,MATCH(B18,$A$3:$A$52,0)),"")</f>
        <v/>
      </c>
      <c r="K18" s="6">
        <f>IF(OR(B18="",J18&lt;&gt;"Decisión"),"",IF(ROUND(I18,2)=ROUND(MAXIFS($I$3:$I$52,$B$3:$B$52,B18),2),"Sí ✓",""))</f>
        <v/>
      </c>
    </row>
    <row r="19">
      <c r="A19" s="6" t="n"/>
      <c r="B19" s="6" t="n"/>
      <c r="C19" s="6" t="n"/>
      <c r="D19" s="6" t="n"/>
      <c r="E19" s="7" t="n"/>
      <c r="F19" s="8" t="n"/>
      <c r="G19" s="8" t="n"/>
      <c r="H19" s="9">
        <f>IF(A19="",0,IF(C19="Resultado",F19,IF(C19="Azar",SUMPRODUCT(($B$20:$B$52=A19)*($E$20:$E$52)*($H$20:$H$52)),IF(C19="Decisión",IFERROR(MAXIFS($I$20:$I$52,$B$20:$B$52,A19),0),0))))</f>
        <v/>
      </c>
      <c r="I19" s="9">
        <f>IF(A19="",0,H19-G19)</f>
        <v/>
      </c>
      <c r="J19" s="6">
        <f>IFERROR(INDEX($C$3:$C$52,MATCH(B19,$A$3:$A$52,0)),"")</f>
        <v/>
      </c>
      <c r="K19" s="6">
        <f>IF(OR(B19="",J19&lt;&gt;"Decisión"),"",IF(ROUND(I19,2)=ROUND(MAXIFS($I$3:$I$52,$B$3:$B$52,B19),2),"Sí ✓",""))</f>
        <v/>
      </c>
    </row>
    <row r="20">
      <c r="A20" s="6" t="n"/>
      <c r="B20" s="6" t="n"/>
      <c r="C20" s="6" t="n"/>
      <c r="D20" s="6" t="n"/>
      <c r="E20" s="7" t="n"/>
      <c r="F20" s="8" t="n"/>
      <c r="G20" s="8" t="n"/>
      <c r="H20" s="9">
        <f>IF(A20="",0,IF(C20="Resultado",F20,IF(C20="Azar",SUMPRODUCT(($B$21:$B$52=A20)*($E$21:$E$52)*($H$21:$H$52)),IF(C20="Decisión",IFERROR(MAXIFS($I$21:$I$52,$B$21:$B$52,A20),0),0))))</f>
        <v/>
      </c>
      <c r="I20" s="9">
        <f>IF(A20="",0,H20-G20)</f>
        <v/>
      </c>
      <c r="J20" s="6">
        <f>IFERROR(INDEX($C$3:$C$52,MATCH(B20,$A$3:$A$52,0)),"")</f>
        <v/>
      </c>
      <c r="K20" s="6">
        <f>IF(OR(B20="",J20&lt;&gt;"Decisión"),"",IF(ROUND(I20,2)=ROUND(MAXIFS($I$3:$I$52,$B$3:$B$52,B20),2),"Sí ✓",""))</f>
        <v/>
      </c>
    </row>
    <row r="21">
      <c r="A21" s="6" t="n"/>
      <c r="B21" s="6" t="n"/>
      <c r="C21" s="6" t="n"/>
      <c r="D21" s="6" t="n"/>
      <c r="E21" s="7" t="n"/>
      <c r="F21" s="8" t="n"/>
      <c r="G21" s="8" t="n"/>
      <c r="H21" s="9">
        <f>IF(A21="",0,IF(C21="Resultado",F21,IF(C21="Azar",SUMPRODUCT(($B$22:$B$52=A21)*($E$22:$E$52)*($H$22:$H$52)),IF(C21="Decisión",IFERROR(MAXIFS($I$22:$I$52,$B$22:$B$52,A21),0),0))))</f>
        <v/>
      </c>
      <c r="I21" s="9">
        <f>IF(A21="",0,H21-G21)</f>
        <v/>
      </c>
      <c r="J21" s="6">
        <f>IFERROR(INDEX($C$3:$C$52,MATCH(B21,$A$3:$A$52,0)),"")</f>
        <v/>
      </c>
      <c r="K21" s="6">
        <f>IF(OR(B21="",J21&lt;&gt;"Decisión"),"",IF(ROUND(I21,2)=ROUND(MAXIFS($I$3:$I$52,$B$3:$B$52,B21),2),"Sí ✓",""))</f>
        <v/>
      </c>
    </row>
    <row r="22">
      <c r="A22" s="6" t="n"/>
      <c r="B22" s="6" t="n"/>
      <c r="C22" s="6" t="n"/>
      <c r="D22" s="6" t="n"/>
      <c r="E22" s="7" t="n"/>
      <c r="F22" s="8" t="n"/>
      <c r="G22" s="8" t="n"/>
      <c r="H22" s="9">
        <f>IF(A22="",0,IF(C22="Resultado",F22,IF(C22="Azar",SUMPRODUCT(($B$23:$B$52=A22)*($E$23:$E$52)*($H$23:$H$52)),IF(C22="Decisión",IFERROR(MAXIFS($I$23:$I$52,$B$23:$B$52,A22),0),0))))</f>
        <v/>
      </c>
      <c r="I22" s="9">
        <f>IF(A22="",0,H22-G22)</f>
        <v/>
      </c>
      <c r="J22" s="6">
        <f>IFERROR(INDEX($C$3:$C$52,MATCH(B22,$A$3:$A$52,0)),"")</f>
        <v/>
      </c>
      <c r="K22" s="6">
        <f>IF(OR(B22="",J22&lt;&gt;"Decisión"),"",IF(ROUND(I22,2)=ROUND(MAXIFS($I$3:$I$52,$B$3:$B$52,B22),2),"Sí ✓",""))</f>
        <v/>
      </c>
    </row>
    <row r="23">
      <c r="A23" s="6" t="n"/>
      <c r="B23" s="6" t="n"/>
      <c r="C23" s="6" t="n"/>
      <c r="D23" s="6" t="n"/>
      <c r="E23" s="7" t="n"/>
      <c r="F23" s="8" t="n"/>
      <c r="G23" s="8" t="n"/>
      <c r="H23" s="9">
        <f>IF(A23="",0,IF(C23="Resultado",F23,IF(C23="Azar",SUMPRODUCT(($B$24:$B$52=A23)*($E$24:$E$52)*($H$24:$H$52)),IF(C23="Decisión",IFERROR(MAXIFS($I$24:$I$52,$B$24:$B$52,A23),0),0))))</f>
        <v/>
      </c>
      <c r="I23" s="9">
        <f>IF(A23="",0,H23-G23)</f>
        <v/>
      </c>
      <c r="J23" s="6">
        <f>IFERROR(INDEX($C$3:$C$52,MATCH(B23,$A$3:$A$52,0)),"")</f>
        <v/>
      </c>
      <c r="K23" s="6">
        <f>IF(OR(B23="",J23&lt;&gt;"Decisión"),"",IF(ROUND(I23,2)=ROUND(MAXIFS($I$3:$I$52,$B$3:$B$52,B23),2),"Sí ✓",""))</f>
        <v/>
      </c>
    </row>
    <row r="24">
      <c r="A24" s="6" t="n"/>
      <c r="B24" s="6" t="n"/>
      <c r="C24" s="6" t="n"/>
      <c r="D24" s="6" t="n"/>
      <c r="E24" s="7" t="n"/>
      <c r="F24" s="8" t="n"/>
      <c r="G24" s="8" t="n"/>
      <c r="H24" s="9">
        <f>IF(A24="",0,IF(C24="Resultado",F24,IF(C24="Azar",SUMPRODUCT(($B$25:$B$52=A24)*($E$25:$E$52)*($H$25:$H$52)),IF(C24="Decisión",IFERROR(MAXIFS($I$25:$I$52,$B$25:$B$52,A24),0),0))))</f>
        <v/>
      </c>
      <c r="I24" s="9">
        <f>IF(A24="",0,H24-G24)</f>
        <v/>
      </c>
      <c r="J24" s="6">
        <f>IFERROR(INDEX($C$3:$C$52,MATCH(B24,$A$3:$A$52,0)),"")</f>
        <v/>
      </c>
      <c r="K24" s="6">
        <f>IF(OR(B24="",J24&lt;&gt;"Decisión"),"",IF(ROUND(I24,2)=ROUND(MAXIFS($I$3:$I$52,$B$3:$B$52,B24),2),"Sí ✓",""))</f>
        <v/>
      </c>
    </row>
    <row r="25">
      <c r="A25" s="6" t="n"/>
      <c r="B25" s="6" t="n"/>
      <c r="C25" s="6" t="n"/>
      <c r="D25" s="6" t="n"/>
      <c r="E25" s="7" t="n"/>
      <c r="F25" s="8" t="n"/>
      <c r="G25" s="8" t="n"/>
      <c r="H25" s="9">
        <f>IF(A25="",0,IF(C25="Resultado",F25,IF(C25="Azar",SUMPRODUCT(($B$26:$B$52=A25)*($E$26:$E$52)*($H$26:$H$52)),IF(C25="Decisión",IFERROR(MAXIFS($I$26:$I$52,$B$26:$B$52,A25),0),0))))</f>
        <v/>
      </c>
      <c r="I25" s="9">
        <f>IF(A25="",0,H25-G25)</f>
        <v/>
      </c>
      <c r="J25" s="6">
        <f>IFERROR(INDEX($C$3:$C$52,MATCH(B25,$A$3:$A$52,0)),"")</f>
        <v/>
      </c>
      <c r="K25" s="6">
        <f>IF(OR(B25="",J25&lt;&gt;"Decisión"),"",IF(ROUND(I25,2)=ROUND(MAXIFS($I$3:$I$52,$B$3:$B$52,B25),2),"Sí ✓",""))</f>
        <v/>
      </c>
    </row>
    <row r="26">
      <c r="A26" s="6" t="n"/>
      <c r="B26" s="6" t="n"/>
      <c r="C26" s="6" t="n"/>
      <c r="D26" s="6" t="n"/>
      <c r="E26" s="7" t="n"/>
      <c r="F26" s="8" t="n"/>
      <c r="G26" s="8" t="n"/>
      <c r="H26" s="9">
        <f>IF(A26="",0,IF(C26="Resultado",F26,IF(C26="Azar",SUMPRODUCT(($B$27:$B$52=A26)*($E$27:$E$52)*($H$27:$H$52)),IF(C26="Decisión",IFERROR(MAXIFS($I$27:$I$52,$B$27:$B$52,A26),0),0))))</f>
        <v/>
      </c>
      <c r="I26" s="9">
        <f>IF(A26="",0,H26-G26)</f>
        <v/>
      </c>
      <c r="J26" s="6">
        <f>IFERROR(INDEX($C$3:$C$52,MATCH(B26,$A$3:$A$52,0)),"")</f>
        <v/>
      </c>
      <c r="K26" s="6">
        <f>IF(OR(B26="",J26&lt;&gt;"Decisión"),"",IF(ROUND(I26,2)=ROUND(MAXIFS($I$3:$I$52,$B$3:$B$52,B26),2),"Sí ✓",""))</f>
        <v/>
      </c>
    </row>
    <row r="27">
      <c r="A27" s="6" t="n"/>
      <c r="B27" s="6" t="n"/>
      <c r="C27" s="6" t="n"/>
      <c r="D27" s="6" t="n"/>
      <c r="E27" s="7" t="n"/>
      <c r="F27" s="8" t="n"/>
      <c r="G27" s="8" t="n"/>
      <c r="H27" s="9">
        <f>IF(A27="",0,IF(C27="Resultado",F27,IF(C27="Azar",SUMPRODUCT(($B$28:$B$52=A27)*($E$28:$E$52)*($H$28:$H$52)),IF(C27="Decisión",IFERROR(MAXIFS($I$28:$I$52,$B$28:$B$52,A27),0),0))))</f>
        <v/>
      </c>
      <c r="I27" s="9">
        <f>IF(A27="",0,H27-G27)</f>
        <v/>
      </c>
      <c r="J27" s="6">
        <f>IFERROR(INDEX($C$3:$C$52,MATCH(B27,$A$3:$A$52,0)),"")</f>
        <v/>
      </c>
      <c r="K27" s="6">
        <f>IF(OR(B27="",J27&lt;&gt;"Decisión"),"",IF(ROUND(I27,2)=ROUND(MAXIFS($I$3:$I$52,$B$3:$B$52,B27),2),"Sí ✓",""))</f>
        <v/>
      </c>
    </row>
    <row r="28">
      <c r="A28" s="6" t="n"/>
      <c r="B28" s="6" t="n"/>
      <c r="C28" s="6" t="n"/>
      <c r="D28" s="6" t="n"/>
      <c r="E28" s="7" t="n"/>
      <c r="F28" s="8" t="n"/>
      <c r="G28" s="8" t="n"/>
      <c r="H28" s="9">
        <f>IF(A28="",0,IF(C28="Resultado",F28,IF(C28="Azar",SUMPRODUCT(($B$29:$B$52=A28)*($E$29:$E$52)*($H$29:$H$52)),IF(C28="Decisión",IFERROR(MAXIFS($I$29:$I$52,$B$29:$B$52,A28),0),0))))</f>
        <v/>
      </c>
      <c r="I28" s="9">
        <f>IF(A28="",0,H28-G28)</f>
        <v/>
      </c>
      <c r="J28" s="6">
        <f>IFERROR(INDEX($C$3:$C$52,MATCH(B28,$A$3:$A$52,0)),"")</f>
        <v/>
      </c>
      <c r="K28" s="6">
        <f>IF(OR(B28="",J28&lt;&gt;"Decisión"),"",IF(ROUND(I28,2)=ROUND(MAXIFS($I$3:$I$52,$B$3:$B$52,B28),2),"Sí ✓",""))</f>
        <v/>
      </c>
    </row>
    <row r="29">
      <c r="A29" s="6" t="n"/>
      <c r="B29" s="6" t="n"/>
      <c r="C29" s="6" t="n"/>
      <c r="D29" s="6" t="n"/>
      <c r="E29" s="7" t="n"/>
      <c r="F29" s="8" t="n"/>
      <c r="G29" s="8" t="n"/>
      <c r="H29" s="9">
        <f>IF(A29="",0,IF(C29="Resultado",F29,IF(C29="Azar",SUMPRODUCT(($B$30:$B$52=A29)*($E$30:$E$52)*($H$30:$H$52)),IF(C29="Decisión",IFERROR(MAXIFS($I$30:$I$52,$B$30:$B$52,A29),0),0))))</f>
        <v/>
      </c>
      <c r="I29" s="9">
        <f>IF(A29="",0,H29-G29)</f>
        <v/>
      </c>
      <c r="J29" s="6">
        <f>IFERROR(INDEX($C$3:$C$52,MATCH(B29,$A$3:$A$52,0)),"")</f>
        <v/>
      </c>
      <c r="K29" s="6">
        <f>IF(OR(B29="",J29&lt;&gt;"Decisión"),"",IF(ROUND(I29,2)=ROUND(MAXIFS($I$3:$I$52,$B$3:$B$52,B29),2),"Sí ✓",""))</f>
        <v/>
      </c>
    </row>
    <row r="30">
      <c r="A30" s="6" t="n"/>
      <c r="B30" s="6" t="n"/>
      <c r="C30" s="6" t="n"/>
      <c r="D30" s="6" t="n"/>
      <c r="E30" s="7" t="n"/>
      <c r="F30" s="8" t="n"/>
      <c r="G30" s="8" t="n"/>
      <c r="H30" s="9">
        <f>IF(A30="",0,IF(C30="Resultado",F30,IF(C30="Azar",SUMPRODUCT(($B$31:$B$52=A30)*($E$31:$E$52)*($H$31:$H$52)),IF(C30="Decisión",IFERROR(MAXIFS($I$31:$I$52,$B$31:$B$52,A30),0),0))))</f>
        <v/>
      </c>
      <c r="I30" s="9">
        <f>IF(A30="",0,H30-G30)</f>
        <v/>
      </c>
      <c r="J30" s="6">
        <f>IFERROR(INDEX($C$3:$C$52,MATCH(B30,$A$3:$A$52,0)),"")</f>
        <v/>
      </c>
      <c r="K30" s="6">
        <f>IF(OR(B30="",J30&lt;&gt;"Decisión"),"",IF(ROUND(I30,2)=ROUND(MAXIFS($I$3:$I$52,$B$3:$B$52,B30),2),"Sí ✓",""))</f>
        <v/>
      </c>
    </row>
    <row r="31">
      <c r="A31" s="6" t="n"/>
      <c r="B31" s="6" t="n"/>
      <c r="C31" s="6" t="n"/>
      <c r="D31" s="6" t="n"/>
      <c r="E31" s="7" t="n"/>
      <c r="F31" s="8" t="n"/>
      <c r="G31" s="8" t="n"/>
      <c r="H31" s="9">
        <f>IF(A31="",0,IF(C31="Resultado",F31,IF(C31="Azar",SUMPRODUCT(($B$32:$B$52=A31)*($E$32:$E$52)*($H$32:$H$52)),IF(C31="Decisión",IFERROR(MAXIFS($I$32:$I$52,$B$32:$B$52,A31),0),0))))</f>
        <v/>
      </c>
      <c r="I31" s="9">
        <f>IF(A31="",0,H31-G31)</f>
        <v/>
      </c>
      <c r="J31" s="6">
        <f>IFERROR(INDEX($C$3:$C$52,MATCH(B31,$A$3:$A$52,0)),"")</f>
        <v/>
      </c>
      <c r="K31" s="6">
        <f>IF(OR(B31="",J31&lt;&gt;"Decisión"),"",IF(ROUND(I31,2)=ROUND(MAXIFS($I$3:$I$52,$B$3:$B$52,B31),2),"Sí ✓",""))</f>
        <v/>
      </c>
    </row>
    <row r="32">
      <c r="A32" s="6" t="n"/>
      <c r="B32" s="6" t="n"/>
      <c r="C32" s="6" t="n"/>
      <c r="D32" s="6" t="n"/>
      <c r="E32" s="7" t="n"/>
      <c r="F32" s="8" t="n"/>
      <c r="G32" s="8" t="n"/>
      <c r="H32" s="9">
        <f>IF(A32="",0,IF(C32="Resultado",F32,IF(C32="Azar",SUMPRODUCT(($B$33:$B$52=A32)*($E$33:$E$52)*($H$33:$H$52)),IF(C32="Decisión",IFERROR(MAXIFS($I$33:$I$52,$B$33:$B$52,A32),0),0))))</f>
        <v/>
      </c>
      <c r="I32" s="9">
        <f>IF(A32="",0,H32-G32)</f>
        <v/>
      </c>
      <c r="J32" s="6">
        <f>IFERROR(INDEX($C$3:$C$52,MATCH(B32,$A$3:$A$52,0)),"")</f>
        <v/>
      </c>
      <c r="K32" s="6">
        <f>IF(OR(B32="",J32&lt;&gt;"Decisión"),"",IF(ROUND(I32,2)=ROUND(MAXIFS($I$3:$I$52,$B$3:$B$52,B32),2),"Sí ✓",""))</f>
        <v/>
      </c>
    </row>
    <row r="33">
      <c r="A33" s="6" t="n"/>
      <c r="B33" s="6" t="n"/>
      <c r="C33" s="6" t="n"/>
      <c r="D33" s="6" t="n"/>
      <c r="E33" s="7" t="n"/>
      <c r="F33" s="8" t="n"/>
      <c r="G33" s="8" t="n"/>
      <c r="H33" s="9">
        <f>IF(A33="",0,IF(C33="Resultado",F33,IF(C33="Azar",SUMPRODUCT(($B$34:$B$52=A33)*($E$34:$E$52)*($H$34:$H$52)),IF(C33="Decisión",IFERROR(MAXIFS($I$34:$I$52,$B$34:$B$52,A33),0),0))))</f>
        <v/>
      </c>
      <c r="I33" s="9">
        <f>IF(A33="",0,H33-G33)</f>
        <v/>
      </c>
      <c r="J33" s="6">
        <f>IFERROR(INDEX($C$3:$C$52,MATCH(B33,$A$3:$A$52,0)),"")</f>
        <v/>
      </c>
      <c r="K33" s="6">
        <f>IF(OR(B33="",J33&lt;&gt;"Decisión"),"",IF(ROUND(I33,2)=ROUND(MAXIFS($I$3:$I$52,$B$3:$B$52,B33),2),"Sí ✓",""))</f>
        <v/>
      </c>
    </row>
    <row r="34">
      <c r="A34" s="6" t="n"/>
      <c r="B34" s="6" t="n"/>
      <c r="C34" s="6" t="n"/>
      <c r="D34" s="6" t="n"/>
      <c r="E34" s="7" t="n"/>
      <c r="F34" s="8" t="n"/>
      <c r="G34" s="8" t="n"/>
      <c r="H34" s="9">
        <f>IF(A34="",0,IF(C34="Resultado",F34,IF(C34="Azar",SUMPRODUCT(($B$35:$B$52=A34)*($E$35:$E$52)*($H$35:$H$52)),IF(C34="Decisión",IFERROR(MAXIFS($I$35:$I$52,$B$35:$B$52,A34),0),0))))</f>
        <v/>
      </c>
      <c r="I34" s="9">
        <f>IF(A34="",0,H34-G34)</f>
        <v/>
      </c>
      <c r="J34" s="6">
        <f>IFERROR(INDEX($C$3:$C$52,MATCH(B34,$A$3:$A$52,0)),"")</f>
        <v/>
      </c>
      <c r="K34" s="6">
        <f>IF(OR(B34="",J34&lt;&gt;"Decisión"),"",IF(ROUND(I34,2)=ROUND(MAXIFS($I$3:$I$52,$B$3:$B$52,B34),2),"Sí ✓",""))</f>
        <v/>
      </c>
    </row>
    <row r="35">
      <c r="A35" s="6" t="n"/>
      <c r="B35" s="6" t="n"/>
      <c r="C35" s="6" t="n"/>
      <c r="D35" s="6" t="n"/>
      <c r="E35" s="7" t="n"/>
      <c r="F35" s="8" t="n"/>
      <c r="G35" s="8" t="n"/>
      <c r="H35" s="9">
        <f>IF(A35="",0,IF(C35="Resultado",F35,IF(C35="Azar",SUMPRODUCT(($B$36:$B$52=A35)*($E$36:$E$52)*($H$36:$H$52)),IF(C35="Decisión",IFERROR(MAXIFS($I$36:$I$52,$B$36:$B$52,A35),0),0))))</f>
        <v/>
      </c>
      <c r="I35" s="9">
        <f>IF(A35="",0,H35-G35)</f>
        <v/>
      </c>
      <c r="J35" s="6">
        <f>IFERROR(INDEX($C$3:$C$52,MATCH(B35,$A$3:$A$52,0)),"")</f>
        <v/>
      </c>
      <c r="K35" s="6">
        <f>IF(OR(B35="",J35&lt;&gt;"Decisión"),"",IF(ROUND(I35,2)=ROUND(MAXIFS($I$3:$I$52,$B$3:$B$52,B35),2),"Sí ✓",""))</f>
        <v/>
      </c>
    </row>
    <row r="36">
      <c r="A36" s="6" t="n"/>
      <c r="B36" s="6" t="n"/>
      <c r="C36" s="6" t="n"/>
      <c r="D36" s="6" t="n"/>
      <c r="E36" s="7" t="n"/>
      <c r="F36" s="8" t="n"/>
      <c r="G36" s="8" t="n"/>
      <c r="H36" s="9">
        <f>IF(A36="",0,IF(C36="Resultado",F36,IF(C36="Azar",SUMPRODUCT(($B$37:$B$52=A36)*($E$37:$E$52)*($H$37:$H$52)),IF(C36="Decisión",IFERROR(MAXIFS($I$37:$I$52,$B$37:$B$52,A36),0),0))))</f>
        <v/>
      </c>
      <c r="I36" s="9">
        <f>IF(A36="",0,H36-G36)</f>
        <v/>
      </c>
      <c r="J36" s="6">
        <f>IFERROR(INDEX($C$3:$C$52,MATCH(B36,$A$3:$A$52,0)),"")</f>
        <v/>
      </c>
      <c r="K36" s="6">
        <f>IF(OR(B36="",J36&lt;&gt;"Decisión"),"",IF(ROUND(I36,2)=ROUND(MAXIFS($I$3:$I$52,$B$3:$B$52,B36),2),"Sí ✓",""))</f>
        <v/>
      </c>
    </row>
    <row r="37">
      <c r="A37" s="6" t="n"/>
      <c r="B37" s="6" t="n"/>
      <c r="C37" s="6" t="n"/>
      <c r="D37" s="6" t="n"/>
      <c r="E37" s="7" t="n"/>
      <c r="F37" s="8" t="n"/>
      <c r="G37" s="8" t="n"/>
      <c r="H37" s="9">
        <f>IF(A37="",0,IF(C37="Resultado",F37,IF(C37="Azar",SUMPRODUCT(($B$38:$B$52=A37)*($E$38:$E$52)*($H$38:$H$52)),IF(C37="Decisión",IFERROR(MAXIFS($I$38:$I$52,$B$38:$B$52,A37),0),0))))</f>
        <v/>
      </c>
      <c r="I37" s="9">
        <f>IF(A37="",0,H37-G37)</f>
        <v/>
      </c>
      <c r="J37" s="6">
        <f>IFERROR(INDEX($C$3:$C$52,MATCH(B37,$A$3:$A$52,0)),"")</f>
        <v/>
      </c>
      <c r="K37" s="6">
        <f>IF(OR(B37="",J37&lt;&gt;"Decisión"),"",IF(ROUND(I37,2)=ROUND(MAXIFS($I$3:$I$52,$B$3:$B$52,B37),2),"Sí ✓",""))</f>
        <v/>
      </c>
    </row>
    <row r="38">
      <c r="A38" s="6" t="n"/>
      <c r="B38" s="6" t="n"/>
      <c r="C38" s="6" t="n"/>
      <c r="D38" s="6" t="n"/>
      <c r="E38" s="7" t="n"/>
      <c r="F38" s="8" t="n"/>
      <c r="G38" s="8" t="n"/>
      <c r="H38" s="9">
        <f>IF(A38="",0,IF(C38="Resultado",F38,IF(C38="Azar",SUMPRODUCT(($B$39:$B$52=A38)*($E$39:$E$52)*($H$39:$H$52)),IF(C38="Decisión",IFERROR(MAXIFS($I$39:$I$52,$B$39:$B$52,A38),0),0))))</f>
        <v/>
      </c>
      <c r="I38" s="9">
        <f>IF(A38="",0,H38-G38)</f>
        <v/>
      </c>
      <c r="J38" s="6">
        <f>IFERROR(INDEX($C$3:$C$52,MATCH(B38,$A$3:$A$52,0)),"")</f>
        <v/>
      </c>
      <c r="K38" s="6">
        <f>IF(OR(B38="",J38&lt;&gt;"Decisión"),"",IF(ROUND(I38,2)=ROUND(MAXIFS($I$3:$I$52,$B$3:$B$52,B38),2),"Sí ✓",""))</f>
        <v/>
      </c>
    </row>
    <row r="39">
      <c r="A39" s="6" t="n"/>
      <c r="B39" s="6" t="n"/>
      <c r="C39" s="6" t="n"/>
      <c r="D39" s="6" t="n"/>
      <c r="E39" s="7" t="n"/>
      <c r="F39" s="8" t="n"/>
      <c r="G39" s="8" t="n"/>
      <c r="H39" s="9">
        <f>IF(A39="",0,IF(C39="Resultado",F39,IF(C39="Azar",SUMPRODUCT(($B$40:$B$52=A39)*($E$40:$E$52)*($H$40:$H$52)),IF(C39="Decisión",IFERROR(MAXIFS($I$40:$I$52,$B$40:$B$52,A39),0),0))))</f>
        <v/>
      </c>
      <c r="I39" s="9">
        <f>IF(A39="",0,H39-G39)</f>
        <v/>
      </c>
      <c r="J39" s="6">
        <f>IFERROR(INDEX($C$3:$C$52,MATCH(B39,$A$3:$A$52,0)),"")</f>
        <v/>
      </c>
      <c r="K39" s="6">
        <f>IF(OR(B39="",J39&lt;&gt;"Decisión"),"",IF(ROUND(I39,2)=ROUND(MAXIFS($I$3:$I$52,$B$3:$B$52,B39),2),"Sí ✓",""))</f>
        <v/>
      </c>
    </row>
    <row r="40">
      <c r="A40" s="6" t="n"/>
      <c r="B40" s="6" t="n"/>
      <c r="C40" s="6" t="n"/>
      <c r="D40" s="6" t="n"/>
      <c r="E40" s="7" t="n"/>
      <c r="F40" s="8" t="n"/>
      <c r="G40" s="8" t="n"/>
      <c r="H40" s="9">
        <f>IF(A40="",0,IF(C40="Resultado",F40,IF(C40="Azar",SUMPRODUCT(($B$41:$B$52=A40)*($E$41:$E$52)*($H$41:$H$52)),IF(C40="Decisión",IFERROR(MAXIFS($I$41:$I$52,$B$41:$B$52,A40),0),0))))</f>
        <v/>
      </c>
      <c r="I40" s="9">
        <f>IF(A40="",0,H40-G40)</f>
        <v/>
      </c>
      <c r="J40" s="6">
        <f>IFERROR(INDEX($C$3:$C$52,MATCH(B40,$A$3:$A$52,0)),"")</f>
        <v/>
      </c>
      <c r="K40" s="6">
        <f>IF(OR(B40="",J40&lt;&gt;"Decisión"),"",IF(ROUND(I40,2)=ROUND(MAXIFS($I$3:$I$52,$B$3:$B$52,B40),2),"Sí ✓",""))</f>
        <v/>
      </c>
    </row>
    <row r="41">
      <c r="A41" s="6" t="n"/>
      <c r="B41" s="6" t="n"/>
      <c r="C41" s="6" t="n"/>
      <c r="D41" s="6" t="n"/>
      <c r="E41" s="7" t="n"/>
      <c r="F41" s="8" t="n"/>
      <c r="G41" s="8" t="n"/>
      <c r="H41" s="9">
        <f>IF(A41="",0,IF(C41="Resultado",F41,IF(C41="Azar",SUMPRODUCT(($B$42:$B$52=A41)*($E$42:$E$52)*($H$42:$H$52)),IF(C41="Decisión",IFERROR(MAXIFS($I$42:$I$52,$B$42:$B$52,A41),0),0))))</f>
        <v/>
      </c>
      <c r="I41" s="9">
        <f>IF(A41="",0,H41-G41)</f>
        <v/>
      </c>
      <c r="J41" s="6">
        <f>IFERROR(INDEX($C$3:$C$52,MATCH(B41,$A$3:$A$52,0)),"")</f>
        <v/>
      </c>
      <c r="K41" s="6">
        <f>IF(OR(B41="",J41&lt;&gt;"Decisión"),"",IF(ROUND(I41,2)=ROUND(MAXIFS($I$3:$I$52,$B$3:$B$52,B41),2),"Sí ✓",""))</f>
        <v/>
      </c>
    </row>
    <row r="42">
      <c r="A42" s="6" t="n"/>
      <c r="B42" s="6" t="n"/>
      <c r="C42" s="6" t="n"/>
      <c r="D42" s="6" t="n"/>
      <c r="E42" s="7" t="n"/>
      <c r="F42" s="8" t="n"/>
      <c r="G42" s="8" t="n"/>
      <c r="H42" s="9">
        <f>IF(A42="",0,IF(C42="Resultado",F42,IF(C42="Azar",SUMPRODUCT(($B$43:$B$52=A42)*($E$43:$E$52)*($H$43:$H$52)),IF(C42="Decisión",IFERROR(MAXIFS($I$43:$I$52,$B$43:$B$52,A42),0),0))))</f>
        <v/>
      </c>
      <c r="I42" s="9">
        <f>IF(A42="",0,H42-G42)</f>
        <v/>
      </c>
      <c r="J42" s="6">
        <f>IFERROR(INDEX($C$3:$C$52,MATCH(B42,$A$3:$A$52,0)),"")</f>
        <v/>
      </c>
      <c r="K42" s="6">
        <f>IF(OR(B42="",J42&lt;&gt;"Decisión"),"",IF(ROUND(I42,2)=ROUND(MAXIFS($I$3:$I$52,$B$3:$B$52,B42),2),"Sí ✓",""))</f>
        <v/>
      </c>
    </row>
    <row r="43">
      <c r="A43" s="6" t="n"/>
      <c r="B43" s="6" t="n"/>
      <c r="C43" s="6" t="n"/>
      <c r="D43" s="6" t="n"/>
      <c r="E43" s="7" t="n"/>
      <c r="F43" s="8" t="n"/>
      <c r="G43" s="8" t="n"/>
      <c r="H43" s="9">
        <f>IF(A43="",0,IF(C43="Resultado",F43,IF(C43="Azar",SUMPRODUCT(($B$44:$B$52=A43)*($E$44:$E$52)*($H$44:$H$52)),IF(C43="Decisión",IFERROR(MAXIFS($I$44:$I$52,$B$44:$B$52,A43),0),0))))</f>
        <v/>
      </c>
      <c r="I43" s="9">
        <f>IF(A43="",0,H43-G43)</f>
        <v/>
      </c>
      <c r="J43" s="6">
        <f>IFERROR(INDEX($C$3:$C$52,MATCH(B43,$A$3:$A$52,0)),"")</f>
        <v/>
      </c>
      <c r="K43" s="6">
        <f>IF(OR(B43="",J43&lt;&gt;"Decisión"),"",IF(ROUND(I43,2)=ROUND(MAXIFS($I$3:$I$52,$B$3:$B$52,B43),2),"Sí ✓",""))</f>
        <v/>
      </c>
    </row>
    <row r="44">
      <c r="A44" s="6" t="n"/>
      <c r="B44" s="6" t="n"/>
      <c r="C44" s="6" t="n"/>
      <c r="D44" s="6" t="n"/>
      <c r="E44" s="7" t="n"/>
      <c r="F44" s="8" t="n"/>
      <c r="G44" s="8" t="n"/>
      <c r="H44" s="9">
        <f>IF(A44="",0,IF(C44="Resultado",F44,IF(C44="Azar",SUMPRODUCT(($B$45:$B$52=A44)*($E$45:$E$52)*($H$45:$H$52)),IF(C44="Decisión",IFERROR(MAXIFS($I$45:$I$52,$B$45:$B$52,A44),0),0))))</f>
        <v/>
      </c>
      <c r="I44" s="9">
        <f>IF(A44="",0,H44-G44)</f>
        <v/>
      </c>
      <c r="J44" s="6">
        <f>IFERROR(INDEX($C$3:$C$52,MATCH(B44,$A$3:$A$52,0)),"")</f>
        <v/>
      </c>
      <c r="K44" s="6">
        <f>IF(OR(B44="",J44&lt;&gt;"Decisión"),"",IF(ROUND(I44,2)=ROUND(MAXIFS($I$3:$I$52,$B$3:$B$52,B44),2),"Sí ✓",""))</f>
        <v/>
      </c>
    </row>
    <row r="45">
      <c r="A45" s="6" t="n"/>
      <c r="B45" s="6" t="n"/>
      <c r="C45" s="6" t="n"/>
      <c r="D45" s="6" t="n"/>
      <c r="E45" s="7" t="n"/>
      <c r="F45" s="8" t="n"/>
      <c r="G45" s="8" t="n"/>
      <c r="H45" s="9">
        <f>IF(A45="",0,IF(C45="Resultado",F45,IF(C45="Azar",SUMPRODUCT(($B$46:$B$52=A45)*($E$46:$E$52)*($H$46:$H$52)),IF(C45="Decisión",IFERROR(MAXIFS($I$46:$I$52,$B$46:$B$52,A45),0),0))))</f>
        <v/>
      </c>
      <c r="I45" s="9">
        <f>IF(A45="",0,H45-G45)</f>
        <v/>
      </c>
      <c r="J45" s="6">
        <f>IFERROR(INDEX($C$3:$C$52,MATCH(B45,$A$3:$A$52,0)),"")</f>
        <v/>
      </c>
      <c r="K45" s="6">
        <f>IF(OR(B45="",J45&lt;&gt;"Decisión"),"",IF(ROUND(I45,2)=ROUND(MAXIFS($I$3:$I$52,$B$3:$B$52,B45),2),"Sí ✓",""))</f>
        <v/>
      </c>
    </row>
    <row r="46">
      <c r="A46" s="6" t="n"/>
      <c r="B46" s="6" t="n"/>
      <c r="C46" s="6" t="n"/>
      <c r="D46" s="6" t="n"/>
      <c r="E46" s="7" t="n"/>
      <c r="F46" s="8" t="n"/>
      <c r="G46" s="8" t="n"/>
      <c r="H46" s="9">
        <f>IF(A46="",0,IF(C46="Resultado",F46,IF(C46="Azar",SUMPRODUCT(($B$47:$B$52=A46)*($E$47:$E$52)*($H$47:$H$52)),IF(C46="Decisión",IFERROR(MAXIFS($I$47:$I$52,$B$47:$B$52,A46),0),0))))</f>
        <v/>
      </c>
      <c r="I46" s="9">
        <f>IF(A46="",0,H46-G46)</f>
        <v/>
      </c>
      <c r="J46" s="6">
        <f>IFERROR(INDEX($C$3:$C$52,MATCH(B46,$A$3:$A$52,0)),"")</f>
        <v/>
      </c>
      <c r="K46" s="6">
        <f>IF(OR(B46="",J46&lt;&gt;"Decisión"),"",IF(ROUND(I46,2)=ROUND(MAXIFS($I$3:$I$52,$B$3:$B$52,B46),2),"Sí ✓",""))</f>
        <v/>
      </c>
    </row>
    <row r="47">
      <c r="A47" s="6" t="n"/>
      <c r="B47" s="6" t="n"/>
      <c r="C47" s="6" t="n"/>
      <c r="D47" s="6" t="n"/>
      <c r="E47" s="7" t="n"/>
      <c r="F47" s="8" t="n"/>
      <c r="G47" s="8" t="n"/>
      <c r="H47" s="9">
        <f>IF(A47="",0,IF(C47="Resultado",F47,IF(C47="Azar",SUMPRODUCT(($B$48:$B$52=A47)*($E$48:$E$52)*($H$48:$H$52)),IF(C47="Decisión",IFERROR(MAXIFS($I$48:$I$52,$B$48:$B$52,A47),0),0))))</f>
        <v/>
      </c>
      <c r="I47" s="9">
        <f>IF(A47="",0,H47-G47)</f>
        <v/>
      </c>
      <c r="J47" s="6">
        <f>IFERROR(INDEX($C$3:$C$52,MATCH(B47,$A$3:$A$52,0)),"")</f>
        <v/>
      </c>
      <c r="K47" s="6">
        <f>IF(OR(B47="",J47&lt;&gt;"Decisión"),"",IF(ROUND(I47,2)=ROUND(MAXIFS($I$3:$I$52,$B$3:$B$52,B47),2),"Sí ✓",""))</f>
        <v/>
      </c>
    </row>
    <row r="48">
      <c r="A48" s="6" t="n"/>
      <c r="B48" s="6" t="n"/>
      <c r="C48" s="6" t="n"/>
      <c r="D48" s="6" t="n"/>
      <c r="E48" s="7" t="n"/>
      <c r="F48" s="8" t="n"/>
      <c r="G48" s="8" t="n"/>
      <c r="H48" s="9">
        <f>IF(A48="",0,IF(C48="Resultado",F48,IF(C48="Azar",SUMPRODUCT(($B$49:$B$52=A48)*($E$49:$E$52)*($H$49:$H$52)),IF(C48="Decisión",IFERROR(MAXIFS($I$49:$I$52,$B$49:$B$52,A48),0),0))))</f>
        <v/>
      </c>
      <c r="I48" s="9">
        <f>IF(A48="",0,H48-G48)</f>
        <v/>
      </c>
      <c r="J48" s="6">
        <f>IFERROR(INDEX($C$3:$C$52,MATCH(B48,$A$3:$A$52,0)),"")</f>
        <v/>
      </c>
      <c r="K48" s="6">
        <f>IF(OR(B48="",J48&lt;&gt;"Decisión"),"",IF(ROUND(I48,2)=ROUND(MAXIFS($I$3:$I$52,$B$3:$B$52,B48),2),"Sí ✓",""))</f>
        <v/>
      </c>
    </row>
    <row r="49">
      <c r="A49" s="6" t="n"/>
      <c r="B49" s="6" t="n"/>
      <c r="C49" s="6" t="n"/>
      <c r="D49" s="6" t="n"/>
      <c r="E49" s="7" t="n"/>
      <c r="F49" s="8" t="n"/>
      <c r="G49" s="8" t="n"/>
      <c r="H49" s="9">
        <f>IF(A49="",0,IF(C49="Resultado",F49,IF(C49="Azar",SUMPRODUCT(($B$50:$B$52=A49)*($E$50:$E$52)*($H$50:$H$52)),IF(C49="Decisión",IFERROR(MAXIFS($I$50:$I$52,$B$50:$B$52,A49),0),0))))</f>
        <v/>
      </c>
      <c r="I49" s="9">
        <f>IF(A49="",0,H49-G49)</f>
        <v/>
      </c>
      <c r="J49" s="6">
        <f>IFERROR(INDEX($C$3:$C$52,MATCH(B49,$A$3:$A$52,0)),"")</f>
        <v/>
      </c>
      <c r="K49" s="6">
        <f>IF(OR(B49="",J49&lt;&gt;"Decisión"),"",IF(ROUND(I49,2)=ROUND(MAXIFS($I$3:$I$52,$B$3:$B$52,B49),2),"Sí ✓",""))</f>
        <v/>
      </c>
    </row>
    <row r="50">
      <c r="A50" s="6" t="n"/>
      <c r="B50" s="6" t="n"/>
      <c r="C50" s="6" t="n"/>
      <c r="D50" s="6" t="n"/>
      <c r="E50" s="7" t="n"/>
      <c r="F50" s="8" t="n"/>
      <c r="G50" s="8" t="n"/>
      <c r="H50" s="9">
        <f>IF(A50="",0,IF(C50="Resultado",F50,IF(C50="Azar",SUMPRODUCT(($B$51:$B$52=A50)*($E$51:$E$52)*($H$51:$H$52)),IF(C50="Decisión",IFERROR(MAXIFS($I$51:$I$52,$B$51:$B$52,A50),0),0))))</f>
        <v/>
      </c>
      <c r="I50" s="9">
        <f>IF(A50="",0,H50-G50)</f>
        <v/>
      </c>
      <c r="J50" s="6">
        <f>IFERROR(INDEX($C$3:$C$52,MATCH(B50,$A$3:$A$52,0)),"")</f>
        <v/>
      </c>
      <c r="K50" s="6">
        <f>IF(OR(B50="",J50&lt;&gt;"Decisión"),"",IF(ROUND(I50,2)=ROUND(MAXIFS($I$3:$I$52,$B$3:$B$52,B50),2),"Sí ✓",""))</f>
        <v/>
      </c>
    </row>
    <row r="51">
      <c r="A51" s="6" t="n"/>
      <c r="B51" s="6" t="n"/>
      <c r="C51" s="6" t="n"/>
      <c r="D51" s="6" t="n"/>
      <c r="E51" s="7" t="n"/>
      <c r="F51" s="8" t="n"/>
      <c r="G51" s="8" t="n"/>
      <c r="H51" s="9">
        <f>IF(A51="",0,IF(C51="Resultado",F51,IF(C51="Azar",SUMPRODUCT(($B$52:$B$52=A51)*($E$52:$E$52)*($H$52:$H$52)),IF(C51="Decisión",IFERROR(MAXIFS($I$52:$I$52,$B$52:$B$52,A51),0),0))))</f>
        <v/>
      </c>
      <c r="I51" s="9">
        <f>IF(A51="",0,H51-G51)</f>
        <v/>
      </c>
      <c r="J51" s="6">
        <f>IFERROR(INDEX($C$3:$C$52,MATCH(B51,$A$3:$A$52,0)),"")</f>
        <v/>
      </c>
      <c r="K51" s="6">
        <f>IF(OR(B51="",J51&lt;&gt;"Decisión"),"",IF(ROUND(I51,2)=ROUND(MAXIFS($I$3:$I$52,$B$3:$B$52,B51),2),"Sí ✓",""))</f>
        <v/>
      </c>
    </row>
    <row r="52">
      <c r="A52" s="6" t="n"/>
      <c r="B52" s="6" t="n"/>
      <c r="C52" s="6" t="n"/>
      <c r="D52" s="6" t="n"/>
      <c r="E52" s="7" t="n"/>
      <c r="F52" s="8" t="n"/>
      <c r="G52" s="8" t="n"/>
      <c r="H52" s="9">
        <f>IF(A52="",0,IF(C52="Resultado",F52,IF(C52="Azar",0,IF(C52="Decisión",0,0))))</f>
        <v/>
      </c>
      <c r="I52" s="9">
        <f>IF(A52="",0,H52-G52)</f>
        <v/>
      </c>
      <c r="J52" s="6">
        <f>IFERROR(INDEX($C$3:$C$52,MATCH(B52,$A$3:$A$52,0)),"")</f>
        <v/>
      </c>
      <c r="K52" s="6">
        <f>IF(OR(B52="",J52&lt;&gt;"Decisión"),"",IF(ROUND(I52,2)=ROUND(MAXIFS($I$3:$I$52,$B$3:$B$52,B52),2),"Sí ✓",""))</f>
        <v/>
      </c>
    </row>
    <row r="55">
      <c r="A55" s="10" t="inlineStr">
        <is>
          <t>Resumen</t>
        </is>
      </c>
    </row>
    <row r="56">
      <c r="A56" s="11" t="inlineStr">
        <is>
          <t>VME total (nodo raíz):</t>
        </is>
      </c>
      <c r="D56" s="12">
        <f>H3</f>
        <v/>
      </c>
    </row>
    <row r="57">
      <c r="A57" s="11" t="inlineStr">
        <is>
          <t>Decisión recomendada:</t>
        </is>
      </c>
      <c r="D57" s="12">
        <f>IF(K4="Sí ✓",D4,D5)</f>
        <v/>
      </c>
    </row>
    <row r="58">
      <c r="A58" s="11" t="inlineStr">
        <is>
          <t>Si compró 1 línea y la demanda es alta:</t>
        </is>
      </c>
      <c r="D58" s="12">
        <f>IF(K10="Sí ✓",D10,IF(K11="Sí ✓",D11,D12))</f>
        <v/>
      </c>
    </row>
  </sheetData>
  <conditionalFormatting sqref="K3:K52">
    <cfRule type="expression" priority="1" dxfId="0">
      <formula>K3="Sí ✓"</formula>
    </cfRule>
  </conditionalFormatting>
  <dataValidations count="1">
    <dataValidation sqref="C3:C52" showDropDown="0" showInputMessage="0" showErrorMessage="0" allowBlank="1" type="list">
      <formula1>"Decisión,Azar,Resultado"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2026-08-22T14:31:23Z</dcterms:created>
  <dcterms:modified xmlns:dcterms="http://purl.org/dc/terms/" xmlns:xsi="http://www.w3.org/2001/XMLSchema-instance" xsi:type="dcterms:W3CDTF">2026-08-22T14:31:23Z</dcterms:modified>
</cp:coreProperties>
</file>