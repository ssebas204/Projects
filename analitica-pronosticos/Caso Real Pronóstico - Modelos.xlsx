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sebas204/Esp. Gerencia de operaciones/"/>
    </mc:Choice>
  </mc:AlternateContent>
  <xr:revisionPtr revIDLastSave="0" documentId="13_ncr:1_{5DC9562F-A30B-5643-A126-D57831B1DC8C}" xr6:coauthVersionLast="47" xr6:coauthVersionMax="47" xr10:uidLastSave="{00000000-0000-0000-0000-000000000000}"/>
  <bookViews>
    <workbookView xWindow="0" yWindow="660" windowWidth="29400" windowHeight="18460" activeTab="2" xr2:uid="{00000000-000D-0000-FFFF-FFFF00000000}"/>
  </bookViews>
  <sheets>
    <sheet name="Datos" sheetId="1" r:id="rId1"/>
    <sheet name="1_Simplistas" sheetId="2" r:id="rId2"/>
    <sheet name="2_Tendencia_Central" sheetId="3" r:id="rId3"/>
    <sheet name="3_Suavizacion" sheetId="4" r:id="rId4"/>
    <sheet name="4_Regresion" sheetId="5" r:id="rId5"/>
    <sheet name="5_ARIMA" sheetId="6" r:id="rId6"/>
    <sheet name="Resumen_Comparativ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5" l="1"/>
  <c r="L48" i="7"/>
  <c r="G48" i="7"/>
  <c r="L47" i="7"/>
  <c r="G47" i="7"/>
  <c r="L46" i="7"/>
  <c r="D29" i="7"/>
  <c r="C29" i="7"/>
  <c r="B29" i="7"/>
  <c r="B28" i="7"/>
  <c r="D24" i="7"/>
  <c r="C24" i="7"/>
  <c r="F54" i="5"/>
  <c r="K48" i="7" s="1"/>
  <c r="F53" i="5"/>
  <c r="K47" i="7" s="1"/>
  <c r="F52" i="5"/>
  <c r="K46" i="7" s="1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J106" i="4"/>
  <c r="J105" i="4"/>
  <c r="J104" i="4"/>
  <c r="J103" i="4"/>
  <c r="J102" i="4"/>
  <c r="J101" i="4"/>
  <c r="J100" i="4"/>
  <c r="J99" i="4"/>
  <c r="J98" i="4"/>
  <c r="J97" i="4"/>
  <c r="J96" i="4"/>
  <c r="J95" i="4"/>
  <c r="I95" i="4"/>
  <c r="H95" i="4"/>
  <c r="G95" i="4"/>
  <c r="F95" i="4"/>
  <c r="F96" i="4" s="1"/>
  <c r="E95" i="4"/>
  <c r="D5" i="4"/>
  <c r="E55" i="3"/>
  <c r="D55" i="3"/>
  <c r="C55" i="3"/>
  <c r="D22" i="7" s="1"/>
  <c r="E54" i="3"/>
  <c r="D54" i="3"/>
  <c r="C54" i="3"/>
  <c r="E53" i="3"/>
  <c r="D53" i="3"/>
  <c r="B23" i="7" s="1"/>
  <c r="C53" i="3"/>
  <c r="E52" i="3"/>
  <c r="D52" i="3"/>
  <c r="C52" i="3"/>
  <c r="E51" i="3"/>
  <c r="D51" i="3"/>
  <c r="C51" i="3"/>
  <c r="E50" i="3"/>
  <c r="D50" i="3"/>
  <c r="C50" i="3"/>
  <c r="E49" i="3"/>
  <c r="D49" i="3"/>
  <c r="C49" i="3"/>
  <c r="E48" i="3"/>
  <c r="D48" i="3"/>
  <c r="C48" i="3"/>
  <c r="E47" i="3"/>
  <c r="D47" i="3"/>
  <c r="C47" i="3"/>
  <c r="E46" i="3"/>
  <c r="D46" i="3"/>
  <c r="C46" i="3"/>
  <c r="E45" i="3"/>
  <c r="D45" i="3"/>
  <c r="C45" i="3"/>
  <c r="E44" i="3"/>
  <c r="D44" i="3"/>
  <c r="C44" i="3"/>
  <c r="E43" i="3"/>
  <c r="D43" i="3"/>
  <c r="C43" i="3"/>
  <c r="E42" i="3"/>
  <c r="D42" i="3"/>
  <c r="C42" i="3"/>
  <c r="E41" i="3"/>
  <c r="D41" i="3"/>
  <c r="C41" i="3"/>
  <c r="E40" i="3"/>
  <c r="D40" i="3"/>
  <c r="C40" i="3"/>
  <c r="E39" i="3"/>
  <c r="D39" i="3"/>
  <c r="C39" i="3"/>
  <c r="E38" i="3"/>
  <c r="D38" i="3"/>
  <c r="C38" i="3"/>
  <c r="E37" i="3"/>
  <c r="D37" i="3"/>
  <c r="C37" i="3"/>
  <c r="E36" i="3"/>
  <c r="D36" i="3"/>
  <c r="C36" i="3"/>
  <c r="E35" i="3"/>
  <c r="D35" i="3"/>
  <c r="C35" i="3"/>
  <c r="E34" i="3"/>
  <c r="D34" i="3"/>
  <c r="C34" i="3"/>
  <c r="E33" i="3"/>
  <c r="D33" i="3"/>
  <c r="C33" i="3"/>
  <c r="E32" i="3"/>
  <c r="D32" i="3"/>
  <c r="C32" i="3"/>
  <c r="E31" i="3"/>
  <c r="D31" i="3"/>
  <c r="C31" i="3"/>
  <c r="E30" i="3"/>
  <c r="D30" i="3"/>
  <c r="C30" i="3"/>
  <c r="E29" i="3"/>
  <c r="D29" i="3"/>
  <c r="C29" i="3"/>
  <c r="E28" i="3"/>
  <c r="D28" i="3"/>
  <c r="C28" i="3"/>
  <c r="E27" i="3"/>
  <c r="D27" i="3"/>
  <c r="C27" i="3"/>
  <c r="E26" i="3"/>
  <c r="D26" i="3"/>
  <c r="C26" i="3"/>
  <c r="E25" i="3"/>
  <c r="D25" i="3"/>
  <c r="C25" i="3"/>
  <c r="E24" i="3"/>
  <c r="D24" i="3"/>
  <c r="C24" i="3"/>
  <c r="E23" i="3"/>
  <c r="D23" i="3"/>
  <c r="C23" i="3"/>
  <c r="E22" i="3"/>
  <c r="D22" i="3"/>
  <c r="C22" i="3"/>
  <c r="E21" i="3"/>
  <c r="D21" i="3"/>
  <c r="C21" i="3"/>
  <c r="E20" i="3"/>
  <c r="D20" i="3"/>
  <c r="C20" i="3"/>
  <c r="E19" i="3"/>
  <c r="D19" i="3"/>
  <c r="C19" i="3"/>
  <c r="E18" i="3"/>
  <c r="D18" i="3"/>
  <c r="C18" i="3"/>
  <c r="E17" i="3"/>
  <c r="D17" i="3"/>
  <c r="C17" i="3"/>
  <c r="D16" i="3"/>
  <c r="C16" i="3"/>
  <c r="D15" i="3"/>
  <c r="C15" i="3"/>
  <c r="D14" i="3"/>
  <c r="C14" i="3"/>
  <c r="D13" i="3"/>
  <c r="C13" i="3"/>
  <c r="D12" i="3"/>
  <c r="C12" i="3"/>
  <c r="D11" i="3"/>
  <c r="C11" i="3"/>
  <c r="D10" i="3"/>
  <c r="C10" i="3"/>
  <c r="D9" i="3"/>
  <c r="C9" i="3"/>
  <c r="D8" i="3"/>
  <c r="C8" i="3"/>
  <c r="C7" i="3"/>
  <c r="C6" i="3"/>
  <c r="D55" i="2"/>
  <c r="D21" i="7" s="1"/>
  <c r="C55" i="2"/>
  <c r="D54" i="2"/>
  <c r="C21" i="7" s="1"/>
  <c r="C54" i="2"/>
  <c r="C20" i="7" s="1"/>
  <c r="D53" i="2"/>
  <c r="C53" i="2"/>
  <c r="C46" i="7" s="1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C16" i="2"/>
  <c r="C15" i="2"/>
  <c r="C14" i="2"/>
  <c r="C13" i="2"/>
  <c r="C12" i="2"/>
  <c r="C11" i="2"/>
  <c r="C10" i="2"/>
  <c r="C9" i="2"/>
  <c r="C8" i="2"/>
  <c r="C7" i="2"/>
  <c r="C6" i="2"/>
  <c r="B21" i="7" l="1"/>
  <c r="D46" i="7"/>
  <c r="F48" i="7"/>
  <c r="D23" i="7"/>
  <c r="D20" i="7"/>
  <c r="C48" i="7"/>
  <c r="B22" i="7"/>
  <c r="E46" i="7"/>
  <c r="H96" i="4"/>
  <c r="E5" i="4"/>
  <c r="J107" i="4"/>
  <c r="D6" i="4"/>
  <c r="G46" i="7"/>
  <c r="B24" i="7"/>
  <c r="C22" i="7"/>
  <c r="E47" i="7"/>
  <c r="F47" i="7"/>
  <c r="C23" i="7"/>
  <c r="G96" i="4"/>
  <c r="F97" i="4" s="1"/>
  <c r="E96" i="4"/>
  <c r="C5" i="4"/>
  <c r="B20" i="7"/>
  <c r="C47" i="7"/>
  <c r="D47" i="7"/>
  <c r="D48" i="7"/>
  <c r="E48" i="7"/>
  <c r="F46" i="7"/>
  <c r="C28" i="7"/>
  <c r="D28" i="7"/>
  <c r="G97" i="4" l="1"/>
  <c r="D7" i="4"/>
  <c r="F98" i="4"/>
  <c r="I96" i="4"/>
  <c r="J108" i="4" s="1"/>
  <c r="E6" i="4"/>
  <c r="H97" i="4"/>
  <c r="E97" i="4"/>
  <c r="C6" i="4"/>
  <c r="C7" i="4" l="1"/>
  <c r="E98" i="4"/>
  <c r="I97" i="4"/>
  <c r="J109" i="4"/>
  <c r="E7" i="4"/>
  <c r="H98" i="4"/>
  <c r="G98" i="4"/>
  <c r="D8" i="4" s="1"/>
  <c r="I98" i="4" l="1"/>
  <c r="H99" i="4"/>
  <c r="E8" i="4"/>
  <c r="J110" i="4"/>
  <c r="F99" i="4"/>
  <c r="C8" i="4"/>
  <c r="E99" i="4"/>
  <c r="G99" i="4" l="1"/>
  <c r="D9" i="4"/>
  <c r="F100" i="4"/>
  <c r="C9" i="4"/>
  <c r="E100" i="4"/>
  <c r="I99" i="4"/>
  <c r="J111" i="4" s="1"/>
  <c r="H100" i="4"/>
  <c r="E9" i="4" l="1"/>
  <c r="I100" i="4"/>
  <c r="E10" i="4"/>
  <c r="J112" i="4"/>
  <c r="H101" i="4"/>
  <c r="E101" i="4"/>
  <c r="C10" i="4"/>
  <c r="G100" i="4"/>
  <c r="F101" i="4" s="1"/>
  <c r="G101" i="4" l="1"/>
  <c r="D11" i="4" s="1"/>
  <c r="D10" i="4"/>
  <c r="I101" i="4"/>
  <c r="J113" i="4" s="1"/>
  <c r="E102" i="4"/>
  <c r="C11" i="4"/>
  <c r="C12" i="4" l="1"/>
  <c r="E103" i="4"/>
  <c r="H102" i="4"/>
  <c r="E11" i="4"/>
  <c r="F102" i="4"/>
  <c r="G102" i="4" l="1"/>
  <c r="F103" i="4"/>
  <c r="D12" i="4"/>
  <c r="I102" i="4"/>
  <c r="J114" i="4"/>
  <c r="H103" i="4"/>
  <c r="E12" i="4"/>
  <c r="E104" i="4"/>
  <c r="C13" i="4"/>
  <c r="C14" i="4" l="1"/>
  <c r="E105" i="4"/>
  <c r="I103" i="4"/>
  <c r="E13" i="4"/>
  <c r="H104" i="4"/>
  <c r="J115" i="4"/>
  <c r="G103" i="4"/>
  <c r="F104" i="4" s="1"/>
  <c r="G104" i="4" l="1"/>
  <c r="F105" i="4"/>
  <c r="D14" i="4"/>
  <c r="D13" i="4"/>
  <c r="I104" i="4"/>
  <c r="E14" i="4" s="1"/>
  <c r="H105" i="4"/>
  <c r="E106" i="4"/>
  <c r="C15" i="4"/>
  <c r="E107" i="4" l="1"/>
  <c r="C16" i="4"/>
  <c r="I105" i="4"/>
  <c r="E15" i="4"/>
  <c r="J117" i="4"/>
  <c r="H106" i="4"/>
  <c r="J116" i="4"/>
  <c r="G105" i="4"/>
  <c r="F106" i="4"/>
  <c r="D15" i="4"/>
  <c r="G106" i="4" l="1"/>
  <c r="F107" i="4" s="1"/>
  <c r="I106" i="4"/>
  <c r="J118" i="4" s="1"/>
  <c r="H107" i="4"/>
  <c r="C17" i="4"/>
  <c r="E108" i="4"/>
  <c r="G107" i="4" l="1"/>
  <c r="D17" i="4"/>
  <c r="F108" i="4"/>
  <c r="E16" i="4"/>
  <c r="I107" i="4"/>
  <c r="J119" i="4"/>
  <c r="E17" i="4"/>
  <c r="H108" i="4"/>
  <c r="D16" i="4"/>
  <c r="C18" i="4"/>
  <c r="E109" i="4"/>
  <c r="I108" i="4" l="1"/>
  <c r="E18" i="4"/>
  <c r="J120" i="4"/>
  <c r="H109" i="4"/>
  <c r="G108" i="4"/>
  <c r="F109" i="4" s="1"/>
  <c r="C19" i="4"/>
  <c r="E110" i="4"/>
  <c r="G109" i="4" l="1"/>
  <c r="F110" i="4"/>
  <c r="D19" i="4"/>
  <c r="D18" i="4"/>
  <c r="E111" i="4"/>
  <c r="C20" i="4"/>
  <c r="I109" i="4"/>
  <c r="E19" i="4" s="1"/>
  <c r="H110" i="4" l="1"/>
  <c r="J121" i="4"/>
  <c r="E112" i="4"/>
  <c r="C21" i="4"/>
  <c r="G110" i="4"/>
  <c r="D20" i="4"/>
  <c r="F111" i="4"/>
  <c r="G111" i="4" l="1"/>
  <c r="D21" i="4" s="1"/>
  <c r="C22" i="4"/>
  <c r="E113" i="4"/>
  <c r="I110" i="4"/>
  <c r="E20" i="4"/>
  <c r="J122" i="4"/>
  <c r="H111" i="4"/>
  <c r="I111" i="4" l="1"/>
  <c r="J123" i="4" s="1"/>
  <c r="H112" i="4"/>
  <c r="E114" i="4"/>
  <c r="C23" i="4"/>
  <c r="F112" i="4"/>
  <c r="G112" i="4" l="1"/>
  <c r="F113" i="4"/>
  <c r="D22" i="4"/>
  <c r="C24" i="4"/>
  <c r="E115" i="4"/>
  <c r="I112" i="4"/>
  <c r="J124" i="4" s="1"/>
  <c r="H113" i="4"/>
  <c r="E21" i="4"/>
  <c r="I113" i="4" l="1"/>
  <c r="E23" i="4"/>
  <c r="J125" i="4"/>
  <c r="H114" i="4"/>
  <c r="E22" i="4"/>
  <c r="E116" i="4"/>
  <c r="C25" i="4"/>
  <c r="D23" i="4"/>
  <c r="F114" i="4"/>
  <c r="G113" i="4"/>
  <c r="E117" i="4" l="1"/>
  <c r="C26" i="4"/>
  <c r="G114" i="4"/>
  <c r="F115" i="4"/>
  <c r="D24" i="4"/>
  <c r="I114" i="4"/>
  <c r="E24" i="4" s="1"/>
  <c r="H115" i="4"/>
  <c r="I115" i="4" l="1"/>
  <c r="E25" i="4"/>
  <c r="J127" i="4"/>
  <c r="H116" i="4"/>
  <c r="J126" i="4"/>
  <c r="G115" i="4"/>
  <c r="F116" i="4" s="1"/>
  <c r="D25" i="4"/>
  <c r="C27" i="4"/>
  <c r="E118" i="4"/>
  <c r="G116" i="4" l="1"/>
  <c r="F117" i="4" s="1"/>
  <c r="D26" i="4"/>
  <c r="C28" i="4"/>
  <c r="E119" i="4"/>
  <c r="I116" i="4"/>
  <c r="E26" i="4" s="1"/>
  <c r="G117" i="4" l="1"/>
  <c r="D27" i="4"/>
  <c r="F118" i="4"/>
  <c r="H117" i="4"/>
  <c r="J128" i="4"/>
  <c r="C29" i="4"/>
  <c r="E120" i="4"/>
  <c r="E121" i="4" l="1"/>
  <c r="C30" i="4"/>
  <c r="I117" i="4"/>
  <c r="J129" i="4"/>
  <c r="E27" i="4"/>
  <c r="H118" i="4"/>
  <c r="G118" i="4"/>
  <c r="D28" i="4" s="1"/>
  <c r="F119" i="4" l="1"/>
  <c r="I118" i="4"/>
  <c r="J130" i="4" s="1"/>
  <c r="E28" i="4"/>
  <c r="H119" i="4"/>
  <c r="E122" i="4"/>
  <c r="C31" i="4"/>
  <c r="E123" i="4" l="1"/>
  <c r="C32" i="4"/>
  <c r="I119" i="4"/>
  <c r="E29" i="4" s="1"/>
  <c r="J131" i="4"/>
  <c r="H120" i="4"/>
  <c r="G119" i="4"/>
  <c r="F120" i="4" s="1"/>
  <c r="D29" i="4"/>
  <c r="G120" i="4" l="1"/>
  <c r="D30" i="4"/>
  <c r="F121" i="4"/>
  <c r="I120" i="4"/>
  <c r="E30" i="4"/>
  <c r="J132" i="4"/>
  <c r="H121" i="4"/>
  <c r="E124" i="4"/>
  <c r="C33" i="4"/>
  <c r="C34" i="4" l="1"/>
  <c r="E125" i="4"/>
  <c r="I121" i="4"/>
  <c r="J133" i="4" s="1"/>
  <c r="H122" i="4"/>
  <c r="G121" i="4"/>
  <c r="F122" i="4" s="1"/>
  <c r="G122" i="4" l="1"/>
  <c r="F123" i="4"/>
  <c r="D32" i="4"/>
  <c r="D31" i="4"/>
  <c r="I122" i="4"/>
  <c r="J134" i="4"/>
  <c r="E32" i="4"/>
  <c r="H123" i="4"/>
  <c r="E31" i="4"/>
  <c r="E126" i="4"/>
  <c r="C35" i="4"/>
  <c r="I123" i="4" l="1"/>
  <c r="J135" i="4" s="1"/>
  <c r="E33" i="4"/>
  <c r="H124" i="4"/>
  <c r="G123" i="4"/>
  <c r="D33" i="4" s="1"/>
  <c r="E127" i="4"/>
  <c r="C36" i="4"/>
  <c r="C37" i="4" l="1"/>
  <c r="E128" i="4"/>
  <c r="F124" i="4"/>
  <c r="I124" i="4"/>
  <c r="E34" i="4" s="1"/>
  <c r="J136" i="4"/>
  <c r="H125" i="4"/>
  <c r="I125" i="4" l="1"/>
  <c r="E35" i="4"/>
  <c r="J137" i="4"/>
  <c r="H126" i="4"/>
  <c r="G124" i="4"/>
  <c r="D34" i="4" s="1"/>
  <c r="F125" i="4"/>
  <c r="C38" i="4"/>
  <c r="E129" i="4"/>
  <c r="G125" i="4" l="1"/>
  <c r="F126" i="4"/>
  <c r="D35" i="4"/>
  <c r="C39" i="4"/>
  <c r="E130" i="4"/>
  <c r="I126" i="4"/>
  <c r="E36" i="4" s="1"/>
  <c r="H127" i="4"/>
  <c r="I127" i="4" l="1"/>
  <c r="J139" i="4"/>
  <c r="E37" i="4"/>
  <c r="H128" i="4"/>
  <c r="J138" i="4"/>
  <c r="E131" i="4"/>
  <c r="C40" i="4"/>
  <c r="G126" i="4"/>
  <c r="D36" i="4" s="1"/>
  <c r="F127" i="4" l="1"/>
  <c r="E132" i="4"/>
  <c r="C41" i="4"/>
  <c r="I128" i="4"/>
  <c r="J140" i="4" s="1"/>
  <c r="H129" i="4"/>
  <c r="E38" i="4" l="1"/>
  <c r="I129" i="4"/>
  <c r="J141" i="4" s="1"/>
  <c r="E39" i="4"/>
  <c r="H130" i="4"/>
  <c r="E133" i="4"/>
  <c r="C42" i="4"/>
  <c r="G127" i="4"/>
  <c r="F128" i="4" s="1"/>
  <c r="G128" i="4" l="1"/>
  <c r="D38" i="4" s="1"/>
  <c r="F129" i="4"/>
  <c r="D37" i="4"/>
  <c r="E134" i="4"/>
  <c r="C43" i="4"/>
  <c r="I130" i="4"/>
  <c r="H131" i="4" s="1"/>
  <c r="J142" i="4"/>
  <c r="I131" i="4" l="1"/>
  <c r="J143" i="4" s="1"/>
  <c r="H132" i="4"/>
  <c r="E40" i="4"/>
  <c r="C44" i="4"/>
  <c r="E135" i="4"/>
  <c r="G129" i="4"/>
  <c r="F130" i="4" s="1"/>
  <c r="G130" i="4" l="1"/>
  <c r="D40" i="4"/>
  <c r="F131" i="4"/>
  <c r="D39" i="4"/>
  <c r="E136" i="4"/>
  <c r="C45" i="4"/>
  <c r="I132" i="4"/>
  <c r="J144" i="4" s="1"/>
  <c r="E42" i="4"/>
  <c r="H133" i="4"/>
  <c r="E41" i="4"/>
  <c r="I133" i="4" l="1"/>
  <c r="J145" i="4" s="1"/>
  <c r="E43" i="4"/>
  <c r="H134" i="4"/>
  <c r="E137" i="4"/>
  <c r="C46" i="4"/>
  <c r="G131" i="4"/>
  <c r="D41" i="4" s="1"/>
  <c r="F132" i="4" l="1"/>
  <c r="C47" i="4"/>
  <c r="E138" i="4"/>
  <c r="I134" i="4"/>
  <c r="E44" i="4" s="1"/>
  <c r="H135" i="4"/>
  <c r="I135" i="4" l="1"/>
  <c r="E45" i="4"/>
  <c r="H136" i="4"/>
  <c r="C48" i="4"/>
  <c r="E139" i="4"/>
  <c r="G132" i="4"/>
  <c r="F133" i="4" s="1"/>
  <c r="D42" i="4"/>
  <c r="G133" i="4" l="1"/>
  <c r="F134" i="4" s="1"/>
  <c r="C49" i="4"/>
  <c r="E140" i="4"/>
  <c r="I136" i="4"/>
  <c r="E46" i="4" s="1"/>
  <c r="H137" i="4"/>
  <c r="G134" i="4" l="1"/>
  <c r="D44" i="4"/>
  <c r="F135" i="4"/>
  <c r="I137" i="4"/>
  <c r="E47" i="4"/>
  <c r="H138" i="4"/>
  <c r="E141" i="4"/>
  <c r="C50" i="4"/>
  <c r="D43" i="4"/>
  <c r="E142" i="4" l="1"/>
  <c r="C51" i="4"/>
  <c r="I138" i="4"/>
  <c r="E48" i="4"/>
  <c r="H139" i="4"/>
  <c r="G135" i="4"/>
  <c r="F136" i="4"/>
  <c r="D45" i="4"/>
  <c r="G136" i="4" l="1"/>
  <c r="F137" i="4" s="1"/>
  <c r="I139" i="4"/>
  <c r="E49" i="4"/>
  <c r="H140" i="4"/>
  <c r="C52" i="4"/>
  <c r="E143" i="4"/>
  <c r="G137" i="4" l="1"/>
  <c r="D47" i="4"/>
  <c r="F138" i="4"/>
  <c r="C54" i="4"/>
  <c r="C55" i="4"/>
  <c r="C53" i="4"/>
  <c r="I140" i="4"/>
  <c r="E50" i="4" s="1"/>
  <c r="H141" i="4"/>
  <c r="D46" i="4"/>
  <c r="I141" i="4" l="1"/>
  <c r="E51" i="4" s="1"/>
  <c r="H142" i="4"/>
  <c r="H46" i="7"/>
  <c r="B25" i="7"/>
  <c r="D25" i="7"/>
  <c r="H48" i="7"/>
  <c r="C25" i="7"/>
  <c r="H47" i="7"/>
  <c r="F139" i="4"/>
  <c r="G138" i="4"/>
  <c r="D48" i="4" s="1"/>
  <c r="G139" i="4" l="1"/>
  <c r="F140" i="4"/>
  <c r="D49" i="4"/>
  <c r="I142" i="4"/>
  <c r="E52" i="4"/>
  <c r="H143" i="4"/>
  <c r="I143" i="4" l="1"/>
  <c r="E54" i="4" s="1"/>
  <c r="E53" i="4"/>
  <c r="E55" i="4"/>
  <c r="G140" i="4"/>
  <c r="D50" i="4" s="1"/>
  <c r="F141" i="4"/>
  <c r="J47" i="7" l="1"/>
  <c r="C27" i="7"/>
  <c r="G141" i="4"/>
  <c r="D51" i="4" s="1"/>
  <c r="J48" i="7"/>
  <c r="D27" i="7"/>
  <c r="J46" i="7"/>
  <c r="B27" i="7"/>
  <c r="F142" i="4" l="1"/>
  <c r="G142" i="4" l="1"/>
  <c r="F143" i="4"/>
  <c r="D52" i="4"/>
  <c r="G143" i="4" l="1"/>
  <c r="D53" i="4" s="1"/>
  <c r="B26" i="7" l="1"/>
  <c r="I46" i="7"/>
  <c r="D54" i="4"/>
  <c r="D55" i="4"/>
  <c r="I48" i="7" l="1"/>
  <c r="D26" i="7"/>
  <c r="C26" i="7"/>
  <c r="I47" i="7"/>
</calcChain>
</file>

<file path=xl/sharedStrings.xml><?xml version="1.0" encoding="utf-8"?>
<sst xmlns="http://schemas.openxmlformats.org/spreadsheetml/2006/main" count="428" uniqueCount="126">
  <si>
    <t>Serie historica - valor mensual</t>
  </si>
  <si>
    <t>fecha</t>
  </si>
  <si>
    <t>valor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</si>
  <si>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</si>
  <si>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</si>
  <si>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</si>
  <si>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</si>
  <si>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</si>
  <si>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</si>
  <si>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</si>
  <si>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</si>
  <si>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</si>
  <si>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</si>
  <si>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</si>
  <si>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</si>
  <si>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</si>
  <si>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</si>
  <si>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</si>
  <si>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</si>
  <si>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</si>
  <si>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</si>
  <si>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</si>
  <si>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</si>
  <si>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</si>
  <si>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</si>
  <si>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</si>
  <si>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</si>
  <si>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</si>
  <si>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</si>
  <si>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</si>
  <si>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</si>
  <si>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</si>
  <si>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</si>
  <si>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</si>
  <si>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</si>
  <si>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</si>
  <si>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</si>
  <si>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</si>
  <si>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</si>
  <si>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</si>
  <si>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</si>
  <si>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</si>
  <si>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</si>
  <si>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</si>
  <si>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</si>
  <si>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</si>
  <si>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</si>
  <si>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</si>
  <si>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</si>
  <si>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</si>
  <si>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</si>
  <si>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1. Modelos Informales o Simplistas: Naive y Naive Estacional</t>
  </si>
  <si>
    <t>Naive: pronostico(t) = valor(t-1).  Naive Estacional: pronostico(t) = valor(t-12) (mismo mes del año anterior).</t>
  </si>
  <si>
    <t>real</t>
  </si>
  <si>
    <t>naive</t>
  </si>
  <si>
    <t>naive_estacional</t>
  </si>
  <si>
    <t>2026-08</t>
  </si>
  <si>
    <t>2026-09</t>
  </si>
  <si>
    <t>2026-10</t>
  </si>
  <si>
    <t>2. Modelos de Tendencia Central: Promedio Simple y Medias Moviles</t>
  </si>
  <si>
    <t>Promedio simple acumulado hasta t-1; Media movil de 3 y 12 periodos.</t>
  </si>
  <si>
    <t>promedio_simple</t>
  </si>
  <si>
    <t>ma_3</t>
  </si>
  <si>
    <t>ma_12</t>
  </si>
  <si>
    <t>3. Modelos de Suavizacion: SES, Holt y Holt-Winters</t>
  </si>
  <si>
    <t>SES: alpha=0.50 (calibrado 2024-09 a 2025-06, h=1..3) | Holt: alpha=0.30, beta=0.00 (calibrado 2024-09 a 2025-06) | Holt-Winters: alpha=0.10, beta=0.10, gamma=0.50 (calibrado 2024-09 a 2025-06, estacionalidad=12). Parametros elegidos por calibracion (no por maxima verosimilitud sobre todos los datos). Formulas recursivas auditables desde la fila 80: nivel, tendencia y estacionalidad de cada modelo.</t>
  </si>
  <si>
    <t>ses</t>
  </si>
  <si>
    <t>holt</t>
  </si>
  <si>
    <t>holt_winters</t>
  </si>
  <si>
    <t>Parametros y estado inicial (para auditar SES / Holt / Holt-Winters)</t>
  </si>
  <si>
    <t>SES alpha</t>
  </si>
  <si>
    <t>SES nivel inicial (L0)</t>
  </si>
  <si>
    <t>Holt alpha</t>
  </si>
  <si>
    <t>Holt beta</t>
  </si>
  <si>
    <t>Holt nivel inicial (L0)</t>
  </si>
  <si>
    <t>Holt tendencia inicial (T0)</t>
  </si>
  <si>
    <t>HW alpha</t>
  </si>
  <si>
    <t>HW beta</t>
  </si>
  <si>
    <t>HW gamma</t>
  </si>
  <si>
    <t>HW nivel inicial (L0)</t>
  </si>
  <si>
    <t>HW tendencia inicial (T0)</t>
  </si>
  <si>
    <t>Estacional inicial HW (S0)</t>
  </si>
  <si>
    <t>Estado interno (k=0 = antes de la primera observacion)</t>
  </si>
  <si>
    <t>4. Modelo de Regresion Lineal (tendencia + estacionalidad mensual)</t>
  </si>
  <si>
    <t>valor = b0 + b1*t + suma(bm*mes_m), mes de referencia = Enero. Coeficientes:</t>
  </si>
  <si>
    <t>regresion</t>
  </si>
  <si>
    <t>Intercepto (Ene)</t>
  </si>
  <si>
    <t>Tendencia (t)</t>
  </si>
  <si>
    <t>Dummy Feb</t>
  </si>
  <si>
    <t>Dummy Mar</t>
  </si>
  <si>
    <t>Dummy Abr</t>
  </si>
  <si>
    <t>Dummy May</t>
  </si>
  <si>
    <t>Dummy Jun</t>
  </si>
  <si>
    <t>Dummy Jul</t>
  </si>
  <si>
    <t>Dummy Ago</t>
  </si>
  <si>
    <t>Dummy Sep</t>
  </si>
  <si>
    <t>Dummy Oct</t>
  </si>
  <si>
    <t>Dummy Nov</t>
  </si>
  <si>
    <t>Dummy Dic</t>
  </si>
  <si>
    <t>5. Modelo ARIMA/SARIMA</t>
  </si>
  <si>
    <t>SARIMA(0, 1, 1)x(1, 1, 1, 12), orden elegido por AIC en 2022-08 a 2025-06. Ajustado en Python (statsmodels); valores e intervalo de confianza 95% pegados.</t>
  </si>
  <si>
    <t>ajustado</t>
  </si>
  <si>
    <t>pronostico</t>
  </si>
  <si>
    <t>ic_inferior</t>
  </si>
  <si>
    <t>ic_superior</t>
  </si>
  <si>
    <t>Resumen Comparativo de Modelos</t>
  </si>
  <si>
    <t>Validacion cruzada de origen movil: 10 origenes de evaluacion (2025-07 a 2026-04), pronosticando h=1,2,3 meses (30 pares pronostico-real por modelo). Hiperparametros de SES/Holt/Holt-Winters/SARIMA calibrados aparte, en 10 origenes previos (2024-09 a 2025-06), minimizando error de pronostico fuera de muestra.</t>
  </si>
  <si>
    <t>Modelo</t>
  </si>
  <si>
    <t>MAE</t>
  </si>
  <si>
    <t>RMSE</t>
  </si>
  <si>
    <t>MAPE (%)</t>
  </si>
  <si>
    <t>WAPE (%)</t>
  </si>
  <si>
    <t>F-ACC (%)</t>
  </si>
  <si>
    <t>Naive</t>
  </si>
  <si>
    <t>Naive Estacional</t>
  </si>
  <si>
    <t>Promedio Simple</t>
  </si>
  <si>
    <t>Media Movil (3)</t>
  </si>
  <si>
    <t>Media Movil (12)</t>
  </si>
  <si>
    <t>SES (Suavizacion Exponencial Simple)</t>
  </si>
  <si>
    <t>Holt (doble)</t>
  </si>
  <si>
    <t>Holt-Winters (triple)</t>
  </si>
  <si>
    <t>Regresion Lineal</t>
  </si>
  <si>
    <t>SARIMA</t>
  </si>
  <si>
    <t>Pronostico Ago-Sep-Oct 2026 por modelo</t>
  </si>
  <si>
    <t>Historico reciente + pronosticos (grafico)</t>
  </si>
  <si>
    <t>Pronostico por modelo (graficas individuales)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</si>
</sst>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7C6D9"/>
      </left>
      <right style="thin">
        <color rgb="FFB7C6D9"/>
      </right>
      <top style="thin">
        <color rgb="FFB7C6D9"/>
      </top>
      <bottom style="thin">
        <color rgb="FFB7C6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3" fillId="0" borderId="0" xfId="0" applyFont="1"/>
    <xf numFmtId="164" fontId="3" fillId="0" borderId="0" xfId="0" applyNumberFormat="1" applyFont="1"/>
    <xf numFmtId="164" fontId="0" fillId="0" borderId="0" xfId="0" applyNumberFormat="1"/>
    <xf numFmtId="4" fontId="0" fillId="0" borderId="1" xfId="0" applyNumberFormat="1" applyBorder="1"/>
    <xf numFmtId="0" fontId="3" fillId="0" borderId="1" xfId="0" applyFont="1" applyBorder="1"/>
    <xf numFmtId="4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O"/>
              <a:t>Serie historica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Datos!$B$3</c:f>
              <c:strCache>
                <c:ptCount val="1"/>
                <c:pt idx="0">
                  <c:v>valor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Datos!$A$4:$A$51</c:f>
              <c:strCache>
                <c:ptCount val="48"/>
                <c:pt idx="0">
                  <c:v>2022-08</c:v>
                </c:pt>
                <c:pt idx="1">
                  <c:v>2022-09</c:v>
                </c:pt>
                <c:pt idx="2">
                  <c:v>2022-10</c:v>
                </c:pt>
                <c:pt idx="3">
                  <c:v>2022-11</c:v>
                </c:pt>
                <c:pt idx="4">
                  <c:v>2022-12</c:v>
                </c:pt>
                <c:pt idx="5">
                  <c:v>2023-01</c:v>
                </c:pt>
                <c:pt idx="6">
                  <c:v>2023-02</c:v>
                </c:pt>
                <c:pt idx="7">
                  <c:v>2023-03</c:v>
                </c:pt>
                <c:pt idx="8">
                  <c:v>2023-04</c:v>
                </c:pt>
                <c:pt idx="9">
                  <c:v>2023-05</c:v>
                </c:pt>
                <c:pt idx="10">
                  <c:v>2023-06</c:v>
                </c:pt>
                <c:pt idx="11">
                  <c:v>2023-07</c:v>
                </c:pt>
                <c:pt idx="12">
                  <c:v>2023-08</c:v>
                </c:pt>
                <c:pt idx="13">
                  <c:v>2023-09</c:v>
                </c:pt>
                <c:pt idx="14">
                  <c:v>2023-10</c:v>
                </c:pt>
                <c:pt idx="15">
                  <c:v>2023-11</c:v>
                </c:pt>
                <c:pt idx="16">
                  <c:v>2023-12</c:v>
                </c:pt>
                <c:pt idx="17">
                  <c:v>2024-01</c:v>
                </c:pt>
                <c:pt idx="18">
                  <c:v>2024-02</c:v>
                </c:pt>
                <c:pt idx="19">
                  <c:v>2024-03</c:v>
                </c:pt>
                <c:pt idx="20">
                  <c:v>2024-04</c:v>
                </c:pt>
                <c:pt idx="21">
                  <c:v>2024-05</c:v>
                </c:pt>
                <c:pt idx="22">
                  <c:v>2024-06</c:v>
                </c:pt>
                <c:pt idx="23">
                  <c:v>2024-07</c:v>
                </c:pt>
                <c:pt idx="24">
                  <c:v>2024-08</c:v>
                </c:pt>
                <c:pt idx="25">
                  <c:v>2024-09</c:v>
                </c:pt>
                <c:pt idx="26">
                  <c:v>2024-10</c:v>
                </c:pt>
                <c:pt idx="27">
                  <c:v>2024-11</c:v>
                </c:pt>
                <c:pt idx="28">
                  <c:v>2024-12</c:v>
                </c:pt>
                <c:pt idx="29">
                  <c:v>2025-01</c:v>
                </c:pt>
                <c:pt idx="30">
                  <c:v>2025-02</c:v>
                </c:pt>
                <c:pt idx="31">
                  <c:v>2025-03</c:v>
                </c:pt>
                <c:pt idx="32">
                  <c:v>2025-04</c:v>
                </c:pt>
                <c:pt idx="33">
                  <c:v>2025-05</c:v>
                </c:pt>
                <c:pt idx="34">
                  <c:v>2025-06</c:v>
                </c:pt>
                <c:pt idx="35">
                  <c:v>2025-07</c:v>
                </c:pt>
                <c:pt idx="36">
                  <c:v>2025-08</c:v>
                </c:pt>
                <c:pt idx="37">
                  <c:v>2025-09</c:v>
                </c:pt>
                <c:pt idx="38">
                  <c:v>2025-10</c:v>
                </c:pt>
                <c:pt idx="39">
                  <c:v>2025-11</c:v>
                </c:pt>
                <c:pt idx="40">
                  <c:v>2025-12</c:v>
                </c:pt>
                <c:pt idx="41">
                  <c:v>2026-01</c:v>
                </c:pt>
                <c:pt idx="42">
                  <c:v>2026-02</c:v>
                </c:pt>
                <c:pt idx="43">
                  <c:v>2026-03</c:v>
                </c:pt>
                <c:pt idx="44">
                  <c:v>2026-04</c:v>
                </c:pt>
                <c:pt idx="45">
                  <c:v>2026-05</c:v>
                </c:pt>
                <c:pt idx="46">
                  <c:v>2026-06</c:v>
                </c:pt>
                <c:pt idx="47">
                  <c:v>2026-07</c:v>
                </c:pt>
              </c:strCache>
            </c:strRef>
          </c:cat>
          <c:val>
            <c:numRef>
              <c:f>Datos!$B$4:$B$51</c:f>
              <c:numCache>
                <c:formatCode>#,##0.0</c:formatCode>
                <c:ptCount val="48"/>
                <c:pt idx="0">
                  <c:v>9630.2990000000009</c:v>
                </c:pt>
                <c:pt idx="1">
                  <c:v>10251.463</c:v>
                </c:pt>
                <c:pt idx="2">
                  <c:v>9106.9060000000009</c:v>
                </c:pt>
                <c:pt idx="3">
                  <c:v>7350.8980000000001</c:v>
                </c:pt>
                <c:pt idx="4">
                  <c:v>12285.013000000001</c:v>
                </c:pt>
                <c:pt idx="5">
                  <c:v>7210.1040000000003</c:v>
                </c:pt>
                <c:pt idx="6">
                  <c:v>5576.9979999999996</c:v>
                </c:pt>
                <c:pt idx="7">
                  <c:v>6648.9430000000002</c:v>
                </c:pt>
                <c:pt idx="8">
                  <c:v>8525.2129999999997</c:v>
                </c:pt>
                <c:pt idx="9">
                  <c:v>7428.518</c:v>
                </c:pt>
                <c:pt idx="10">
                  <c:v>6618.3440000000001</c:v>
                </c:pt>
                <c:pt idx="11">
                  <c:v>10251.380999999999</c:v>
                </c:pt>
                <c:pt idx="12">
                  <c:v>8574.4220000000005</c:v>
                </c:pt>
                <c:pt idx="13">
                  <c:v>8853.1569999999992</c:v>
                </c:pt>
                <c:pt idx="14">
                  <c:v>11343.447</c:v>
                </c:pt>
                <c:pt idx="15">
                  <c:v>9180.7569999999996</c:v>
                </c:pt>
                <c:pt idx="16">
                  <c:v>12310.300999999999</c:v>
                </c:pt>
                <c:pt idx="17">
                  <c:v>4916.5020000000004</c:v>
                </c:pt>
                <c:pt idx="18">
                  <c:v>5690.96</c:v>
                </c:pt>
                <c:pt idx="19">
                  <c:v>6504.8370000000004</c:v>
                </c:pt>
                <c:pt idx="20">
                  <c:v>6356.8980000000001</c:v>
                </c:pt>
                <c:pt idx="21">
                  <c:v>7687.4089999999997</c:v>
                </c:pt>
                <c:pt idx="22">
                  <c:v>6111.2430000000004</c:v>
                </c:pt>
                <c:pt idx="23">
                  <c:v>11481.558000000001</c:v>
                </c:pt>
                <c:pt idx="24">
                  <c:v>6375.4579999999996</c:v>
                </c:pt>
                <c:pt idx="25">
                  <c:v>7003.0320000000002</c:v>
                </c:pt>
                <c:pt idx="26">
                  <c:v>10899.564</c:v>
                </c:pt>
                <c:pt idx="27">
                  <c:v>7461.0919999999996</c:v>
                </c:pt>
                <c:pt idx="28">
                  <c:v>12917.156999999999</c:v>
                </c:pt>
                <c:pt idx="29">
                  <c:v>5233.0630000000001</c:v>
                </c:pt>
                <c:pt idx="30">
                  <c:v>5157.8140000000003</c:v>
                </c:pt>
                <c:pt idx="31">
                  <c:v>6202.39</c:v>
                </c:pt>
                <c:pt idx="32">
                  <c:v>6840.3379999999997</c:v>
                </c:pt>
                <c:pt idx="33">
                  <c:v>5905.9049999999997</c:v>
                </c:pt>
                <c:pt idx="34">
                  <c:v>5055.2579999999998</c:v>
                </c:pt>
                <c:pt idx="35">
                  <c:v>8601.4889999999996</c:v>
                </c:pt>
                <c:pt idx="36">
                  <c:v>4877.567</c:v>
                </c:pt>
                <c:pt idx="37">
                  <c:v>6672.5510000000004</c:v>
                </c:pt>
                <c:pt idx="38">
                  <c:v>9619.0300000000007</c:v>
                </c:pt>
                <c:pt idx="39">
                  <c:v>7302.9219999999996</c:v>
                </c:pt>
                <c:pt idx="40">
                  <c:v>7676.57</c:v>
                </c:pt>
                <c:pt idx="41">
                  <c:v>4467.835</c:v>
                </c:pt>
                <c:pt idx="42">
                  <c:v>3492.41</c:v>
                </c:pt>
                <c:pt idx="43">
                  <c:v>5340.1480000000001</c:v>
                </c:pt>
                <c:pt idx="44">
                  <c:v>5268.3239999999996</c:v>
                </c:pt>
                <c:pt idx="45">
                  <c:v>5327.0829999999996</c:v>
                </c:pt>
                <c:pt idx="46">
                  <c:v>5044.84</c:v>
                </c:pt>
                <c:pt idx="47">
                  <c:v>5205.2460000000001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8E-4A43-A7C3-AF7141E34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Fecha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Valor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O"/>
              <a:t>Real vs Naive vs Naive Estacional (+ pronostico ago-oct 2026)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'1_Simplistas'!$B$4</c:f>
              <c:strCache>
                <c:ptCount val="1"/>
                <c:pt idx="0">
                  <c:v>real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'1_Simplistas'!$A$5:$A$55</c:f>
              <c:strCache>
                <c:ptCount val="51"/>
                <c:pt idx="0">
                  <c:v>2022-08</c:v>
                </c:pt>
                <c:pt idx="1">
                  <c:v>2022-09</c:v>
                </c:pt>
                <c:pt idx="2">
                  <c:v>2022-10</c:v>
                </c:pt>
                <c:pt idx="3">
                  <c:v>2022-11</c:v>
                </c:pt>
                <c:pt idx="4">
                  <c:v>2022-12</c:v>
                </c:pt>
                <c:pt idx="5">
                  <c:v>2023-01</c:v>
                </c:pt>
                <c:pt idx="6">
                  <c:v>2023-02</c:v>
                </c:pt>
                <c:pt idx="7">
                  <c:v>2023-03</c:v>
                </c:pt>
                <c:pt idx="8">
                  <c:v>2023-04</c:v>
                </c:pt>
                <c:pt idx="9">
                  <c:v>2023-05</c:v>
                </c:pt>
                <c:pt idx="10">
                  <c:v>2023-06</c:v>
                </c:pt>
                <c:pt idx="11">
                  <c:v>2023-07</c:v>
                </c:pt>
                <c:pt idx="12">
                  <c:v>2023-08</c:v>
                </c:pt>
                <c:pt idx="13">
                  <c:v>2023-09</c:v>
                </c:pt>
                <c:pt idx="14">
                  <c:v>2023-10</c:v>
                </c:pt>
                <c:pt idx="15">
                  <c:v>2023-11</c:v>
                </c:pt>
                <c:pt idx="16">
                  <c:v>2023-12</c:v>
                </c:pt>
                <c:pt idx="17">
                  <c:v>2024-01</c:v>
                </c:pt>
                <c:pt idx="18">
                  <c:v>2024-02</c:v>
                </c:pt>
                <c:pt idx="19">
                  <c:v>2024-03</c:v>
                </c:pt>
                <c:pt idx="20">
                  <c:v>2024-04</c:v>
                </c:pt>
                <c:pt idx="21">
                  <c:v>2024-05</c:v>
                </c:pt>
                <c:pt idx="22">
                  <c:v>2024-06</c:v>
                </c:pt>
                <c:pt idx="23">
                  <c:v>2024-07</c:v>
                </c:pt>
                <c:pt idx="24">
                  <c:v>2024-08</c:v>
                </c:pt>
                <c:pt idx="25">
                  <c:v>2024-09</c:v>
                </c:pt>
                <c:pt idx="26">
                  <c:v>2024-10</c:v>
                </c:pt>
                <c:pt idx="27">
                  <c:v>2024-11</c:v>
                </c:pt>
                <c:pt idx="28">
                  <c:v>2024-12</c:v>
                </c:pt>
                <c:pt idx="29">
                  <c:v>2025-01</c:v>
                </c:pt>
                <c:pt idx="30">
                  <c:v>2025-02</c:v>
                </c:pt>
                <c:pt idx="31">
                  <c:v>2025-03</c:v>
                </c:pt>
                <c:pt idx="32">
                  <c:v>2025-04</c:v>
                </c:pt>
                <c:pt idx="33">
                  <c:v>2025-05</c:v>
                </c:pt>
                <c:pt idx="34">
                  <c:v>2025-06</c:v>
                </c:pt>
                <c:pt idx="35">
                  <c:v>2025-07</c:v>
                </c:pt>
                <c:pt idx="36">
                  <c:v>2025-08</c:v>
                </c:pt>
                <c:pt idx="37">
                  <c:v>2025-09</c:v>
                </c:pt>
                <c:pt idx="38">
                  <c:v>2025-10</c:v>
                </c:pt>
                <c:pt idx="39">
                  <c:v>2025-11</c:v>
                </c:pt>
                <c:pt idx="40">
                  <c:v>2025-12</c:v>
                </c:pt>
                <c:pt idx="41">
                  <c:v>2026-01</c:v>
                </c:pt>
                <c:pt idx="42">
                  <c:v>2026-02</c:v>
                </c:pt>
                <c:pt idx="43">
                  <c:v>2026-03</c:v>
                </c:pt>
                <c:pt idx="44">
                  <c:v>2026-04</c:v>
                </c:pt>
                <c:pt idx="45">
                  <c:v>2026-05</c:v>
                </c:pt>
                <c:pt idx="46">
                  <c:v>2026-06</c:v>
                </c:pt>
                <c:pt idx="47">
                  <c:v>2026-07</c:v>
                </c:pt>
                <c:pt idx="48">
                  <c:v>2026-08</c:v>
                </c:pt>
                <c:pt idx="49">
                  <c:v>2026-09</c:v>
                </c:pt>
                <c:pt idx="50">
                  <c:v>2026-10</c:v>
                </c:pt>
              </c:strCache>
            </c:strRef>
          </c:cat>
          <c:val>
            <c:numRef>
              <c:f>'1_Simplistas'!$B$5:$B$55</c:f>
              <c:numCache>
                <c:formatCode>#,##0.0</c:formatCode>
                <c:ptCount val="51"/>
                <c:pt idx="0">
                  <c:v>9630.2990000000009</c:v>
                </c:pt>
                <c:pt idx="1">
                  <c:v>10251.463</c:v>
                </c:pt>
                <c:pt idx="2">
                  <c:v>9106.9060000000009</c:v>
                </c:pt>
                <c:pt idx="3">
                  <c:v>7350.8980000000001</c:v>
                </c:pt>
                <c:pt idx="4">
                  <c:v>12285.013000000001</c:v>
                </c:pt>
                <c:pt idx="5">
                  <c:v>7210.1040000000003</c:v>
                </c:pt>
                <c:pt idx="6">
                  <c:v>5576.9979999999996</c:v>
                </c:pt>
                <c:pt idx="7">
                  <c:v>6648.9430000000002</c:v>
                </c:pt>
                <c:pt idx="8">
                  <c:v>8525.2129999999997</c:v>
                </c:pt>
                <c:pt idx="9">
                  <c:v>7428.518</c:v>
                </c:pt>
                <c:pt idx="10">
                  <c:v>6618.3440000000001</c:v>
                </c:pt>
                <c:pt idx="11">
                  <c:v>10251.380999999999</c:v>
                </c:pt>
                <c:pt idx="12">
                  <c:v>8574.4220000000005</c:v>
                </c:pt>
                <c:pt idx="13">
                  <c:v>8853.1569999999992</c:v>
                </c:pt>
                <c:pt idx="14">
                  <c:v>11343.447</c:v>
                </c:pt>
                <c:pt idx="15">
                  <c:v>9180.7569999999996</c:v>
                </c:pt>
                <c:pt idx="16">
                  <c:v>12310.300999999999</c:v>
                </c:pt>
                <c:pt idx="17">
                  <c:v>4916.5020000000004</c:v>
                </c:pt>
                <c:pt idx="18">
                  <c:v>5690.96</c:v>
                </c:pt>
                <c:pt idx="19">
                  <c:v>6504.8370000000004</c:v>
                </c:pt>
                <c:pt idx="20">
                  <c:v>6356.8980000000001</c:v>
                </c:pt>
                <c:pt idx="21">
                  <c:v>7687.4089999999997</c:v>
                </c:pt>
                <c:pt idx="22">
                  <c:v>6111.2430000000004</c:v>
                </c:pt>
                <c:pt idx="23">
                  <c:v>11481.558000000001</c:v>
                </c:pt>
                <c:pt idx="24">
                  <c:v>6375.4579999999996</c:v>
                </c:pt>
                <c:pt idx="25">
                  <c:v>7003.0320000000002</c:v>
                </c:pt>
                <c:pt idx="26">
                  <c:v>10899.564</c:v>
                </c:pt>
                <c:pt idx="27">
                  <c:v>7461.0919999999996</c:v>
                </c:pt>
                <c:pt idx="28">
                  <c:v>12917.156999999999</c:v>
                </c:pt>
                <c:pt idx="29">
                  <c:v>5233.0630000000001</c:v>
                </c:pt>
                <c:pt idx="30">
                  <c:v>5157.8140000000003</c:v>
                </c:pt>
                <c:pt idx="31">
                  <c:v>6202.39</c:v>
                </c:pt>
                <c:pt idx="32">
                  <c:v>6840.3379999999997</c:v>
                </c:pt>
                <c:pt idx="33">
                  <c:v>5905.9049999999997</c:v>
                </c:pt>
                <c:pt idx="34">
                  <c:v>5055.2579999999998</c:v>
                </c:pt>
                <c:pt idx="35">
                  <c:v>8601.4889999999996</c:v>
                </c:pt>
                <c:pt idx="36">
                  <c:v>4877.567</c:v>
                </c:pt>
                <c:pt idx="37">
                  <c:v>6672.5510000000004</c:v>
                </c:pt>
                <c:pt idx="38">
                  <c:v>9619.0300000000007</c:v>
                </c:pt>
                <c:pt idx="39">
                  <c:v>7302.9219999999996</c:v>
                </c:pt>
                <c:pt idx="40">
                  <c:v>7676.57</c:v>
                </c:pt>
                <c:pt idx="41">
                  <c:v>4467.835</c:v>
                </c:pt>
                <c:pt idx="42">
                  <c:v>3492.41</c:v>
                </c:pt>
                <c:pt idx="43">
                  <c:v>5340.1480000000001</c:v>
                </c:pt>
                <c:pt idx="44">
                  <c:v>5268.3239999999996</c:v>
                </c:pt>
                <c:pt idx="45">
                  <c:v>5327.0829999999996</c:v>
                </c:pt>
                <c:pt idx="46">
                  <c:v>5044.84</c:v>
                </c:pt>
                <c:pt idx="47">
                  <c:v>5205.2460000000001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E9-B04A-B39F-6E215810F1C6}"/>
            </c:ext>
          </c:extLst>
        </c:ser>
        <c:ser>
          <c:idx val="1"/>
          <c:order val="1"/>
          <c:tx>
            <c:strRef>
              <c:f>'1_Simplistas'!$C$4</c:f>
              <c:strCache>
                <c:ptCount val="1"/>
                <c:pt idx="0">
                  <c:v>naive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'1_Simplistas'!$A$5:$A$55</c:f>
              <c:strCache>
                <c:ptCount val="51"/>
                <c:pt idx="0">
                  <c:v>2022-08</c:v>
                </c:pt>
                <c:pt idx="1">
                  <c:v>2022-09</c:v>
                </c:pt>
                <c:pt idx="2">
                  <c:v>2022-10</c:v>
                </c:pt>
                <c:pt idx="3">
                  <c:v>2022-11</c:v>
                </c:pt>
                <c:pt idx="4">
                  <c:v>2022-12</c:v>
                </c:pt>
                <c:pt idx="5">
                  <c:v>2023-01</c:v>
                </c:pt>
                <c:pt idx="6">
                  <c:v>2023-02</c:v>
                </c:pt>
                <c:pt idx="7">
                  <c:v>2023-03</c:v>
                </c:pt>
                <c:pt idx="8">
                  <c:v>2023-04</c:v>
                </c:pt>
                <c:pt idx="9">
                  <c:v>2023-05</c:v>
                </c:pt>
                <c:pt idx="10">
                  <c:v>2023-06</c:v>
                </c:pt>
                <c:pt idx="11">
                  <c:v>2023-07</c:v>
                </c:pt>
                <c:pt idx="12">
                  <c:v>2023-08</c:v>
                </c:pt>
                <c:pt idx="13">
                  <c:v>2023-09</c:v>
                </c:pt>
                <c:pt idx="14">
                  <c:v>2023-10</c:v>
                </c:pt>
                <c:pt idx="15">
                  <c:v>2023-11</c:v>
                </c:pt>
                <c:pt idx="16">
                  <c:v>2023-12</c:v>
                </c:pt>
                <c:pt idx="17">
                  <c:v>2024-01</c:v>
                </c:pt>
                <c:pt idx="18">
                  <c:v>2024-02</c:v>
                </c:pt>
                <c:pt idx="19">
                  <c:v>2024-03</c:v>
                </c:pt>
                <c:pt idx="20">
                  <c:v>2024-04</c:v>
                </c:pt>
                <c:pt idx="21">
                  <c:v>2024-05</c:v>
                </c:pt>
                <c:pt idx="22">
                  <c:v>2024-06</c:v>
                </c:pt>
                <c:pt idx="23">
                  <c:v>2024-07</c:v>
                </c:pt>
                <c:pt idx="24">
                  <c:v>2024-08</c:v>
                </c:pt>
                <c:pt idx="25">
                  <c:v>2024-09</c:v>
                </c:pt>
                <c:pt idx="26">
                  <c:v>2024-10</c:v>
                </c:pt>
                <c:pt idx="27">
                  <c:v>2024-11</c:v>
                </c:pt>
                <c:pt idx="28">
                  <c:v>2024-12</c:v>
                </c:pt>
                <c:pt idx="29">
                  <c:v>2025-01</c:v>
                </c:pt>
                <c:pt idx="30">
                  <c:v>2025-02</c:v>
                </c:pt>
                <c:pt idx="31">
                  <c:v>2025-03</c:v>
                </c:pt>
                <c:pt idx="32">
                  <c:v>2025-04</c:v>
                </c:pt>
                <c:pt idx="33">
                  <c:v>2025-05</c:v>
                </c:pt>
                <c:pt idx="34">
                  <c:v>2025-06</c:v>
                </c:pt>
                <c:pt idx="35">
                  <c:v>2025-07</c:v>
                </c:pt>
                <c:pt idx="36">
                  <c:v>2025-08</c:v>
                </c:pt>
                <c:pt idx="37">
                  <c:v>2025-09</c:v>
                </c:pt>
                <c:pt idx="38">
                  <c:v>2025-10</c:v>
                </c:pt>
                <c:pt idx="39">
                  <c:v>2025-11</c:v>
                </c:pt>
                <c:pt idx="40">
                  <c:v>2025-12</c:v>
                </c:pt>
                <c:pt idx="41">
                  <c:v>2026-01</c:v>
                </c:pt>
                <c:pt idx="42">
                  <c:v>2026-02</c:v>
                </c:pt>
                <c:pt idx="43">
                  <c:v>2026-03</c:v>
                </c:pt>
                <c:pt idx="44">
                  <c:v>2026-04</c:v>
                </c:pt>
                <c:pt idx="45">
                  <c:v>2026-05</c:v>
                </c:pt>
                <c:pt idx="46">
                  <c:v>2026-06</c:v>
                </c:pt>
                <c:pt idx="47">
                  <c:v>2026-07</c:v>
                </c:pt>
                <c:pt idx="48">
                  <c:v>2026-08</c:v>
                </c:pt>
                <c:pt idx="49">
                  <c:v>2026-09</c:v>
                </c:pt>
                <c:pt idx="50">
                  <c:v>2026-10</c:v>
                </c:pt>
              </c:strCache>
            </c:strRef>
          </c:cat>
          <c:val>
            <c:numRef>
              <c:f>'1_Simplistas'!$C$5:$C$55</c:f>
              <c:numCache>
                <c:formatCode>#,##0.0</c:formatCode>
                <c:ptCount val="51"/>
                <c:pt idx="1">
                  <c:v>9630.2990000000009</c:v>
                </c:pt>
                <c:pt idx="2">
                  <c:v>10251.463</c:v>
                </c:pt>
                <c:pt idx="3">
                  <c:v>9106.9060000000009</c:v>
                </c:pt>
                <c:pt idx="4">
                  <c:v>7350.8980000000001</c:v>
                </c:pt>
                <c:pt idx="5">
                  <c:v>12285.013000000001</c:v>
                </c:pt>
                <c:pt idx="6">
                  <c:v>7210.1040000000003</c:v>
                </c:pt>
                <c:pt idx="7">
                  <c:v>5576.9979999999996</c:v>
                </c:pt>
                <c:pt idx="8">
                  <c:v>6648.9430000000002</c:v>
                </c:pt>
                <c:pt idx="9">
                  <c:v>8525.2129999999997</c:v>
                </c:pt>
                <c:pt idx="10">
                  <c:v>7428.518</c:v>
                </c:pt>
                <c:pt idx="11">
                  <c:v>6618.3440000000001</c:v>
                </c:pt>
                <c:pt idx="12">
                  <c:v>10251.380999999999</c:v>
                </c:pt>
                <c:pt idx="13">
                  <c:v>8574.4220000000005</c:v>
                </c:pt>
                <c:pt idx="14">
                  <c:v>8853.1569999999992</c:v>
                </c:pt>
                <c:pt idx="15">
                  <c:v>11343.447</c:v>
                </c:pt>
                <c:pt idx="16">
                  <c:v>9180.7569999999996</c:v>
                </c:pt>
                <c:pt idx="17">
                  <c:v>12310.300999999999</c:v>
                </c:pt>
                <c:pt idx="18">
                  <c:v>4916.5020000000004</c:v>
                </c:pt>
                <c:pt idx="19">
                  <c:v>5690.96</c:v>
                </c:pt>
                <c:pt idx="20">
                  <c:v>6504.8370000000004</c:v>
                </c:pt>
                <c:pt idx="21">
                  <c:v>6356.8980000000001</c:v>
                </c:pt>
                <c:pt idx="22">
                  <c:v>7687.4089999999997</c:v>
                </c:pt>
                <c:pt idx="23">
                  <c:v>6111.2430000000004</c:v>
                </c:pt>
                <c:pt idx="24">
                  <c:v>11481.558000000001</c:v>
                </c:pt>
                <c:pt idx="25">
                  <c:v>6375.4579999999996</c:v>
                </c:pt>
                <c:pt idx="26">
                  <c:v>7003.0320000000002</c:v>
                </c:pt>
                <c:pt idx="27">
                  <c:v>10899.564</c:v>
                </c:pt>
                <c:pt idx="28">
                  <c:v>7461.0919999999996</c:v>
                </c:pt>
                <c:pt idx="29">
                  <c:v>12917.156999999999</c:v>
                </c:pt>
                <c:pt idx="30">
                  <c:v>5233.0630000000001</c:v>
                </c:pt>
                <c:pt idx="31">
                  <c:v>5157.8140000000003</c:v>
                </c:pt>
                <c:pt idx="32">
                  <c:v>6202.39</c:v>
                </c:pt>
                <c:pt idx="33">
                  <c:v>6840.3379999999997</c:v>
                </c:pt>
                <c:pt idx="34">
                  <c:v>5905.9049999999997</c:v>
                </c:pt>
                <c:pt idx="35">
                  <c:v>5055.2579999999998</c:v>
                </c:pt>
                <c:pt idx="36">
                  <c:v>8601.4889999999996</c:v>
                </c:pt>
                <c:pt idx="37">
                  <c:v>4877.567</c:v>
                </c:pt>
                <c:pt idx="38">
                  <c:v>6672.5510000000004</c:v>
                </c:pt>
                <c:pt idx="39">
                  <c:v>9619.0300000000007</c:v>
                </c:pt>
                <c:pt idx="40">
                  <c:v>7302.9219999999996</c:v>
                </c:pt>
                <c:pt idx="41">
                  <c:v>7676.57</c:v>
                </c:pt>
                <c:pt idx="42">
                  <c:v>4467.835</c:v>
                </c:pt>
                <c:pt idx="43">
                  <c:v>3492.41</c:v>
                </c:pt>
                <c:pt idx="44">
                  <c:v>5340.1480000000001</c:v>
                </c:pt>
                <c:pt idx="45">
                  <c:v>5268.3239999999996</c:v>
                </c:pt>
                <c:pt idx="46">
                  <c:v>5327.0829999999996</c:v>
                </c:pt>
                <c:pt idx="47">
                  <c:v>5044.84</c:v>
                </c:pt>
                <c:pt idx="48">
                  <c:v>5205.2460000000001</c:v>
                </c:pt>
                <c:pt idx="49">
                  <c:v>5205.2460000000001</c:v>
                </c:pt>
                <c:pt idx="50">
                  <c:v>5205.2460000000001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E9-B04A-B39F-6E215810F1C6}"/>
            </c:ext>
          </c:extLst>
        </c:ser>
        <c:ser>
          <c:idx val="2"/>
          <c:order val="2"/>
          <c:tx>
            <c:strRef>
              <c:f>'1_Simplistas'!$D$4</c:f>
              <c:strCache>
                <c:ptCount val="1"/>
                <c:pt idx="0">
                  <c:v>naive_estacional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'1_Simplistas'!$A$5:$A$55</c:f>
              <c:strCache>
                <c:ptCount val="51"/>
                <c:pt idx="0">
                  <c:v>2022-08</c:v>
                </c:pt>
                <c:pt idx="1">
                  <c:v>2022-09</c:v>
                </c:pt>
                <c:pt idx="2">
                  <c:v>2022-10</c:v>
                </c:pt>
                <c:pt idx="3">
                  <c:v>2022-11</c:v>
                </c:pt>
                <c:pt idx="4">
                  <c:v>2022-12</c:v>
                </c:pt>
                <c:pt idx="5">
                  <c:v>2023-01</c:v>
                </c:pt>
                <c:pt idx="6">
                  <c:v>2023-02</c:v>
                </c:pt>
                <c:pt idx="7">
                  <c:v>2023-03</c:v>
                </c:pt>
                <c:pt idx="8">
                  <c:v>2023-04</c:v>
                </c:pt>
                <c:pt idx="9">
                  <c:v>2023-05</c:v>
                </c:pt>
                <c:pt idx="10">
                  <c:v>2023-06</c:v>
                </c:pt>
                <c:pt idx="11">
                  <c:v>2023-07</c:v>
                </c:pt>
                <c:pt idx="12">
                  <c:v>2023-08</c:v>
                </c:pt>
                <c:pt idx="13">
                  <c:v>2023-09</c:v>
                </c:pt>
                <c:pt idx="14">
                  <c:v>2023-10</c:v>
                </c:pt>
                <c:pt idx="15">
                  <c:v>2023-11</c:v>
                </c:pt>
                <c:pt idx="16">
                  <c:v>2023-12</c:v>
                </c:pt>
                <c:pt idx="17">
                  <c:v>2024-01</c:v>
                </c:pt>
                <c:pt idx="18">
                  <c:v>2024-02</c:v>
                </c:pt>
                <c:pt idx="19">
                  <c:v>2024-03</c:v>
                </c:pt>
                <c:pt idx="20">
                  <c:v>2024-04</c:v>
                </c:pt>
                <c:pt idx="21">
                  <c:v>2024-05</c:v>
                </c:pt>
                <c:pt idx="22">
                  <c:v>2024-06</c:v>
                </c:pt>
                <c:pt idx="23">
                  <c:v>2024-07</c:v>
                </c:pt>
                <c:pt idx="24">
                  <c:v>2024-08</c:v>
                </c:pt>
                <c:pt idx="25">
                  <c:v>2024-09</c:v>
                </c:pt>
                <c:pt idx="26">
                  <c:v>2024-10</c:v>
                </c:pt>
                <c:pt idx="27">
                  <c:v>2024-11</c:v>
                </c:pt>
                <c:pt idx="28">
                  <c:v>2024-12</c:v>
                </c:pt>
                <c:pt idx="29">
                  <c:v>2025-01</c:v>
                </c:pt>
                <c:pt idx="30">
                  <c:v>2025-02</c:v>
                </c:pt>
                <c:pt idx="31">
                  <c:v>2025-03</c:v>
                </c:pt>
                <c:pt idx="32">
                  <c:v>2025-04</c:v>
                </c:pt>
                <c:pt idx="33">
                  <c:v>2025-05</c:v>
                </c:pt>
                <c:pt idx="34">
                  <c:v>2025-06</c:v>
                </c:pt>
                <c:pt idx="35">
                  <c:v>2025-07</c:v>
                </c:pt>
                <c:pt idx="36">
                  <c:v>2025-08</c:v>
                </c:pt>
                <c:pt idx="37">
                  <c:v>2025-09</c:v>
                </c:pt>
                <c:pt idx="38">
                  <c:v>2025-10</c:v>
                </c:pt>
                <c:pt idx="39">
                  <c:v>2025-11</c:v>
                </c:pt>
                <c:pt idx="40">
                  <c:v>2025-12</c:v>
                </c:pt>
                <c:pt idx="41">
                  <c:v>2026-01</c:v>
                </c:pt>
                <c:pt idx="42">
                  <c:v>2026-02</c:v>
                </c:pt>
                <c:pt idx="43">
                  <c:v>2026-03</c:v>
                </c:pt>
                <c:pt idx="44">
                  <c:v>2026-04</c:v>
                </c:pt>
                <c:pt idx="45">
                  <c:v>2026-05</c:v>
                </c:pt>
                <c:pt idx="46">
                  <c:v>2026-06</c:v>
                </c:pt>
                <c:pt idx="47">
                  <c:v>2026-07</c:v>
                </c:pt>
                <c:pt idx="48">
                  <c:v>2026-08</c:v>
                </c:pt>
                <c:pt idx="49">
                  <c:v>2026-09</c:v>
                </c:pt>
                <c:pt idx="50">
                  <c:v>2026-10</c:v>
                </c:pt>
              </c:strCache>
            </c:strRef>
          </c:cat>
          <c:val>
            <c:numRef>
              <c:f>'1_Simplistas'!$D$5:$D$55</c:f>
              <c:numCache>
                <c:formatCode>#,##0.0</c:formatCode>
                <c:ptCount val="51"/>
                <c:pt idx="12">
                  <c:v>9630.2990000000009</c:v>
                </c:pt>
                <c:pt idx="13">
                  <c:v>10251.463</c:v>
                </c:pt>
                <c:pt idx="14">
                  <c:v>9106.9060000000009</c:v>
                </c:pt>
                <c:pt idx="15">
                  <c:v>7350.8980000000001</c:v>
                </c:pt>
                <c:pt idx="16">
                  <c:v>12285.013000000001</c:v>
                </c:pt>
                <c:pt idx="17">
                  <c:v>7210.1040000000003</c:v>
                </c:pt>
                <c:pt idx="18">
                  <c:v>5576.9979999999996</c:v>
                </c:pt>
                <c:pt idx="19">
                  <c:v>6648.9430000000002</c:v>
                </c:pt>
                <c:pt idx="20">
                  <c:v>8525.2129999999997</c:v>
                </c:pt>
                <c:pt idx="21">
                  <c:v>7428.518</c:v>
                </c:pt>
                <c:pt idx="22">
                  <c:v>6618.3440000000001</c:v>
                </c:pt>
                <c:pt idx="23">
                  <c:v>10251.380999999999</c:v>
                </c:pt>
                <c:pt idx="24">
                  <c:v>8574.4220000000005</c:v>
                </c:pt>
                <c:pt idx="25">
                  <c:v>8853.1569999999992</c:v>
                </c:pt>
                <c:pt idx="26">
                  <c:v>11343.447</c:v>
                </c:pt>
                <c:pt idx="27">
                  <c:v>9180.7569999999996</c:v>
                </c:pt>
                <c:pt idx="28">
                  <c:v>12310.300999999999</c:v>
                </c:pt>
                <c:pt idx="29">
                  <c:v>4916.5020000000004</c:v>
                </c:pt>
                <c:pt idx="30">
                  <c:v>5690.96</c:v>
                </c:pt>
                <c:pt idx="31">
                  <c:v>6504.8370000000004</c:v>
                </c:pt>
                <c:pt idx="32">
                  <c:v>6356.8980000000001</c:v>
                </c:pt>
                <c:pt idx="33">
                  <c:v>7687.4089999999997</c:v>
                </c:pt>
                <c:pt idx="34">
                  <c:v>6111.2430000000004</c:v>
                </c:pt>
                <c:pt idx="35">
                  <c:v>11481.558000000001</c:v>
                </c:pt>
                <c:pt idx="36">
                  <c:v>6375.4579999999996</c:v>
                </c:pt>
                <c:pt idx="37">
                  <c:v>7003.0320000000002</c:v>
                </c:pt>
                <c:pt idx="38">
                  <c:v>10899.564</c:v>
                </c:pt>
                <c:pt idx="39">
                  <c:v>7461.0919999999996</c:v>
                </c:pt>
                <c:pt idx="40">
                  <c:v>12917.156999999999</c:v>
                </c:pt>
                <c:pt idx="41">
                  <c:v>5233.0630000000001</c:v>
                </c:pt>
                <c:pt idx="42">
                  <c:v>5157.8140000000003</c:v>
                </c:pt>
                <c:pt idx="43">
                  <c:v>6202.39</c:v>
                </c:pt>
                <c:pt idx="44">
                  <c:v>6840.3379999999997</c:v>
                </c:pt>
                <c:pt idx="45">
                  <c:v>5905.9049999999997</c:v>
                </c:pt>
                <c:pt idx="46">
                  <c:v>5055.2579999999998</c:v>
                </c:pt>
                <c:pt idx="47">
                  <c:v>8601.4889999999996</c:v>
                </c:pt>
                <c:pt idx="48">
                  <c:v>4877.567</c:v>
                </c:pt>
                <c:pt idx="49">
                  <c:v>6672.5510000000004</c:v>
                </c:pt>
                <c:pt idx="50">
                  <c:v>9619.0300000000007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E9-B04A-B39F-6E215810F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Valor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O"/>
              <a:t>Real vs Naive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'1_Simplistas'!$B$4</c:f>
              <c:strCache>
                <c:ptCount val="1"/>
                <c:pt idx="0">
                  <c:v>real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'1_Simplistas'!$A$5:$A$55</c:f>
              <c:strCache>
                <c:ptCount val="51"/>
                <c:pt idx="0">
                  <c:v>2022-08</c:v>
                </c:pt>
                <c:pt idx="1">
                  <c:v>2022-09</c:v>
                </c:pt>
                <c:pt idx="2">
                  <c:v>2022-10</c:v>
                </c:pt>
                <c:pt idx="3">
                  <c:v>2022-11</c:v>
                </c:pt>
                <c:pt idx="4">
                  <c:v>2022-12</c:v>
                </c:pt>
                <c:pt idx="5">
                  <c:v>2023-01</c:v>
                </c:pt>
                <c:pt idx="6">
                  <c:v>2023-02</c:v>
                </c:pt>
                <c:pt idx="7">
                  <c:v>2023-03</c:v>
                </c:pt>
                <c:pt idx="8">
                  <c:v>2023-04</c:v>
                </c:pt>
                <c:pt idx="9">
                  <c:v>2023-05</c:v>
                </c:pt>
                <c:pt idx="10">
                  <c:v>2023-06</c:v>
                </c:pt>
                <c:pt idx="11">
                  <c:v>2023-07</c:v>
                </c:pt>
                <c:pt idx="12">
                  <c:v>2023-08</c:v>
                </c:pt>
                <c:pt idx="13">
                  <c:v>2023-09</c:v>
                </c:pt>
                <c:pt idx="14">
                  <c:v>2023-10</c:v>
                </c:pt>
                <c:pt idx="15">
                  <c:v>2023-11</c:v>
                </c:pt>
                <c:pt idx="16">
                  <c:v>2023-12</c:v>
                </c:pt>
                <c:pt idx="17">
                  <c:v>2024-01</c:v>
                </c:pt>
                <c:pt idx="18">
                  <c:v>2024-02</c:v>
                </c:pt>
                <c:pt idx="19">
                  <c:v>2024-03</c:v>
                </c:pt>
                <c:pt idx="20">
                  <c:v>2024-04</c:v>
                </c:pt>
                <c:pt idx="21">
                  <c:v>2024-05</c:v>
                </c:pt>
                <c:pt idx="22">
                  <c:v>2024-06</c:v>
                </c:pt>
                <c:pt idx="23">
                  <c:v>2024-07</c:v>
                </c:pt>
                <c:pt idx="24">
                  <c:v>2024-08</c:v>
                </c:pt>
                <c:pt idx="25">
                  <c:v>2024-09</c:v>
                </c:pt>
                <c:pt idx="26">
                  <c:v>2024-10</c:v>
                </c:pt>
                <c:pt idx="27">
                  <c:v>2024-11</c:v>
                </c:pt>
                <c:pt idx="28">
                  <c:v>2024-12</c:v>
                </c:pt>
                <c:pt idx="29">
                  <c:v>2025-01</c:v>
                </c:pt>
                <c:pt idx="30">
                  <c:v>2025-02</c:v>
                </c:pt>
                <c:pt idx="31">
                  <c:v>2025-03</c:v>
                </c:pt>
                <c:pt idx="32">
                  <c:v>2025-04</c:v>
                </c:pt>
                <c:pt idx="33">
                  <c:v>2025-05</c:v>
                </c:pt>
                <c:pt idx="34">
                  <c:v>2025-06</c:v>
                </c:pt>
                <c:pt idx="35">
                  <c:v>2025-07</c:v>
                </c:pt>
                <c:pt idx="36">
                  <c:v>2025-08</c:v>
                </c:pt>
                <c:pt idx="37">
                  <c:v>2025-09</c:v>
                </c:pt>
                <c:pt idx="38">
                  <c:v>2025-10</c:v>
                </c:pt>
                <c:pt idx="39">
                  <c:v>2025-11</c:v>
                </c:pt>
                <c:pt idx="40">
                  <c:v>2025-12</c:v>
                </c:pt>
                <c:pt idx="41">
                  <c:v>2026-01</c:v>
                </c:pt>
                <c:pt idx="42">
                  <c:v>2026-02</c:v>
                </c:pt>
                <c:pt idx="43">
                  <c:v>2026-03</c:v>
                </c:pt>
                <c:pt idx="44">
                  <c:v>2026-04</c:v>
                </c:pt>
                <c:pt idx="45">
                  <c:v>2026-05</c:v>
                </c:pt>
                <c:pt idx="46">
                  <c:v>2026-06</c:v>
                </c:pt>
                <c:pt idx="47">
                  <c:v>2026-07</c:v>
                </c:pt>
                <c:pt idx="48">
                  <c:v>2026-08</c:v>
                </c:pt>
                <c:pt idx="49">
                  <c:v>2026-09</c:v>
                </c:pt>
                <c:pt idx="50">
                  <c:v>2026-10</c:v>
                </c:pt>
              </c:strCache>
            </c:strRef>
          </c:cat>
          <c:val>
            <c:numRef>
              <c:f>'1_Simplistas'!$B$5:$B$55</c:f>
              <c:numCache>
                <c:formatCode>#,##0.0</c:formatCode>
                <c:ptCount val="51"/>
                <c:pt idx="0">
                  <c:v>9630.2990000000009</c:v>
                </c:pt>
                <c:pt idx="1">
                  <c:v>10251.463</c:v>
                </c:pt>
                <c:pt idx="2">
                  <c:v>9106.9060000000009</c:v>
                </c:pt>
                <c:pt idx="3">
                  <c:v>7350.8980000000001</c:v>
                </c:pt>
                <c:pt idx="4">
                  <c:v>12285.013000000001</c:v>
                </c:pt>
                <c:pt idx="5">
                  <c:v>7210.1040000000003</c:v>
                </c:pt>
                <c:pt idx="6">
                  <c:v>5576.9979999999996</c:v>
                </c:pt>
                <c:pt idx="7">
                  <c:v>6648.9430000000002</c:v>
                </c:pt>
                <c:pt idx="8">
                  <c:v>8525.2129999999997</c:v>
                </c:pt>
                <c:pt idx="9">
                  <c:v>7428.518</c:v>
                </c:pt>
                <c:pt idx="10">
                  <c:v>6618.3440000000001</c:v>
                </c:pt>
                <c:pt idx="11">
                  <c:v>10251.380999999999</c:v>
                </c:pt>
                <c:pt idx="12">
                  <c:v>8574.4220000000005</c:v>
                </c:pt>
                <c:pt idx="13">
                  <c:v>8853.1569999999992</c:v>
                </c:pt>
                <c:pt idx="14">
                  <c:v>11343.447</c:v>
                </c:pt>
                <c:pt idx="15">
                  <c:v>9180.7569999999996</c:v>
                </c:pt>
                <c:pt idx="16">
                  <c:v>12310.300999999999</c:v>
                </c:pt>
                <c:pt idx="17">
                  <c:v>4916.5020000000004</c:v>
                </c:pt>
                <c:pt idx="18">
                  <c:v>5690.96</c:v>
                </c:pt>
                <c:pt idx="19">
                  <c:v>6504.8370000000004</c:v>
                </c:pt>
                <c:pt idx="20">
                  <c:v>6356.8980000000001</c:v>
                </c:pt>
                <c:pt idx="21">
                  <c:v>7687.4089999999997</c:v>
                </c:pt>
                <c:pt idx="22">
                  <c:v>6111.2430000000004</c:v>
                </c:pt>
                <c:pt idx="23">
                  <c:v>11481.558000000001</c:v>
                </c:pt>
                <c:pt idx="24">
                  <c:v>6375.4579999999996</c:v>
                </c:pt>
                <c:pt idx="25">
                  <c:v>7003.0320000000002</c:v>
                </c:pt>
                <c:pt idx="26">
                  <c:v>10899.564</c:v>
                </c:pt>
                <c:pt idx="27">
                  <c:v>7461.0919999999996</c:v>
                </c:pt>
                <c:pt idx="28">
                  <c:v>12917.156999999999</c:v>
                </c:pt>
                <c:pt idx="29">
                  <c:v>5233.0630000000001</c:v>
                </c:pt>
                <c:pt idx="30">
                  <c:v>5157.8140000000003</c:v>
                </c:pt>
                <c:pt idx="31">
                  <c:v>6202.39</c:v>
                </c:pt>
                <c:pt idx="32">
                  <c:v>6840.3379999999997</c:v>
                </c:pt>
                <c:pt idx="33">
                  <c:v>5905.9049999999997</c:v>
                </c:pt>
                <c:pt idx="34">
                  <c:v>5055.2579999999998</c:v>
                </c:pt>
                <c:pt idx="35">
                  <c:v>8601.4889999999996</c:v>
                </c:pt>
                <c:pt idx="36">
                  <c:v>4877.567</c:v>
                </c:pt>
                <c:pt idx="37">
                  <c:v>6672.5510000000004</c:v>
                </c:pt>
                <c:pt idx="38">
                  <c:v>9619.0300000000007</c:v>
                </c:pt>
                <c:pt idx="39">
                  <c:v>7302.9219999999996</c:v>
                </c:pt>
                <c:pt idx="40">
                  <c:v>7676.57</c:v>
                </c:pt>
                <c:pt idx="41">
                  <c:v>4467.835</c:v>
                </c:pt>
                <c:pt idx="42">
                  <c:v>3492.41</c:v>
                </c:pt>
                <c:pt idx="43">
                  <c:v>5340.1480000000001</c:v>
                </c:pt>
                <c:pt idx="44">
                  <c:v>5268.3239999999996</c:v>
                </c:pt>
                <c:pt idx="45">
                  <c:v>5327.0829999999996</c:v>
                </c:pt>
                <c:pt idx="46">
                  <c:v>5044.84</c:v>
                </c:pt>
                <c:pt idx="47">
                  <c:v>5205.2460000000001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17-EA4F-B0E1-C081A3073453}"/>
            </c:ext>
          </c:extLst>
        </c:ser>
        <c:ser>
          <c:idx val="1"/>
          <c:order val="1"/>
          <c:tx>
            <c:strRef>
              <c:f>'1_Simplistas'!$C$4</c:f>
              <c:strCache>
                <c:ptCount val="1"/>
                <c:pt idx="0">
                  <c:v>naive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'1_Simplistas'!$A$5:$A$55</c:f>
              <c:strCache>
                <c:ptCount val="51"/>
                <c:pt idx="0">
                  <c:v>2022-08</c:v>
                </c:pt>
                <c:pt idx="1">
                  <c:v>2022-09</c:v>
                </c:pt>
                <c:pt idx="2">
                  <c:v>2022-10</c:v>
                </c:pt>
                <c:pt idx="3">
                  <c:v>2022-11</c:v>
                </c:pt>
                <c:pt idx="4">
                  <c:v>2022-12</c:v>
                </c:pt>
                <c:pt idx="5">
                  <c:v>2023-01</c:v>
                </c:pt>
                <c:pt idx="6">
                  <c:v>2023-02</c:v>
                </c:pt>
                <c:pt idx="7">
                  <c:v>2023-03</c:v>
                </c:pt>
                <c:pt idx="8">
                  <c:v>2023-04</c:v>
                </c:pt>
                <c:pt idx="9">
                  <c:v>2023-05</c:v>
                </c:pt>
                <c:pt idx="10">
                  <c:v>2023-06</c:v>
                </c:pt>
                <c:pt idx="11">
                  <c:v>2023-07</c:v>
                </c:pt>
                <c:pt idx="12">
                  <c:v>2023-08</c:v>
                </c:pt>
                <c:pt idx="13">
                  <c:v>2023-09</c:v>
                </c:pt>
                <c:pt idx="14">
                  <c:v>2023-10</c:v>
                </c:pt>
                <c:pt idx="15">
                  <c:v>2023-11</c:v>
                </c:pt>
                <c:pt idx="16">
                  <c:v>2023-12</c:v>
                </c:pt>
                <c:pt idx="17">
                  <c:v>2024-01</c:v>
                </c:pt>
                <c:pt idx="18">
                  <c:v>2024-02</c:v>
                </c:pt>
                <c:pt idx="19">
                  <c:v>2024-03</c:v>
                </c:pt>
                <c:pt idx="20">
                  <c:v>2024-04</c:v>
                </c:pt>
                <c:pt idx="21">
                  <c:v>2024-05</c:v>
                </c:pt>
                <c:pt idx="22">
                  <c:v>2024-06</c:v>
                </c:pt>
                <c:pt idx="23">
                  <c:v>2024-07</c:v>
                </c:pt>
                <c:pt idx="24">
                  <c:v>2024-08</c:v>
                </c:pt>
                <c:pt idx="25">
                  <c:v>2024-09</c:v>
                </c:pt>
                <c:pt idx="26">
                  <c:v>2024-10</c:v>
                </c:pt>
                <c:pt idx="27">
                  <c:v>2024-11</c:v>
                </c:pt>
                <c:pt idx="28">
                  <c:v>2024-12</c:v>
                </c:pt>
                <c:pt idx="29">
                  <c:v>2025-01</c:v>
                </c:pt>
                <c:pt idx="30">
                  <c:v>2025-02</c:v>
                </c:pt>
                <c:pt idx="31">
                  <c:v>2025-03</c:v>
                </c:pt>
                <c:pt idx="32">
                  <c:v>2025-04</c:v>
                </c:pt>
                <c:pt idx="33">
                  <c:v>2025-05</c:v>
                </c:pt>
                <c:pt idx="34">
                  <c:v>2025-06</c:v>
                </c:pt>
                <c:pt idx="35">
                  <c:v>2025-07</c:v>
                </c:pt>
                <c:pt idx="36">
                  <c:v>2025-08</c:v>
                </c:pt>
                <c:pt idx="37">
                  <c:v>2025-09</c:v>
                </c:pt>
                <c:pt idx="38">
                  <c:v>2025-10</c:v>
                </c:pt>
                <c:pt idx="39">
                  <c:v>2025-11</c:v>
                </c:pt>
                <c:pt idx="40">
                  <c:v>2025-12</c:v>
                </c:pt>
                <c:pt idx="41">
                  <c:v>2026-01</c:v>
                </c:pt>
                <c:pt idx="42">
                  <c:v>2026-02</c:v>
                </c:pt>
                <c:pt idx="43">
                  <c:v>2026-03</c:v>
                </c:pt>
                <c:pt idx="44">
                  <c:v>2026-04</c:v>
                </c:pt>
                <c:pt idx="45">
                  <c:v>2026-05</c:v>
                </c:pt>
                <c:pt idx="46">
                  <c:v>2026-06</c:v>
                </c:pt>
                <c:pt idx="47">
                  <c:v>2026-07</c:v>
                </c:pt>
                <c:pt idx="48">
                  <c:v>2026-08</c:v>
                </c:pt>
                <c:pt idx="49">
                  <c:v>2026-09</c:v>
                </c:pt>
                <c:pt idx="50">
                  <c:v>2026-10</c:v>
                </c:pt>
              </c:strCache>
            </c:strRef>
          </c:cat>
          <c:val>
            <c:numRef>
              <c:f>'1_Simplistas'!$C$5:$C$55</c:f>
              <c:numCache>
                <c:formatCode>#,##0.0</c:formatCode>
                <c:ptCount val="51"/>
                <c:pt idx="1">
                  <c:v>9630.2990000000009</c:v>
                </c:pt>
                <c:pt idx="2">
                  <c:v>10251.463</c:v>
                </c:pt>
                <c:pt idx="3">
                  <c:v>9106.9060000000009</c:v>
                </c:pt>
                <c:pt idx="4">
                  <c:v>7350.8980000000001</c:v>
                </c:pt>
                <c:pt idx="5">
                  <c:v>12285.013000000001</c:v>
                </c:pt>
                <c:pt idx="6">
                  <c:v>7210.1040000000003</c:v>
                </c:pt>
                <c:pt idx="7">
                  <c:v>5576.9979999999996</c:v>
                </c:pt>
                <c:pt idx="8">
                  <c:v>6648.9430000000002</c:v>
                </c:pt>
                <c:pt idx="9">
                  <c:v>8525.2129999999997</c:v>
                </c:pt>
                <c:pt idx="10">
                  <c:v>7428.518</c:v>
                </c:pt>
                <c:pt idx="11">
                  <c:v>6618.3440000000001</c:v>
                </c:pt>
                <c:pt idx="12">
                  <c:v>10251.380999999999</c:v>
                </c:pt>
                <c:pt idx="13">
                  <c:v>8574.4220000000005</c:v>
                </c:pt>
                <c:pt idx="14">
                  <c:v>8853.1569999999992</c:v>
                </c:pt>
                <c:pt idx="15">
                  <c:v>11343.447</c:v>
                </c:pt>
                <c:pt idx="16">
                  <c:v>9180.7569999999996</c:v>
                </c:pt>
                <c:pt idx="17">
                  <c:v>12310.300999999999</c:v>
                </c:pt>
                <c:pt idx="18">
                  <c:v>4916.5020000000004</c:v>
                </c:pt>
                <c:pt idx="19">
                  <c:v>5690.96</c:v>
                </c:pt>
                <c:pt idx="20">
                  <c:v>6504.8370000000004</c:v>
                </c:pt>
                <c:pt idx="21">
                  <c:v>6356.8980000000001</c:v>
                </c:pt>
                <c:pt idx="22">
                  <c:v>7687.4089999999997</c:v>
                </c:pt>
                <c:pt idx="23">
                  <c:v>6111.2430000000004</c:v>
                </c:pt>
                <c:pt idx="24">
                  <c:v>11481.558000000001</c:v>
                </c:pt>
                <c:pt idx="25">
                  <c:v>6375.4579999999996</c:v>
                </c:pt>
                <c:pt idx="26">
                  <c:v>7003.0320000000002</c:v>
                </c:pt>
                <c:pt idx="27">
                  <c:v>10899.564</c:v>
                </c:pt>
                <c:pt idx="28">
                  <c:v>7461.0919999999996</c:v>
                </c:pt>
                <c:pt idx="29">
                  <c:v>12917.156999999999</c:v>
                </c:pt>
                <c:pt idx="30">
                  <c:v>5233.0630000000001</c:v>
                </c:pt>
                <c:pt idx="31">
                  <c:v>5157.8140000000003</c:v>
                </c:pt>
                <c:pt idx="32">
                  <c:v>6202.39</c:v>
                </c:pt>
                <c:pt idx="33">
                  <c:v>6840.3379999999997</c:v>
                </c:pt>
                <c:pt idx="34">
                  <c:v>5905.9049999999997</c:v>
                </c:pt>
                <c:pt idx="35">
                  <c:v>5055.2579999999998</c:v>
                </c:pt>
                <c:pt idx="36">
                  <c:v>8601.4889999999996</c:v>
                </c:pt>
                <c:pt idx="37">
                  <c:v>4877.567</c:v>
                </c:pt>
                <c:pt idx="38">
                  <c:v>6672.5510000000004</c:v>
                </c:pt>
                <c:pt idx="39">
                  <c:v>9619.0300000000007</c:v>
                </c:pt>
                <c:pt idx="40">
                  <c:v>7302.9219999999996</c:v>
                </c:pt>
                <c:pt idx="41">
                  <c:v>7676.57</c:v>
                </c:pt>
                <c:pt idx="42">
                  <c:v>4467.835</c:v>
                </c:pt>
                <c:pt idx="43">
                  <c:v>3492.41</c:v>
                </c:pt>
                <c:pt idx="44">
                  <c:v>5340.1480000000001</c:v>
                </c:pt>
                <c:pt idx="45">
                  <c:v>5268.3239999999996</c:v>
                </c:pt>
                <c:pt idx="46">
                  <c:v>5327.0829999999996</c:v>
                </c:pt>
                <c:pt idx="47">
                  <c:v>5044.84</c:v>
                </c:pt>
                <c:pt idx="48">
                  <c:v>5205.2460000000001</c:v>
                </c:pt>
                <c:pt idx="49">
                  <c:v>5205.2460000000001</c:v>
                </c:pt>
                <c:pt idx="50">
                  <c:v>5205.2460000000001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17-EA4F-B0E1-C081A3073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Valor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O"/>
              <a:t>Real vs Naive Estacional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'1_Simplistas'!$B$4</c:f>
              <c:strCache>
                <c:ptCount val="1"/>
                <c:pt idx="0">
                  <c:v>real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'1_Simplistas'!$A$5:$A$55</c:f>
              <c:strCache>
                <c:ptCount val="51"/>
                <c:pt idx="0">
                  <c:v>2022-08</c:v>
                </c:pt>
                <c:pt idx="1">
                  <c:v>2022-09</c:v>
                </c:pt>
                <c:pt idx="2">
                  <c:v>2022-10</c:v>
                </c:pt>
                <c:pt idx="3">
                  <c:v>2022-11</c:v>
                </c:pt>
                <c:pt idx="4">
                  <c:v>2022-12</c:v>
                </c:pt>
                <c:pt idx="5">
                  <c:v>2023-01</c:v>
                </c:pt>
                <c:pt idx="6">
                  <c:v>2023-02</c:v>
                </c:pt>
                <c:pt idx="7">
                  <c:v>2023-03</c:v>
                </c:pt>
                <c:pt idx="8">
                  <c:v>2023-04</c:v>
                </c:pt>
                <c:pt idx="9">
                  <c:v>2023-05</c:v>
                </c:pt>
                <c:pt idx="10">
                  <c:v>2023-06</c:v>
                </c:pt>
                <c:pt idx="11">
                  <c:v>2023-07</c:v>
                </c:pt>
                <c:pt idx="12">
                  <c:v>2023-08</c:v>
                </c:pt>
                <c:pt idx="13">
                  <c:v>2023-09</c:v>
                </c:pt>
                <c:pt idx="14">
                  <c:v>2023-10</c:v>
                </c:pt>
                <c:pt idx="15">
                  <c:v>2023-11</c:v>
                </c:pt>
                <c:pt idx="16">
                  <c:v>2023-12</c:v>
                </c:pt>
                <c:pt idx="17">
                  <c:v>2024-01</c:v>
                </c:pt>
                <c:pt idx="18">
                  <c:v>2024-02</c:v>
                </c:pt>
                <c:pt idx="19">
                  <c:v>2024-03</c:v>
                </c:pt>
                <c:pt idx="20">
                  <c:v>2024-04</c:v>
                </c:pt>
                <c:pt idx="21">
                  <c:v>2024-05</c:v>
                </c:pt>
                <c:pt idx="22">
                  <c:v>2024-06</c:v>
                </c:pt>
                <c:pt idx="23">
                  <c:v>2024-07</c:v>
                </c:pt>
                <c:pt idx="24">
                  <c:v>2024-08</c:v>
                </c:pt>
                <c:pt idx="25">
                  <c:v>2024-09</c:v>
                </c:pt>
                <c:pt idx="26">
                  <c:v>2024-10</c:v>
                </c:pt>
                <c:pt idx="27">
                  <c:v>2024-11</c:v>
                </c:pt>
                <c:pt idx="28">
                  <c:v>2024-12</c:v>
                </c:pt>
                <c:pt idx="29">
                  <c:v>2025-01</c:v>
                </c:pt>
                <c:pt idx="30">
                  <c:v>2025-02</c:v>
                </c:pt>
                <c:pt idx="31">
                  <c:v>2025-03</c:v>
                </c:pt>
                <c:pt idx="32">
                  <c:v>2025-04</c:v>
                </c:pt>
                <c:pt idx="33">
                  <c:v>2025-05</c:v>
                </c:pt>
                <c:pt idx="34">
                  <c:v>2025-06</c:v>
                </c:pt>
                <c:pt idx="35">
                  <c:v>2025-07</c:v>
                </c:pt>
                <c:pt idx="36">
                  <c:v>2025-08</c:v>
                </c:pt>
                <c:pt idx="37">
                  <c:v>2025-09</c:v>
                </c:pt>
                <c:pt idx="38">
                  <c:v>2025-10</c:v>
                </c:pt>
                <c:pt idx="39">
                  <c:v>2025-11</c:v>
                </c:pt>
                <c:pt idx="40">
                  <c:v>2025-12</c:v>
                </c:pt>
                <c:pt idx="41">
                  <c:v>2026-01</c:v>
                </c:pt>
                <c:pt idx="42">
                  <c:v>2026-02</c:v>
                </c:pt>
                <c:pt idx="43">
                  <c:v>2026-03</c:v>
                </c:pt>
                <c:pt idx="44">
                  <c:v>2026-04</c:v>
                </c:pt>
                <c:pt idx="45">
                  <c:v>2026-05</c:v>
                </c:pt>
                <c:pt idx="46">
                  <c:v>2026-06</c:v>
                </c:pt>
                <c:pt idx="47">
                  <c:v>2026-07</c:v>
                </c:pt>
                <c:pt idx="48">
                  <c:v>2026-08</c:v>
                </c:pt>
                <c:pt idx="49">
                  <c:v>2026-09</c:v>
                </c:pt>
                <c:pt idx="50">
                  <c:v>2026-10</c:v>
                </c:pt>
              </c:strCache>
            </c:strRef>
          </c:cat>
          <c:val>
            <c:numRef>
              <c:f>'1_Simplistas'!$B$5:$B$55</c:f>
              <c:numCache>
                <c:formatCode>#,##0.0</c:formatCode>
                <c:ptCount val="51"/>
                <c:pt idx="0">
                  <c:v>9630.2990000000009</c:v>
                </c:pt>
                <c:pt idx="1">
                  <c:v>10251.463</c:v>
                </c:pt>
                <c:pt idx="2">
                  <c:v>9106.9060000000009</c:v>
                </c:pt>
                <c:pt idx="3">
                  <c:v>7350.8980000000001</c:v>
                </c:pt>
                <c:pt idx="4">
                  <c:v>12285.013000000001</c:v>
                </c:pt>
                <c:pt idx="5">
                  <c:v>7210.1040000000003</c:v>
                </c:pt>
                <c:pt idx="6">
                  <c:v>5576.9979999999996</c:v>
                </c:pt>
                <c:pt idx="7">
                  <c:v>6648.9430000000002</c:v>
                </c:pt>
                <c:pt idx="8">
                  <c:v>8525.2129999999997</c:v>
                </c:pt>
                <c:pt idx="9">
                  <c:v>7428.518</c:v>
                </c:pt>
                <c:pt idx="10">
                  <c:v>6618.3440000000001</c:v>
                </c:pt>
                <c:pt idx="11">
                  <c:v>10251.380999999999</c:v>
                </c:pt>
                <c:pt idx="12">
                  <c:v>8574.4220000000005</c:v>
                </c:pt>
                <c:pt idx="13">
                  <c:v>8853.1569999999992</c:v>
                </c:pt>
                <c:pt idx="14">
                  <c:v>11343.447</c:v>
                </c:pt>
                <c:pt idx="15">
                  <c:v>9180.7569999999996</c:v>
                </c:pt>
                <c:pt idx="16">
                  <c:v>12310.300999999999</c:v>
                </c:pt>
                <c:pt idx="17">
                  <c:v>4916.5020000000004</c:v>
                </c:pt>
                <c:pt idx="18">
                  <c:v>5690.96</c:v>
                </c:pt>
                <c:pt idx="19">
                  <c:v>6504.8370000000004</c:v>
                </c:pt>
                <c:pt idx="20">
                  <c:v>6356.8980000000001</c:v>
                </c:pt>
                <c:pt idx="21">
                  <c:v>7687.4089999999997</c:v>
                </c:pt>
                <c:pt idx="22">
                  <c:v>6111.2430000000004</c:v>
                </c:pt>
                <c:pt idx="23">
                  <c:v>11481.558000000001</c:v>
                </c:pt>
                <c:pt idx="24">
                  <c:v>6375.4579999999996</c:v>
                </c:pt>
                <c:pt idx="25">
                  <c:v>7003.0320000000002</c:v>
                </c:pt>
                <c:pt idx="26">
                  <c:v>10899.564</c:v>
                </c:pt>
                <c:pt idx="27">
                  <c:v>7461.0919999999996</c:v>
                </c:pt>
                <c:pt idx="28">
                  <c:v>12917.156999999999</c:v>
                </c:pt>
                <c:pt idx="29">
                  <c:v>5233.0630000000001</c:v>
                </c:pt>
                <c:pt idx="30">
                  <c:v>5157.8140000000003</c:v>
                </c:pt>
                <c:pt idx="31">
                  <c:v>6202.39</c:v>
                </c:pt>
                <c:pt idx="32">
                  <c:v>6840.3379999999997</c:v>
                </c:pt>
                <c:pt idx="33">
                  <c:v>5905.9049999999997</c:v>
                </c:pt>
                <c:pt idx="34">
                  <c:v>5055.2579999999998</c:v>
                </c:pt>
                <c:pt idx="35">
                  <c:v>8601.4889999999996</c:v>
                </c:pt>
                <c:pt idx="36">
                  <c:v>4877.567</c:v>
                </c:pt>
                <c:pt idx="37">
                  <c:v>6672.5510000000004</c:v>
                </c:pt>
                <c:pt idx="38">
                  <c:v>9619.0300000000007</c:v>
                </c:pt>
                <c:pt idx="39">
                  <c:v>7302.9219999999996</c:v>
                </c:pt>
                <c:pt idx="40">
                  <c:v>7676.57</c:v>
                </c:pt>
                <c:pt idx="41">
                  <c:v>4467.835</c:v>
                </c:pt>
                <c:pt idx="42">
                  <c:v>3492.41</c:v>
                </c:pt>
                <c:pt idx="43">
                  <c:v>5340.1480000000001</c:v>
                </c:pt>
                <c:pt idx="44">
                  <c:v>5268.3239999999996</c:v>
                </c:pt>
                <c:pt idx="45">
                  <c:v>5327.0829999999996</c:v>
                </c:pt>
                <c:pt idx="46">
                  <c:v>5044.84</c:v>
                </c:pt>
                <c:pt idx="47">
                  <c:v>5205.2460000000001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86-4042-ABE5-4F6145D262BF}"/>
            </c:ext>
          </c:extLst>
        </c:ser>
        <c:ser>
          <c:idx val="1"/>
          <c:order val="1"/>
          <c:tx>
            <c:strRef>
              <c:f>'1_Simplistas'!$D$4</c:f>
              <c:strCache>
                <c:ptCount val="1"/>
                <c:pt idx="0">
                  <c:v>naive_estacional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'1_Simplistas'!$A$5:$A$55</c:f>
              <c:strCache>
                <c:ptCount val="51"/>
                <c:pt idx="0">
                  <c:v>2022-08</c:v>
                </c:pt>
                <c:pt idx="1">
                  <c:v>2022-09</c:v>
                </c:pt>
                <c:pt idx="2">
                  <c:v>2022-10</c:v>
                </c:pt>
                <c:pt idx="3">
                  <c:v>2022-11</c:v>
                </c:pt>
                <c:pt idx="4">
                  <c:v>2022-12</c:v>
                </c:pt>
                <c:pt idx="5">
                  <c:v>2023-01</c:v>
                </c:pt>
                <c:pt idx="6">
                  <c:v>2023-02</c:v>
                </c:pt>
                <c:pt idx="7">
                  <c:v>2023-03</c:v>
                </c:pt>
                <c:pt idx="8">
                  <c:v>2023-04</c:v>
                </c:pt>
                <c:pt idx="9">
                  <c:v>2023-05</c:v>
                </c:pt>
                <c:pt idx="10">
                  <c:v>2023-06</c:v>
                </c:pt>
                <c:pt idx="11">
                  <c:v>2023-07</c:v>
                </c:pt>
                <c:pt idx="12">
                  <c:v>2023-08</c:v>
                </c:pt>
                <c:pt idx="13">
                  <c:v>2023-09</c:v>
                </c:pt>
                <c:pt idx="14">
                  <c:v>2023-10</c:v>
                </c:pt>
                <c:pt idx="15">
                  <c:v>2023-11</c:v>
                </c:pt>
                <c:pt idx="16">
                  <c:v>2023-12</c:v>
                </c:pt>
                <c:pt idx="17">
                  <c:v>2024-01</c:v>
                </c:pt>
                <c:pt idx="18">
                  <c:v>2024-02</c:v>
                </c:pt>
                <c:pt idx="19">
                  <c:v>2024-03</c:v>
                </c:pt>
                <c:pt idx="20">
                  <c:v>2024-04</c:v>
                </c:pt>
                <c:pt idx="21">
                  <c:v>2024-05</c:v>
                </c:pt>
                <c:pt idx="22">
                  <c:v>2024-06</c:v>
                </c:pt>
                <c:pt idx="23">
                  <c:v>2024-07</c:v>
                </c:pt>
                <c:pt idx="24">
                  <c:v>2024-08</c:v>
                </c:pt>
                <c:pt idx="25">
                  <c:v>2024-09</c:v>
                </c:pt>
                <c:pt idx="26">
                  <c:v>2024-10</c:v>
                </c:pt>
                <c:pt idx="27">
                  <c:v>2024-11</c:v>
                </c:pt>
                <c:pt idx="28">
                  <c:v>2024-12</c:v>
                </c:pt>
                <c:pt idx="29">
                  <c:v>2025-01</c:v>
                </c:pt>
                <c:pt idx="30">
                  <c:v>2025-02</c:v>
                </c:pt>
                <c:pt idx="31">
                  <c:v>2025-03</c:v>
                </c:pt>
                <c:pt idx="32">
                  <c:v>2025-04</c:v>
                </c:pt>
                <c:pt idx="33">
                  <c:v>2025-05</c:v>
                </c:pt>
                <c:pt idx="34">
                  <c:v>2025-06</c:v>
                </c:pt>
                <c:pt idx="35">
                  <c:v>2025-07</c:v>
                </c:pt>
                <c:pt idx="36">
                  <c:v>2025-08</c:v>
                </c:pt>
                <c:pt idx="37">
                  <c:v>2025-09</c:v>
                </c:pt>
                <c:pt idx="38">
                  <c:v>2025-10</c:v>
                </c:pt>
                <c:pt idx="39">
                  <c:v>2025-11</c:v>
                </c:pt>
                <c:pt idx="40">
                  <c:v>2025-12</c:v>
                </c:pt>
                <c:pt idx="41">
                  <c:v>2026-01</c:v>
                </c:pt>
                <c:pt idx="42">
                  <c:v>2026-02</c:v>
                </c:pt>
                <c:pt idx="43">
                  <c:v>2026-03</c:v>
                </c:pt>
                <c:pt idx="44">
                  <c:v>2026-04</c:v>
                </c:pt>
                <c:pt idx="45">
                  <c:v>2026-05</c:v>
                </c:pt>
                <c:pt idx="46">
                  <c:v>2026-06</c:v>
                </c:pt>
                <c:pt idx="47">
                  <c:v>2026-07</c:v>
                </c:pt>
                <c:pt idx="48">
                  <c:v>2026-08</c:v>
                </c:pt>
                <c:pt idx="49">
                  <c:v>2026-09</c:v>
                </c:pt>
                <c:pt idx="50">
                  <c:v>2026-10</c:v>
                </c:pt>
              </c:strCache>
            </c:strRef>
          </c:cat>
          <c:val>
            <c:numRef>
              <c:f>'1_Simplistas'!$D$5:$D$55</c:f>
              <c:numCache>
                <c:formatCode>#,##0.0</c:formatCode>
                <c:ptCount val="51"/>
                <c:pt idx="12">
                  <c:v>9630.2990000000009</c:v>
                </c:pt>
                <c:pt idx="13">
                  <c:v>10251.463</c:v>
                </c:pt>
                <c:pt idx="14">
                  <c:v>9106.9060000000009</c:v>
                </c:pt>
                <c:pt idx="15">
                  <c:v>7350.8980000000001</c:v>
                </c:pt>
                <c:pt idx="16">
                  <c:v>12285.013000000001</c:v>
                </c:pt>
                <c:pt idx="17">
                  <c:v>7210.1040000000003</c:v>
                </c:pt>
                <c:pt idx="18">
                  <c:v>5576.9979999999996</c:v>
                </c:pt>
                <c:pt idx="19">
                  <c:v>6648.9430000000002</c:v>
                </c:pt>
                <c:pt idx="20">
                  <c:v>8525.2129999999997</c:v>
                </c:pt>
                <c:pt idx="21">
                  <c:v>7428.518</c:v>
                </c:pt>
                <c:pt idx="22">
                  <c:v>6618.3440000000001</c:v>
                </c:pt>
                <c:pt idx="23">
                  <c:v>10251.380999999999</c:v>
                </c:pt>
                <c:pt idx="24">
                  <c:v>8574.4220000000005</c:v>
                </c:pt>
                <c:pt idx="25">
                  <c:v>8853.1569999999992</c:v>
                </c:pt>
                <c:pt idx="26">
                  <c:v>11343.447</c:v>
                </c:pt>
                <c:pt idx="27">
                  <c:v>9180.7569999999996</c:v>
                </c:pt>
                <c:pt idx="28">
                  <c:v>12310.300999999999</c:v>
                </c:pt>
                <c:pt idx="29">
                  <c:v>4916.5020000000004</c:v>
                </c:pt>
                <c:pt idx="30">
                  <c:v>5690.96</c:v>
                </c:pt>
                <c:pt idx="31">
                  <c:v>6504.8370000000004</c:v>
                </c:pt>
                <c:pt idx="32">
                  <c:v>6356.8980000000001</c:v>
                </c:pt>
                <c:pt idx="33">
                  <c:v>7687.4089999999997</c:v>
                </c:pt>
                <c:pt idx="34">
                  <c:v>6111.2430000000004</c:v>
                </c:pt>
                <c:pt idx="35">
                  <c:v>11481.558000000001</c:v>
                </c:pt>
                <c:pt idx="36">
                  <c:v>6375.4579999999996</c:v>
                </c:pt>
                <c:pt idx="37">
                  <c:v>7003.0320000000002</c:v>
                </c:pt>
                <c:pt idx="38">
                  <c:v>10899.564</c:v>
                </c:pt>
                <c:pt idx="39">
                  <c:v>7461.0919999999996</c:v>
                </c:pt>
                <c:pt idx="40">
                  <c:v>12917.156999999999</c:v>
                </c:pt>
                <c:pt idx="41">
                  <c:v>5233.0630000000001</c:v>
                </c:pt>
                <c:pt idx="42">
                  <c:v>5157.8140000000003</c:v>
                </c:pt>
                <c:pt idx="43">
                  <c:v>6202.39</c:v>
                </c:pt>
                <c:pt idx="44">
                  <c:v>6840.3379999999997</c:v>
                </c:pt>
                <c:pt idx="45">
                  <c:v>5905.9049999999997</c:v>
                </c:pt>
                <c:pt idx="46">
                  <c:v>5055.2579999999998</c:v>
                </c:pt>
                <c:pt idx="47">
                  <c:v>8601.4889999999996</c:v>
                </c:pt>
                <c:pt idx="48">
                  <c:v>4877.567</c:v>
                </c:pt>
                <c:pt idx="49">
                  <c:v>6672.5510000000004</c:v>
                </c:pt>
                <c:pt idx="50">
                  <c:v>9619.0300000000007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86-4042-ABE5-4F6145D26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Valor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O"/>
              <a:t>Real vs Promedio Simple vs MA(3) vs MA(12)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'2_Tendencia_Central'!$B$4</c:f>
              <c:strCache>
                <c:ptCount val="1"/>
                <c:pt idx="0">
                  <c:v>real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'2_Tendencia_Central'!$A$5:$A$55</c:f>
              <c:strCache>
                <c:ptCount val="51"/>
                <c:pt idx="0">
                  <c:v>2022-08</c:v>
                </c:pt>
                <c:pt idx="1">
                  <c:v>2022-09</c:v>
                </c:pt>
                <c:pt idx="2">
                  <c:v>2022-10</c:v>
                </c:pt>
                <c:pt idx="3">
                  <c:v>2022-11</c:v>
                </c:pt>
                <c:pt idx="4">
                  <c:v>2022-12</c:v>
                </c:pt>
                <c:pt idx="5">
                  <c:v>2023-01</c:v>
                </c:pt>
                <c:pt idx="6">
                  <c:v>2023-02</c:v>
                </c:pt>
                <c:pt idx="7">
                  <c:v>2023-03</c:v>
                </c:pt>
                <c:pt idx="8">
                  <c:v>2023-04</c:v>
                </c:pt>
                <c:pt idx="9">
                  <c:v>2023-05</c:v>
                </c:pt>
                <c:pt idx="10">
                  <c:v>2023-06</c:v>
                </c:pt>
                <c:pt idx="11">
                  <c:v>2023-07</c:v>
                </c:pt>
                <c:pt idx="12">
                  <c:v>2023-08</c:v>
                </c:pt>
                <c:pt idx="13">
                  <c:v>2023-09</c:v>
                </c:pt>
                <c:pt idx="14">
                  <c:v>2023-10</c:v>
                </c:pt>
                <c:pt idx="15">
                  <c:v>2023-11</c:v>
                </c:pt>
                <c:pt idx="16">
                  <c:v>2023-12</c:v>
                </c:pt>
                <c:pt idx="17">
                  <c:v>2024-01</c:v>
                </c:pt>
                <c:pt idx="18">
                  <c:v>2024-02</c:v>
                </c:pt>
                <c:pt idx="19">
                  <c:v>2024-03</c:v>
                </c:pt>
                <c:pt idx="20">
                  <c:v>2024-04</c:v>
                </c:pt>
                <c:pt idx="21">
                  <c:v>2024-05</c:v>
                </c:pt>
                <c:pt idx="22">
                  <c:v>2024-06</c:v>
                </c:pt>
                <c:pt idx="23">
                  <c:v>2024-07</c:v>
                </c:pt>
                <c:pt idx="24">
                  <c:v>2024-08</c:v>
                </c:pt>
                <c:pt idx="25">
                  <c:v>2024-09</c:v>
                </c:pt>
                <c:pt idx="26">
                  <c:v>2024-10</c:v>
                </c:pt>
                <c:pt idx="27">
                  <c:v>2024-11</c:v>
                </c:pt>
                <c:pt idx="28">
                  <c:v>2024-12</c:v>
                </c:pt>
                <c:pt idx="29">
                  <c:v>2025-01</c:v>
                </c:pt>
                <c:pt idx="30">
                  <c:v>2025-02</c:v>
                </c:pt>
                <c:pt idx="31">
                  <c:v>2025-03</c:v>
                </c:pt>
                <c:pt idx="32">
                  <c:v>2025-04</c:v>
                </c:pt>
                <c:pt idx="33">
                  <c:v>2025-05</c:v>
                </c:pt>
                <c:pt idx="34">
                  <c:v>2025-06</c:v>
                </c:pt>
                <c:pt idx="35">
                  <c:v>2025-07</c:v>
                </c:pt>
                <c:pt idx="36">
                  <c:v>2025-08</c:v>
                </c:pt>
                <c:pt idx="37">
                  <c:v>2025-09</c:v>
                </c:pt>
                <c:pt idx="38">
                  <c:v>2025-10</c:v>
                </c:pt>
                <c:pt idx="39">
                  <c:v>2025-11</c:v>
                </c:pt>
                <c:pt idx="40">
                  <c:v>2025-12</c:v>
                </c:pt>
                <c:pt idx="41">
                  <c:v>2026-01</c:v>
                </c:pt>
                <c:pt idx="42">
                  <c:v>2026-02</c:v>
                </c:pt>
                <c:pt idx="43">
                  <c:v>2026-03</c:v>
                </c:pt>
                <c:pt idx="44">
                  <c:v>2026-04</c:v>
                </c:pt>
                <c:pt idx="45">
                  <c:v>2026-05</c:v>
                </c:pt>
                <c:pt idx="46">
                  <c:v>2026-06</c:v>
                </c:pt>
                <c:pt idx="47">
                  <c:v>2026-07</c:v>
                </c:pt>
                <c:pt idx="48">
                  <c:v>2026-08</c:v>
                </c:pt>
                <c:pt idx="49">
                  <c:v>2026-09</c:v>
                </c:pt>
                <c:pt idx="50">
                  <c:v>2026-10</c:v>
                </c:pt>
              </c:strCache>
            </c:strRef>
          </c:cat>
          <c:val>
            <c:numRef>
              <c:f>'2_Tendencia_Central'!$B$5:$B$55</c:f>
              <c:numCache>
                <c:formatCode>#,##0.0</c:formatCode>
                <c:ptCount val="51"/>
                <c:pt idx="0">
                  <c:v>9630.2990000000009</c:v>
                </c:pt>
                <c:pt idx="1">
                  <c:v>10251.463</c:v>
                </c:pt>
                <c:pt idx="2">
                  <c:v>9106.9060000000009</c:v>
                </c:pt>
                <c:pt idx="3">
                  <c:v>7350.8980000000001</c:v>
                </c:pt>
                <c:pt idx="4">
                  <c:v>12285.013000000001</c:v>
                </c:pt>
                <c:pt idx="5">
                  <c:v>7210.1040000000003</c:v>
                </c:pt>
                <c:pt idx="6">
                  <c:v>5576.9979999999996</c:v>
                </c:pt>
                <c:pt idx="7">
                  <c:v>6648.9430000000002</c:v>
                </c:pt>
                <c:pt idx="8">
                  <c:v>8525.2129999999997</c:v>
                </c:pt>
                <c:pt idx="9">
                  <c:v>7428.518</c:v>
                </c:pt>
                <c:pt idx="10">
                  <c:v>6618.3440000000001</c:v>
                </c:pt>
                <c:pt idx="11">
                  <c:v>10251.380999999999</c:v>
                </c:pt>
                <c:pt idx="12">
                  <c:v>8574.4220000000005</c:v>
                </c:pt>
                <c:pt idx="13">
                  <c:v>8853.1569999999992</c:v>
                </c:pt>
                <c:pt idx="14">
                  <c:v>11343.447</c:v>
                </c:pt>
                <c:pt idx="15">
                  <c:v>9180.7569999999996</c:v>
                </c:pt>
                <c:pt idx="16">
                  <c:v>12310.300999999999</c:v>
                </c:pt>
                <c:pt idx="17">
                  <c:v>4916.5020000000004</c:v>
                </c:pt>
                <c:pt idx="18">
                  <c:v>5690.96</c:v>
                </c:pt>
                <c:pt idx="19">
                  <c:v>6504.8370000000004</c:v>
                </c:pt>
                <c:pt idx="20">
                  <c:v>6356.8980000000001</c:v>
                </c:pt>
                <c:pt idx="21">
                  <c:v>7687.4089999999997</c:v>
                </c:pt>
                <c:pt idx="22">
                  <c:v>6111.2430000000004</c:v>
                </c:pt>
                <c:pt idx="23">
                  <c:v>11481.558000000001</c:v>
                </c:pt>
                <c:pt idx="24">
                  <c:v>6375.4579999999996</c:v>
                </c:pt>
                <c:pt idx="25">
                  <c:v>7003.0320000000002</c:v>
                </c:pt>
                <c:pt idx="26">
                  <c:v>10899.564</c:v>
                </c:pt>
                <c:pt idx="27">
                  <c:v>7461.0919999999996</c:v>
                </c:pt>
                <c:pt idx="28">
                  <c:v>12917.156999999999</c:v>
                </c:pt>
                <c:pt idx="29">
                  <c:v>5233.0630000000001</c:v>
                </c:pt>
                <c:pt idx="30">
                  <c:v>5157.8140000000003</c:v>
                </c:pt>
                <c:pt idx="31">
                  <c:v>6202.39</c:v>
                </c:pt>
                <c:pt idx="32">
                  <c:v>6840.3379999999997</c:v>
                </c:pt>
                <c:pt idx="33">
                  <c:v>5905.9049999999997</c:v>
                </c:pt>
                <c:pt idx="34">
                  <c:v>5055.2579999999998</c:v>
                </c:pt>
                <c:pt idx="35">
                  <c:v>8601.4889999999996</c:v>
                </c:pt>
                <c:pt idx="36">
                  <c:v>4877.567</c:v>
                </c:pt>
                <c:pt idx="37">
                  <c:v>6672.5510000000004</c:v>
                </c:pt>
                <c:pt idx="38">
                  <c:v>9619.0300000000007</c:v>
                </c:pt>
                <c:pt idx="39">
                  <c:v>7302.9219999999996</c:v>
                </c:pt>
                <c:pt idx="40">
                  <c:v>7676.57</c:v>
                </c:pt>
                <c:pt idx="41">
                  <c:v>4467.835</c:v>
                </c:pt>
                <c:pt idx="42">
                  <c:v>3492.41</c:v>
                </c:pt>
                <c:pt idx="43">
                  <c:v>5340.1480000000001</c:v>
                </c:pt>
                <c:pt idx="44">
                  <c:v>5268.3239999999996</c:v>
                </c:pt>
                <c:pt idx="45">
                  <c:v>5327.0829999999996</c:v>
                </c:pt>
                <c:pt idx="46">
                  <c:v>5044.84</c:v>
                </c:pt>
                <c:pt idx="47">
                  <c:v>5205.2460000000001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45-8C42-9DBB-5B48C10F2D34}"/>
            </c:ext>
          </c:extLst>
        </c:ser>
        <c:ser>
          <c:idx val="1"/>
          <c:order val="1"/>
          <c:tx>
            <c:strRef>
              <c:f>'2_Tendencia_Central'!$C$4</c:f>
              <c:strCache>
                <c:ptCount val="1"/>
                <c:pt idx="0">
                  <c:v>promedio_simple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'2_Tendencia_Central'!$A$5:$A$55</c:f>
              <c:strCache>
                <c:ptCount val="51"/>
                <c:pt idx="0">
                  <c:v>2022-08</c:v>
                </c:pt>
                <c:pt idx="1">
                  <c:v>2022-09</c:v>
                </c:pt>
                <c:pt idx="2">
                  <c:v>2022-10</c:v>
                </c:pt>
                <c:pt idx="3">
                  <c:v>2022-11</c:v>
                </c:pt>
                <c:pt idx="4">
                  <c:v>2022-12</c:v>
                </c:pt>
                <c:pt idx="5">
                  <c:v>2023-01</c:v>
                </c:pt>
                <c:pt idx="6">
                  <c:v>2023-02</c:v>
                </c:pt>
                <c:pt idx="7">
                  <c:v>2023-03</c:v>
                </c:pt>
                <c:pt idx="8">
                  <c:v>2023-04</c:v>
                </c:pt>
                <c:pt idx="9">
                  <c:v>2023-05</c:v>
                </c:pt>
                <c:pt idx="10">
                  <c:v>2023-06</c:v>
                </c:pt>
                <c:pt idx="11">
                  <c:v>2023-07</c:v>
                </c:pt>
                <c:pt idx="12">
                  <c:v>2023-08</c:v>
                </c:pt>
                <c:pt idx="13">
                  <c:v>2023-09</c:v>
                </c:pt>
                <c:pt idx="14">
                  <c:v>2023-10</c:v>
                </c:pt>
                <c:pt idx="15">
                  <c:v>2023-11</c:v>
                </c:pt>
                <c:pt idx="16">
                  <c:v>2023-12</c:v>
                </c:pt>
                <c:pt idx="17">
                  <c:v>2024-01</c:v>
                </c:pt>
                <c:pt idx="18">
                  <c:v>2024-02</c:v>
                </c:pt>
                <c:pt idx="19">
                  <c:v>2024-03</c:v>
                </c:pt>
                <c:pt idx="20">
                  <c:v>2024-04</c:v>
                </c:pt>
                <c:pt idx="21">
                  <c:v>2024-05</c:v>
                </c:pt>
                <c:pt idx="22">
                  <c:v>2024-06</c:v>
                </c:pt>
                <c:pt idx="23">
                  <c:v>2024-07</c:v>
                </c:pt>
                <c:pt idx="24">
                  <c:v>2024-08</c:v>
                </c:pt>
                <c:pt idx="25">
                  <c:v>2024-09</c:v>
                </c:pt>
                <c:pt idx="26">
                  <c:v>2024-10</c:v>
                </c:pt>
                <c:pt idx="27">
                  <c:v>2024-11</c:v>
                </c:pt>
                <c:pt idx="28">
                  <c:v>2024-12</c:v>
                </c:pt>
                <c:pt idx="29">
                  <c:v>2025-01</c:v>
                </c:pt>
                <c:pt idx="30">
                  <c:v>2025-02</c:v>
                </c:pt>
                <c:pt idx="31">
                  <c:v>2025-03</c:v>
                </c:pt>
                <c:pt idx="32">
                  <c:v>2025-04</c:v>
                </c:pt>
                <c:pt idx="33">
                  <c:v>2025-05</c:v>
                </c:pt>
                <c:pt idx="34">
                  <c:v>2025-06</c:v>
                </c:pt>
                <c:pt idx="35">
                  <c:v>2025-07</c:v>
                </c:pt>
                <c:pt idx="36">
                  <c:v>2025-08</c:v>
                </c:pt>
                <c:pt idx="37">
                  <c:v>2025-09</c:v>
                </c:pt>
                <c:pt idx="38">
                  <c:v>2025-10</c:v>
                </c:pt>
                <c:pt idx="39">
                  <c:v>2025-11</c:v>
                </c:pt>
                <c:pt idx="40">
                  <c:v>2025-12</c:v>
                </c:pt>
                <c:pt idx="41">
                  <c:v>2026-01</c:v>
                </c:pt>
                <c:pt idx="42">
                  <c:v>2026-02</c:v>
                </c:pt>
                <c:pt idx="43">
                  <c:v>2026-03</c:v>
                </c:pt>
                <c:pt idx="44">
                  <c:v>2026-04</c:v>
                </c:pt>
                <c:pt idx="45">
                  <c:v>2026-05</c:v>
                </c:pt>
                <c:pt idx="46">
                  <c:v>2026-06</c:v>
                </c:pt>
                <c:pt idx="47">
                  <c:v>2026-07</c:v>
                </c:pt>
                <c:pt idx="48">
                  <c:v>2026-08</c:v>
                </c:pt>
                <c:pt idx="49">
                  <c:v>2026-09</c:v>
                </c:pt>
                <c:pt idx="50">
                  <c:v>2026-10</c:v>
                </c:pt>
              </c:strCache>
            </c:strRef>
          </c:cat>
          <c:val>
            <c:numRef>
              <c:f>'2_Tendencia_Central'!$C$5:$C$55</c:f>
              <c:numCache>
                <c:formatCode>#,##0.0</c:formatCode>
                <c:ptCount val="51"/>
                <c:pt idx="1">
                  <c:v>9630.2990000000009</c:v>
                </c:pt>
                <c:pt idx="2">
                  <c:v>9940.8810000000012</c:v>
                </c:pt>
                <c:pt idx="3">
                  <c:v>9662.8893333333344</c:v>
                </c:pt>
                <c:pt idx="4">
                  <c:v>9084.8915000000015</c:v>
                </c:pt>
                <c:pt idx="5">
                  <c:v>9724.9158000000007</c:v>
                </c:pt>
                <c:pt idx="6">
                  <c:v>9305.7805000000008</c:v>
                </c:pt>
                <c:pt idx="7">
                  <c:v>8773.097285714286</c:v>
                </c:pt>
                <c:pt idx="8">
                  <c:v>8507.5780000000013</c:v>
                </c:pt>
                <c:pt idx="9">
                  <c:v>8509.537444444446</c:v>
                </c:pt>
                <c:pt idx="10">
                  <c:v>8401.4355000000014</c:v>
                </c:pt>
                <c:pt idx="11">
                  <c:v>8239.3362727272743</c:v>
                </c:pt>
                <c:pt idx="12">
                  <c:v>8407.0066666666662</c:v>
                </c:pt>
                <c:pt idx="13">
                  <c:v>8419.88476923077</c:v>
                </c:pt>
                <c:pt idx="14">
                  <c:v>8450.8327857142867</c:v>
                </c:pt>
                <c:pt idx="15">
                  <c:v>8643.6737333333349</c:v>
                </c:pt>
                <c:pt idx="16">
                  <c:v>8677.2414375000008</c:v>
                </c:pt>
                <c:pt idx="17">
                  <c:v>8890.9508235294124</c:v>
                </c:pt>
                <c:pt idx="18">
                  <c:v>8670.1481111111134</c:v>
                </c:pt>
                <c:pt idx="19">
                  <c:v>8513.3487368421065</c:v>
                </c:pt>
                <c:pt idx="20">
                  <c:v>8412.9231500000005</c:v>
                </c:pt>
                <c:pt idx="21">
                  <c:v>8315.0171904761901</c:v>
                </c:pt>
                <c:pt idx="22">
                  <c:v>8286.4895454545458</c:v>
                </c:pt>
                <c:pt idx="23">
                  <c:v>8191.9136086956523</c:v>
                </c:pt>
                <c:pt idx="24">
                  <c:v>8328.9821250000005</c:v>
                </c:pt>
                <c:pt idx="25">
                  <c:v>8250.8411599999999</c:v>
                </c:pt>
                <c:pt idx="26">
                  <c:v>8202.8485000000001</c:v>
                </c:pt>
                <c:pt idx="27">
                  <c:v>8302.7268518518522</c:v>
                </c:pt>
                <c:pt idx="28">
                  <c:v>8272.6684642857163</c:v>
                </c:pt>
                <c:pt idx="29">
                  <c:v>8432.8232413793121</c:v>
                </c:pt>
                <c:pt idx="30">
                  <c:v>8326.1645666666682</c:v>
                </c:pt>
                <c:pt idx="31">
                  <c:v>8223.9597096774214</c:v>
                </c:pt>
                <c:pt idx="32">
                  <c:v>8160.7856562500019</c:v>
                </c:pt>
                <c:pt idx="33">
                  <c:v>8120.7720909090922</c:v>
                </c:pt>
                <c:pt idx="34">
                  <c:v>8055.6289411764728</c:v>
                </c:pt>
                <c:pt idx="35">
                  <c:v>7969.9040571428586</c:v>
                </c:pt>
                <c:pt idx="36">
                  <c:v>7987.4480833333346</c:v>
                </c:pt>
                <c:pt idx="37">
                  <c:v>7903.3972432432438</c:v>
                </c:pt>
                <c:pt idx="38">
                  <c:v>7871.0065526315793</c:v>
                </c:pt>
                <c:pt idx="39">
                  <c:v>7915.8276666666679</c:v>
                </c:pt>
                <c:pt idx="40">
                  <c:v>7900.5050250000013</c:v>
                </c:pt>
                <c:pt idx="41">
                  <c:v>7895.0431951219525</c:v>
                </c:pt>
                <c:pt idx="42">
                  <c:v>7813.443000000002</c:v>
                </c:pt>
                <c:pt idx="43">
                  <c:v>7712.9538604651179</c:v>
                </c:pt>
                <c:pt idx="44">
                  <c:v>7659.0264545454556</c:v>
                </c:pt>
                <c:pt idx="45">
                  <c:v>7605.8997333333346</c:v>
                </c:pt>
                <c:pt idx="46">
                  <c:v>7556.3602391304357</c:v>
                </c:pt>
                <c:pt idx="47">
                  <c:v>7502.9236382978743</c:v>
                </c:pt>
                <c:pt idx="48">
                  <c:v>7455.0553541666677</c:v>
                </c:pt>
                <c:pt idx="49">
                  <c:v>7455.0553541666677</c:v>
                </c:pt>
                <c:pt idx="50">
                  <c:v>7455.0553541666677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45-8C42-9DBB-5B48C10F2D34}"/>
            </c:ext>
          </c:extLst>
        </c:ser>
        <c:ser>
          <c:idx val="2"/>
          <c:order val="2"/>
          <c:tx>
            <c:strRef>
              <c:f>'2_Tendencia_Central'!$D$4</c:f>
              <c:strCache>
                <c:ptCount val="1"/>
                <c:pt idx="0">
                  <c:v>ma_3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'2_Tendencia_Central'!$A$5:$A$55</c:f>
              <c:strCache>
                <c:ptCount val="51"/>
                <c:pt idx="0">
                  <c:v>2022-08</c:v>
                </c:pt>
                <c:pt idx="1">
                  <c:v>2022-09</c:v>
                </c:pt>
                <c:pt idx="2">
                  <c:v>2022-10</c:v>
                </c:pt>
                <c:pt idx="3">
                  <c:v>2022-11</c:v>
                </c:pt>
                <c:pt idx="4">
                  <c:v>2022-12</c:v>
                </c:pt>
                <c:pt idx="5">
                  <c:v>2023-01</c:v>
                </c:pt>
                <c:pt idx="6">
                  <c:v>2023-02</c:v>
                </c:pt>
                <c:pt idx="7">
                  <c:v>2023-03</c:v>
                </c:pt>
                <c:pt idx="8">
                  <c:v>2023-04</c:v>
                </c:pt>
                <c:pt idx="9">
                  <c:v>2023-05</c:v>
                </c:pt>
                <c:pt idx="10">
                  <c:v>2023-06</c:v>
                </c:pt>
                <c:pt idx="11">
                  <c:v>2023-07</c:v>
                </c:pt>
                <c:pt idx="12">
                  <c:v>2023-08</c:v>
                </c:pt>
                <c:pt idx="13">
                  <c:v>2023-09</c:v>
                </c:pt>
                <c:pt idx="14">
                  <c:v>2023-10</c:v>
                </c:pt>
                <c:pt idx="15">
                  <c:v>2023-11</c:v>
                </c:pt>
                <c:pt idx="16">
                  <c:v>2023-12</c:v>
                </c:pt>
                <c:pt idx="17">
                  <c:v>2024-01</c:v>
                </c:pt>
                <c:pt idx="18">
                  <c:v>2024-02</c:v>
                </c:pt>
                <c:pt idx="19">
                  <c:v>2024-03</c:v>
                </c:pt>
                <c:pt idx="20">
                  <c:v>2024-04</c:v>
                </c:pt>
                <c:pt idx="21">
                  <c:v>2024-05</c:v>
                </c:pt>
                <c:pt idx="22">
                  <c:v>2024-06</c:v>
                </c:pt>
                <c:pt idx="23">
                  <c:v>2024-07</c:v>
                </c:pt>
                <c:pt idx="24">
                  <c:v>2024-08</c:v>
                </c:pt>
                <c:pt idx="25">
                  <c:v>2024-09</c:v>
                </c:pt>
                <c:pt idx="26">
                  <c:v>2024-10</c:v>
                </c:pt>
                <c:pt idx="27">
                  <c:v>2024-11</c:v>
                </c:pt>
                <c:pt idx="28">
                  <c:v>2024-12</c:v>
                </c:pt>
                <c:pt idx="29">
                  <c:v>2025-01</c:v>
                </c:pt>
                <c:pt idx="30">
                  <c:v>2025-02</c:v>
                </c:pt>
                <c:pt idx="31">
                  <c:v>2025-03</c:v>
                </c:pt>
                <c:pt idx="32">
                  <c:v>2025-04</c:v>
                </c:pt>
                <c:pt idx="33">
                  <c:v>2025-05</c:v>
                </c:pt>
                <c:pt idx="34">
                  <c:v>2025-06</c:v>
                </c:pt>
                <c:pt idx="35">
                  <c:v>2025-07</c:v>
                </c:pt>
                <c:pt idx="36">
                  <c:v>2025-08</c:v>
                </c:pt>
                <c:pt idx="37">
                  <c:v>2025-09</c:v>
                </c:pt>
                <c:pt idx="38">
                  <c:v>2025-10</c:v>
                </c:pt>
                <c:pt idx="39">
                  <c:v>2025-11</c:v>
                </c:pt>
                <c:pt idx="40">
                  <c:v>2025-12</c:v>
                </c:pt>
                <c:pt idx="41">
                  <c:v>2026-01</c:v>
                </c:pt>
                <c:pt idx="42">
                  <c:v>2026-02</c:v>
                </c:pt>
                <c:pt idx="43">
                  <c:v>2026-03</c:v>
                </c:pt>
                <c:pt idx="44">
                  <c:v>2026-04</c:v>
                </c:pt>
                <c:pt idx="45">
                  <c:v>2026-05</c:v>
                </c:pt>
                <c:pt idx="46">
                  <c:v>2026-06</c:v>
                </c:pt>
                <c:pt idx="47">
                  <c:v>2026-07</c:v>
                </c:pt>
                <c:pt idx="48">
                  <c:v>2026-08</c:v>
                </c:pt>
                <c:pt idx="49">
                  <c:v>2026-09</c:v>
                </c:pt>
                <c:pt idx="50">
                  <c:v>2026-10</c:v>
                </c:pt>
              </c:strCache>
            </c:strRef>
          </c:cat>
          <c:val>
            <c:numRef>
              <c:f>'2_Tendencia_Central'!$D$5:$D$55</c:f>
              <c:numCache>
                <c:formatCode>#,##0.0</c:formatCode>
                <c:ptCount val="51"/>
                <c:pt idx="3">
                  <c:v>9662.8893333333344</c:v>
                </c:pt>
                <c:pt idx="4">
                  <c:v>8903.0889999999999</c:v>
                </c:pt>
                <c:pt idx="5">
                  <c:v>9580.9390000000003</c:v>
                </c:pt>
                <c:pt idx="6">
                  <c:v>8948.6716666666671</c:v>
                </c:pt>
                <c:pt idx="7">
                  <c:v>8357.3716666666678</c:v>
                </c:pt>
                <c:pt idx="8">
                  <c:v>6478.6816666666664</c:v>
                </c:pt>
                <c:pt idx="9">
                  <c:v>6917.0513333333329</c:v>
                </c:pt>
                <c:pt idx="10">
                  <c:v>7534.2246666666661</c:v>
                </c:pt>
                <c:pt idx="11">
                  <c:v>7524.0250000000005</c:v>
                </c:pt>
                <c:pt idx="12">
                  <c:v>8099.4143333333341</c:v>
                </c:pt>
                <c:pt idx="13">
                  <c:v>8481.382333333333</c:v>
                </c:pt>
                <c:pt idx="14">
                  <c:v>9226.32</c:v>
                </c:pt>
                <c:pt idx="15">
                  <c:v>9590.3419999999987</c:v>
                </c:pt>
                <c:pt idx="16">
                  <c:v>9792.4536666666663</c:v>
                </c:pt>
                <c:pt idx="17">
                  <c:v>10944.834999999999</c:v>
                </c:pt>
                <c:pt idx="18">
                  <c:v>8802.5199999999986</c:v>
                </c:pt>
                <c:pt idx="19">
                  <c:v>7639.2543333333333</c:v>
                </c:pt>
                <c:pt idx="20">
                  <c:v>5704.0996666666661</c:v>
                </c:pt>
                <c:pt idx="21">
                  <c:v>6184.2316666666666</c:v>
                </c:pt>
                <c:pt idx="22">
                  <c:v>6849.7146666666667</c:v>
                </c:pt>
                <c:pt idx="23">
                  <c:v>6718.5166666666673</c:v>
                </c:pt>
                <c:pt idx="24">
                  <c:v>8426.7366666666658</c:v>
                </c:pt>
                <c:pt idx="25">
                  <c:v>7989.4196666666658</c:v>
                </c:pt>
                <c:pt idx="26">
                  <c:v>8286.6826666666657</c:v>
                </c:pt>
                <c:pt idx="27">
                  <c:v>8092.684666666667</c:v>
                </c:pt>
                <c:pt idx="28">
                  <c:v>8454.5626666666667</c:v>
                </c:pt>
                <c:pt idx="29">
                  <c:v>10425.937666666667</c:v>
                </c:pt>
                <c:pt idx="30">
                  <c:v>8537.1039999999994</c:v>
                </c:pt>
                <c:pt idx="31">
                  <c:v>7769.3446666666669</c:v>
                </c:pt>
                <c:pt idx="32">
                  <c:v>5531.0889999999999</c:v>
                </c:pt>
                <c:pt idx="33">
                  <c:v>6066.8473333333341</c:v>
                </c:pt>
                <c:pt idx="34">
                  <c:v>6316.2109999999993</c:v>
                </c:pt>
                <c:pt idx="35">
                  <c:v>5933.8336666666655</c:v>
                </c:pt>
                <c:pt idx="36">
                  <c:v>6520.8840000000009</c:v>
                </c:pt>
                <c:pt idx="37">
                  <c:v>6178.1046666666662</c:v>
                </c:pt>
                <c:pt idx="38">
                  <c:v>6717.2023333333336</c:v>
                </c:pt>
                <c:pt idx="39">
                  <c:v>7056.3826666666673</c:v>
                </c:pt>
                <c:pt idx="40">
                  <c:v>7864.8343333333332</c:v>
                </c:pt>
                <c:pt idx="41">
                  <c:v>8199.507333333333</c:v>
                </c:pt>
                <c:pt idx="42">
                  <c:v>6482.4423333333325</c:v>
                </c:pt>
                <c:pt idx="43">
                  <c:v>5212.2716666666665</c:v>
                </c:pt>
                <c:pt idx="44">
                  <c:v>4433.4643333333333</c:v>
                </c:pt>
                <c:pt idx="45">
                  <c:v>4700.2940000000008</c:v>
                </c:pt>
                <c:pt idx="46">
                  <c:v>5311.8516666666665</c:v>
                </c:pt>
                <c:pt idx="47">
                  <c:v>5213.4156666666668</c:v>
                </c:pt>
                <c:pt idx="48">
                  <c:v>5192.389666666666</c:v>
                </c:pt>
                <c:pt idx="49">
                  <c:v>5192.389666666666</c:v>
                </c:pt>
                <c:pt idx="50">
                  <c:v>5192.389666666666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45-8C42-9DBB-5B48C10F2D34}"/>
            </c:ext>
          </c:extLst>
        </c:ser>
        <c:ser>
          <c:idx val="3"/>
          <c:order val="3"/>
          <c:tx>
            <c:strRef>
              <c:f>'2_Tendencia_Central'!$E$4</c:f>
              <c:strCache>
                <c:ptCount val="1"/>
                <c:pt idx="0">
                  <c:v>ma_12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'2_Tendencia_Central'!$A$5:$A$55</c:f>
              <c:strCache>
                <c:ptCount val="51"/>
                <c:pt idx="0">
                  <c:v>2022-08</c:v>
                </c:pt>
                <c:pt idx="1">
                  <c:v>2022-09</c:v>
                </c:pt>
                <c:pt idx="2">
                  <c:v>2022-10</c:v>
                </c:pt>
                <c:pt idx="3">
                  <c:v>2022-11</c:v>
                </c:pt>
                <c:pt idx="4">
                  <c:v>2022-12</c:v>
                </c:pt>
                <c:pt idx="5">
                  <c:v>2023-01</c:v>
                </c:pt>
                <c:pt idx="6">
                  <c:v>2023-02</c:v>
                </c:pt>
                <c:pt idx="7">
                  <c:v>2023-03</c:v>
                </c:pt>
                <c:pt idx="8">
                  <c:v>2023-04</c:v>
                </c:pt>
                <c:pt idx="9">
                  <c:v>2023-05</c:v>
                </c:pt>
                <c:pt idx="10">
                  <c:v>2023-06</c:v>
                </c:pt>
                <c:pt idx="11">
                  <c:v>2023-07</c:v>
                </c:pt>
                <c:pt idx="12">
                  <c:v>2023-08</c:v>
                </c:pt>
                <c:pt idx="13">
                  <c:v>2023-09</c:v>
                </c:pt>
                <c:pt idx="14">
                  <c:v>2023-10</c:v>
                </c:pt>
                <c:pt idx="15">
                  <c:v>2023-11</c:v>
                </c:pt>
                <c:pt idx="16">
                  <c:v>2023-12</c:v>
                </c:pt>
                <c:pt idx="17">
                  <c:v>2024-01</c:v>
                </c:pt>
                <c:pt idx="18">
                  <c:v>2024-02</c:v>
                </c:pt>
                <c:pt idx="19">
                  <c:v>2024-03</c:v>
                </c:pt>
                <c:pt idx="20">
                  <c:v>2024-04</c:v>
                </c:pt>
                <c:pt idx="21">
                  <c:v>2024-05</c:v>
                </c:pt>
                <c:pt idx="22">
                  <c:v>2024-06</c:v>
                </c:pt>
                <c:pt idx="23">
                  <c:v>2024-07</c:v>
                </c:pt>
                <c:pt idx="24">
                  <c:v>2024-08</c:v>
                </c:pt>
                <c:pt idx="25">
                  <c:v>2024-09</c:v>
                </c:pt>
                <c:pt idx="26">
                  <c:v>2024-10</c:v>
                </c:pt>
                <c:pt idx="27">
                  <c:v>2024-11</c:v>
                </c:pt>
                <c:pt idx="28">
                  <c:v>2024-12</c:v>
                </c:pt>
                <c:pt idx="29">
                  <c:v>2025-01</c:v>
                </c:pt>
                <c:pt idx="30">
                  <c:v>2025-02</c:v>
                </c:pt>
                <c:pt idx="31">
                  <c:v>2025-03</c:v>
                </c:pt>
                <c:pt idx="32">
                  <c:v>2025-04</c:v>
                </c:pt>
                <c:pt idx="33">
                  <c:v>2025-05</c:v>
                </c:pt>
                <c:pt idx="34">
                  <c:v>2025-06</c:v>
                </c:pt>
                <c:pt idx="35">
                  <c:v>2025-07</c:v>
                </c:pt>
                <c:pt idx="36">
                  <c:v>2025-08</c:v>
                </c:pt>
                <c:pt idx="37">
                  <c:v>2025-09</c:v>
                </c:pt>
                <c:pt idx="38">
                  <c:v>2025-10</c:v>
                </c:pt>
                <c:pt idx="39">
                  <c:v>2025-11</c:v>
                </c:pt>
                <c:pt idx="40">
                  <c:v>2025-12</c:v>
                </c:pt>
                <c:pt idx="41">
                  <c:v>2026-01</c:v>
                </c:pt>
                <c:pt idx="42">
                  <c:v>2026-02</c:v>
                </c:pt>
                <c:pt idx="43">
                  <c:v>2026-03</c:v>
                </c:pt>
                <c:pt idx="44">
                  <c:v>2026-04</c:v>
                </c:pt>
                <c:pt idx="45">
                  <c:v>2026-05</c:v>
                </c:pt>
                <c:pt idx="46">
                  <c:v>2026-06</c:v>
                </c:pt>
                <c:pt idx="47">
                  <c:v>2026-07</c:v>
                </c:pt>
                <c:pt idx="48">
                  <c:v>2026-08</c:v>
                </c:pt>
                <c:pt idx="49">
                  <c:v>2026-09</c:v>
                </c:pt>
                <c:pt idx="50">
                  <c:v>2026-10</c:v>
                </c:pt>
              </c:strCache>
            </c:strRef>
          </c:cat>
          <c:val>
            <c:numRef>
              <c:f>'2_Tendencia_Central'!$E$5:$E$55</c:f>
              <c:numCache>
                <c:formatCode>#,##0.0</c:formatCode>
                <c:ptCount val="51"/>
                <c:pt idx="12">
                  <c:v>8407.0066666666662</c:v>
                </c:pt>
                <c:pt idx="13">
                  <c:v>8319.0169166666656</c:v>
                </c:pt>
                <c:pt idx="14">
                  <c:v>8202.4914166666658</c:v>
                </c:pt>
                <c:pt idx="15">
                  <c:v>8388.8698333333323</c:v>
                </c:pt>
                <c:pt idx="16">
                  <c:v>8541.3580833333326</c:v>
                </c:pt>
                <c:pt idx="17">
                  <c:v>8543.465416666666</c:v>
                </c:pt>
                <c:pt idx="18">
                  <c:v>8352.3319166666679</c:v>
                </c:pt>
                <c:pt idx="19">
                  <c:v>8361.8287499999988</c:v>
                </c:pt>
                <c:pt idx="20">
                  <c:v>8349.8199166666691</c:v>
                </c:pt>
                <c:pt idx="21">
                  <c:v>8169.1270000000004</c:v>
                </c:pt>
                <c:pt idx="22">
                  <c:v>8190.7012499999992</c:v>
                </c:pt>
                <c:pt idx="23">
                  <c:v>8148.4428333333335</c:v>
                </c:pt>
                <c:pt idx="24">
                  <c:v>8250.9575833333347</c:v>
                </c:pt>
                <c:pt idx="25">
                  <c:v>8067.7105833333335</c:v>
                </c:pt>
                <c:pt idx="26">
                  <c:v>7913.5335000000005</c:v>
                </c:pt>
                <c:pt idx="27">
                  <c:v>7876.5432499999997</c:v>
                </c:pt>
                <c:pt idx="28">
                  <c:v>7733.2378333333336</c:v>
                </c:pt>
                <c:pt idx="29">
                  <c:v>7783.8091666666687</c:v>
                </c:pt>
                <c:pt idx="30">
                  <c:v>7810.1892500000004</c:v>
                </c:pt>
                <c:pt idx="31">
                  <c:v>7765.7604166666652</c:v>
                </c:pt>
                <c:pt idx="32">
                  <c:v>7740.5564999999988</c:v>
                </c:pt>
                <c:pt idx="33">
                  <c:v>7780.8431666666656</c:v>
                </c:pt>
                <c:pt idx="34">
                  <c:v>7632.3844999999992</c:v>
                </c:pt>
                <c:pt idx="35">
                  <c:v>7544.3857500000004</c:v>
                </c:pt>
                <c:pt idx="36">
                  <c:v>7304.38</c:v>
                </c:pt>
                <c:pt idx="37">
                  <c:v>7179.5557499999995</c:v>
                </c:pt>
                <c:pt idx="38">
                  <c:v>7152.0156666666662</c:v>
                </c:pt>
                <c:pt idx="39">
                  <c:v>7045.3044999999993</c:v>
                </c:pt>
                <c:pt idx="40">
                  <c:v>7032.1236666666673</c:v>
                </c:pt>
                <c:pt idx="41">
                  <c:v>6595.4080833333328</c:v>
                </c:pt>
                <c:pt idx="42">
                  <c:v>6531.6390833333344</c:v>
                </c:pt>
                <c:pt idx="43">
                  <c:v>6392.8554166666663</c:v>
                </c:pt>
                <c:pt idx="44">
                  <c:v>6321.0019166666671</c:v>
                </c:pt>
                <c:pt idx="45">
                  <c:v>6190.0007499999992</c:v>
                </c:pt>
                <c:pt idx="46">
                  <c:v>6141.7655833333329</c:v>
                </c:pt>
                <c:pt idx="47">
                  <c:v>6140.8974166666667</c:v>
                </c:pt>
                <c:pt idx="48">
                  <c:v>5857.8771666666662</c:v>
                </c:pt>
                <c:pt idx="49">
                  <c:v>5857.8771666666662</c:v>
                </c:pt>
                <c:pt idx="50">
                  <c:v>5857.8771666666662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45-8C42-9DBB-5B48C10F2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majorGridlines/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O"/>
              <a:t>Real vs Promedio Simple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'2_Tendencia_Central'!$B$4</c:f>
              <c:strCache>
                <c:ptCount val="1"/>
                <c:pt idx="0">
                  <c:v>real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'2_Tendencia_Central'!$A$5:$A$55</c:f>
              <c:strCache>
                <c:ptCount val="51"/>
                <c:pt idx="0">
                  <c:v>2022-08</c:v>
                </c:pt>
                <c:pt idx="1">
                  <c:v>2022-09</c:v>
                </c:pt>
                <c:pt idx="2">
                  <c:v>2022-10</c:v>
                </c:pt>
                <c:pt idx="3">
                  <c:v>2022-11</c:v>
                </c:pt>
                <c:pt idx="4">
                  <c:v>2022-12</c:v>
                </c:pt>
                <c:pt idx="5">
                  <c:v>2023-01</c:v>
                </c:pt>
                <c:pt idx="6">
                  <c:v>2023-02</c:v>
                </c:pt>
                <c:pt idx="7">
                  <c:v>2023-03</c:v>
                </c:pt>
                <c:pt idx="8">
                  <c:v>2023-04</c:v>
                </c:pt>
                <c:pt idx="9">
                  <c:v>2023-05</c:v>
                </c:pt>
                <c:pt idx="10">
                  <c:v>2023-06</c:v>
                </c:pt>
                <c:pt idx="11">
                  <c:v>2023-07</c:v>
                </c:pt>
                <c:pt idx="12">
                  <c:v>2023-08</c:v>
                </c:pt>
                <c:pt idx="13">
                  <c:v>2023-09</c:v>
                </c:pt>
                <c:pt idx="14">
                  <c:v>2023-10</c:v>
                </c:pt>
                <c:pt idx="15">
                  <c:v>2023-11</c:v>
                </c:pt>
                <c:pt idx="16">
                  <c:v>2023-12</c:v>
                </c:pt>
                <c:pt idx="17">
                  <c:v>2024-01</c:v>
                </c:pt>
                <c:pt idx="18">
                  <c:v>2024-02</c:v>
                </c:pt>
                <c:pt idx="19">
                  <c:v>2024-03</c:v>
                </c:pt>
                <c:pt idx="20">
                  <c:v>2024-04</c:v>
                </c:pt>
                <c:pt idx="21">
                  <c:v>2024-05</c:v>
                </c:pt>
                <c:pt idx="22">
                  <c:v>2024-06</c:v>
                </c:pt>
                <c:pt idx="23">
                  <c:v>2024-07</c:v>
                </c:pt>
                <c:pt idx="24">
                  <c:v>2024-08</c:v>
                </c:pt>
                <c:pt idx="25">
                  <c:v>2024-09</c:v>
                </c:pt>
                <c:pt idx="26">
                  <c:v>2024-10</c:v>
                </c:pt>
                <c:pt idx="27">
                  <c:v>2024-11</c:v>
                </c:pt>
                <c:pt idx="28">
                  <c:v>2024-12</c:v>
                </c:pt>
                <c:pt idx="29">
                  <c:v>2025-01</c:v>
                </c:pt>
                <c:pt idx="30">
                  <c:v>2025-02</c:v>
                </c:pt>
                <c:pt idx="31">
                  <c:v>2025-03</c:v>
                </c:pt>
                <c:pt idx="32">
                  <c:v>2025-04</c:v>
                </c:pt>
                <c:pt idx="33">
                  <c:v>2025-05</c:v>
                </c:pt>
                <c:pt idx="34">
                  <c:v>2025-06</c:v>
                </c:pt>
                <c:pt idx="35">
                  <c:v>2025-07</c:v>
                </c:pt>
                <c:pt idx="36">
                  <c:v>2025-08</c:v>
                </c:pt>
                <c:pt idx="37">
                  <c:v>2025-09</c:v>
                </c:pt>
                <c:pt idx="38">
                  <c:v>2025-10</c:v>
                </c:pt>
                <c:pt idx="39">
                  <c:v>2025-11</c:v>
                </c:pt>
                <c:pt idx="40">
                  <c:v>2025-12</c:v>
                </c:pt>
                <c:pt idx="41">
                  <c:v>2026-01</c:v>
                </c:pt>
                <c:pt idx="42">
                  <c:v>2026-02</c:v>
                </c:pt>
                <c:pt idx="43">
                  <c:v>2026-03</c:v>
                </c:pt>
                <c:pt idx="44">
                  <c:v>2026-04</c:v>
                </c:pt>
                <c:pt idx="45">
                  <c:v>2026-05</c:v>
                </c:pt>
                <c:pt idx="46">
                  <c:v>2026-06</c:v>
                </c:pt>
                <c:pt idx="47">
                  <c:v>2026-07</c:v>
                </c:pt>
                <c:pt idx="48">
                  <c:v>2026-08</c:v>
                </c:pt>
                <c:pt idx="49">
                  <c:v>2026-09</c:v>
                </c:pt>
                <c:pt idx="50">
                  <c:v>2026-10</c:v>
                </c:pt>
              </c:strCache>
            </c:strRef>
          </c:cat>
          <c:val>
            <c:numRef>
              <c:f>'2_Tendencia_Central'!$B$5:$B$55</c:f>
              <c:numCache>
                <c:formatCode>#,##0.0</c:formatCode>
                <c:ptCount val="51"/>
                <c:pt idx="0">
                  <c:v>9630.2990000000009</c:v>
                </c:pt>
                <c:pt idx="1">
                  <c:v>10251.463</c:v>
                </c:pt>
                <c:pt idx="2">
                  <c:v>9106.9060000000009</c:v>
                </c:pt>
                <c:pt idx="3">
                  <c:v>7350.8980000000001</c:v>
                </c:pt>
                <c:pt idx="4">
                  <c:v>12285.013000000001</c:v>
                </c:pt>
                <c:pt idx="5">
                  <c:v>7210.1040000000003</c:v>
                </c:pt>
                <c:pt idx="6">
                  <c:v>5576.9979999999996</c:v>
                </c:pt>
                <c:pt idx="7">
                  <c:v>6648.9430000000002</c:v>
                </c:pt>
                <c:pt idx="8">
                  <c:v>8525.2129999999997</c:v>
                </c:pt>
                <c:pt idx="9">
                  <c:v>7428.518</c:v>
                </c:pt>
                <c:pt idx="10">
                  <c:v>6618.3440000000001</c:v>
                </c:pt>
                <c:pt idx="11">
                  <c:v>10251.380999999999</c:v>
                </c:pt>
                <c:pt idx="12">
                  <c:v>8574.4220000000005</c:v>
                </c:pt>
                <c:pt idx="13">
                  <c:v>8853.1569999999992</c:v>
                </c:pt>
                <c:pt idx="14">
                  <c:v>11343.447</c:v>
                </c:pt>
                <c:pt idx="15">
                  <c:v>9180.7569999999996</c:v>
                </c:pt>
                <c:pt idx="16">
                  <c:v>12310.300999999999</c:v>
                </c:pt>
                <c:pt idx="17">
                  <c:v>4916.5020000000004</c:v>
                </c:pt>
                <c:pt idx="18">
                  <c:v>5690.96</c:v>
                </c:pt>
                <c:pt idx="19">
                  <c:v>6504.8370000000004</c:v>
                </c:pt>
                <c:pt idx="20">
                  <c:v>6356.8980000000001</c:v>
                </c:pt>
                <c:pt idx="21">
                  <c:v>7687.4089999999997</c:v>
                </c:pt>
                <c:pt idx="22">
                  <c:v>6111.2430000000004</c:v>
                </c:pt>
                <c:pt idx="23">
                  <c:v>11481.558000000001</c:v>
                </c:pt>
                <c:pt idx="24">
                  <c:v>6375.4579999999996</c:v>
                </c:pt>
                <c:pt idx="25">
                  <c:v>7003.0320000000002</c:v>
                </c:pt>
                <c:pt idx="26">
                  <c:v>10899.564</c:v>
                </c:pt>
                <c:pt idx="27">
                  <c:v>7461.0919999999996</c:v>
                </c:pt>
                <c:pt idx="28">
                  <c:v>12917.156999999999</c:v>
                </c:pt>
                <c:pt idx="29">
                  <c:v>5233.0630000000001</c:v>
                </c:pt>
                <c:pt idx="30">
                  <c:v>5157.8140000000003</c:v>
                </c:pt>
                <c:pt idx="31">
                  <c:v>6202.39</c:v>
                </c:pt>
                <c:pt idx="32">
                  <c:v>6840.3379999999997</c:v>
                </c:pt>
                <c:pt idx="33">
                  <c:v>5905.9049999999997</c:v>
                </c:pt>
                <c:pt idx="34">
                  <c:v>5055.2579999999998</c:v>
                </c:pt>
                <c:pt idx="35">
                  <c:v>8601.4889999999996</c:v>
                </c:pt>
                <c:pt idx="36">
                  <c:v>4877.567</c:v>
                </c:pt>
                <c:pt idx="37">
                  <c:v>6672.5510000000004</c:v>
                </c:pt>
                <c:pt idx="38">
                  <c:v>9619.0300000000007</c:v>
                </c:pt>
                <c:pt idx="39">
                  <c:v>7302.9219999999996</c:v>
                </c:pt>
                <c:pt idx="40">
                  <c:v>7676.57</c:v>
                </c:pt>
                <c:pt idx="41">
                  <c:v>4467.835</c:v>
                </c:pt>
                <c:pt idx="42">
                  <c:v>3492.41</c:v>
                </c:pt>
                <c:pt idx="43">
                  <c:v>5340.1480000000001</c:v>
                </c:pt>
                <c:pt idx="44">
                  <c:v>5268.3239999999996</c:v>
                </c:pt>
                <c:pt idx="45">
                  <c:v>5327.0829999999996</c:v>
                </c:pt>
                <c:pt idx="46">
                  <c:v>5044.84</c:v>
                </c:pt>
                <c:pt idx="47">
                  <c:v>5205.2460000000001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BD-3948-A6F1-3CF22FDBCB99}"/>
            </c:ext>
          </c:extLst>
        </c:ser>
        <c:ser>
          <c:idx val="1"/>
          <c:order val="1"/>
          <c:tx>
            <c:strRef>
              <c:f>'2_Tendencia_Central'!$C$4</c:f>
              <c:strCache>
                <c:ptCount val="1"/>
                <c:pt idx="0">
                  <c:v>promedio_simple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'2_Tendencia_Central'!$A$5:$A$55</c:f>
              <c:strCache>
                <c:ptCount val="51"/>
                <c:pt idx="0">
                  <c:v>2022-08</c:v>
                </c:pt>
                <c:pt idx="1">
                  <c:v>2022-09</c:v>
                </c:pt>
                <c:pt idx="2">
                  <c:v>2022-10</c:v>
                </c:pt>
                <c:pt idx="3">
                  <c:v>2022-11</c:v>
                </c:pt>
                <c:pt idx="4">
                  <c:v>2022-12</c:v>
                </c:pt>
                <c:pt idx="5">
                  <c:v>2023-01</c:v>
                </c:pt>
                <c:pt idx="6">
                  <c:v>2023-02</c:v>
                </c:pt>
                <c:pt idx="7">
                  <c:v>2023-03</c:v>
                </c:pt>
                <c:pt idx="8">
                  <c:v>2023-04</c:v>
                </c:pt>
                <c:pt idx="9">
                  <c:v>2023-05</c:v>
                </c:pt>
                <c:pt idx="10">
                  <c:v>2023-06</c:v>
                </c:pt>
                <c:pt idx="11">
                  <c:v>2023-07</c:v>
                </c:pt>
                <c:pt idx="12">
                  <c:v>2023-08</c:v>
                </c:pt>
                <c:pt idx="13">
                  <c:v>2023-09</c:v>
                </c:pt>
                <c:pt idx="14">
                  <c:v>2023-10</c:v>
                </c:pt>
                <c:pt idx="15">
                  <c:v>2023-11</c:v>
                </c:pt>
                <c:pt idx="16">
                  <c:v>2023-12</c:v>
                </c:pt>
                <c:pt idx="17">
                  <c:v>2024-01</c:v>
                </c:pt>
                <c:pt idx="18">
                  <c:v>2024-02</c:v>
                </c:pt>
                <c:pt idx="19">
                  <c:v>2024-03</c:v>
                </c:pt>
                <c:pt idx="20">
                  <c:v>2024-04</c:v>
                </c:pt>
                <c:pt idx="21">
                  <c:v>2024-05</c:v>
                </c:pt>
                <c:pt idx="22">
                  <c:v>2024-06</c:v>
                </c:pt>
                <c:pt idx="23">
                  <c:v>2024-07</c:v>
                </c:pt>
                <c:pt idx="24">
                  <c:v>2024-08</c:v>
                </c:pt>
                <c:pt idx="25">
                  <c:v>2024-09</c:v>
                </c:pt>
                <c:pt idx="26">
                  <c:v>2024-10</c:v>
                </c:pt>
                <c:pt idx="27">
                  <c:v>2024-11</c:v>
                </c:pt>
                <c:pt idx="28">
                  <c:v>2024-12</c:v>
                </c:pt>
                <c:pt idx="29">
                  <c:v>2025-01</c:v>
                </c:pt>
                <c:pt idx="30">
                  <c:v>2025-02</c:v>
                </c:pt>
                <c:pt idx="31">
                  <c:v>2025-03</c:v>
                </c:pt>
                <c:pt idx="32">
                  <c:v>2025-04</c:v>
                </c:pt>
                <c:pt idx="33">
                  <c:v>2025-05</c:v>
                </c:pt>
                <c:pt idx="34">
                  <c:v>2025-06</c:v>
                </c:pt>
                <c:pt idx="35">
                  <c:v>2025-07</c:v>
                </c:pt>
                <c:pt idx="36">
                  <c:v>2025-08</c:v>
                </c:pt>
                <c:pt idx="37">
                  <c:v>2025-09</c:v>
                </c:pt>
                <c:pt idx="38">
                  <c:v>2025-10</c:v>
                </c:pt>
                <c:pt idx="39">
                  <c:v>2025-11</c:v>
                </c:pt>
                <c:pt idx="40">
                  <c:v>2025-12</c:v>
                </c:pt>
                <c:pt idx="41">
                  <c:v>2026-01</c:v>
                </c:pt>
                <c:pt idx="42">
                  <c:v>2026-02</c:v>
                </c:pt>
                <c:pt idx="43">
                  <c:v>2026-03</c:v>
                </c:pt>
                <c:pt idx="44">
                  <c:v>2026-04</c:v>
                </c:pt>
                <c:pt idx="45">
                  <c:v>2026-05</c:v>
                </c:pt>
                <c:pt idx="46">
                  <c:v>2026-06</c:v>
                </c:pt>
                <c:pt idx="47">
                  <c:v>2026-07</c:v>
                </c:pt>
                <c:pt idx="48">
                  <c:v>2026-08</c:v>
                </c:pt>
                <c:pt idx="49">
                  <c:v>2026-09</c:v>
                </c:pt>
                <c:pt idx="50">
                  <c:v>2026-10</c:v>
                </c:pt>
              </c:strCache>
            </c:strRef>
          </c:cat>
          <c:val>
            <c:numRef>
              <c:f>'2_Tendencia_Central'!$C$5:$C$55</c:f>
              <c:numCache>
                <c:formatCode>#,##0.0</c:formatCode>
                <c:ptCount val="51"/>
                <c:pt idx="1">
                  <c:v>9630.2990000000009</c:v>
                </c:pt>
                <c:pt idx="2">
                  <c:v>9940.8810000000012</c:v>
                </c:pt>
                <c:pt idx="3">
                  <c:v>9662.8893333333344</c:v>
                </c:pt>
                <c:pt idx="4">
                  <c:v>9084.8915000000015</c:v>
                </c:pt>
                <c:pt idx="5">
                  <c:v>9724.9158000000007</c:v>
                </c:pt>
                <c:pt idx="6">
                  <c:v>9305.7805000000008</c:v>
                </c:pt>
                <c:pt idx="7">
                  <c:v>8773.097285714286</c:v>
                </c:pt>
                <c:pt idx="8">
                  <c:v>8507.5780000000013</c:v>
                </c:pt>
                <c:pt idx="9">
                  <c:v>8509.537444444446</c:v>
                </c:pt>
                <c:pt idx="10">
                  <c:v>8401.4355000000014</c:v>
                </c:pt>
                <c:pt idx="11">
                  <c:v>8239.3362727272743</c:v>
                </c:pt>
                <c:pt idx="12">
                  <c:v>8407.0066666666662</c:v>
                </c:pt>
                <c:pt idx="13">
                  <c:v>8419.88476923077</c:v>
                </c:pt>
                <c:pt idx="14">
                  <c:v>8450.8327857142867</c:v>
                </c:pt>
                <c:pt idx="15">
                  <c:v>8643.6737333333349</c:v>
                </c:pt>
                <c:pt idx="16">
                  <c:v>8677.2414375000008</c:v>
                </c:pt>
                <c:pt idx="17">
                  <c:v>8890.9508235294124</c:v>
                </c:pt>
                <c:pt idx="18">
                  <c:v>8670.1481111111134</c:v>
                </c:pt>
                <c:pt idx="19">
                  <c:v>8513.3487368421065</c:v>
                </c:pt>
                <c:pt idx="20">
                  <c:v>8412.9231500000005</c:v>
                </c:pt>
                <c:pt idx="21">
                  <c:v>8315.0171904761901</c:v>
                </c:pt>
                <c:pt idx="22">
                  <c:v>8286.4895454545458</c:v>
                </c:pt>
                <c:pt idx="23">
                  <c:v>8191.9136086956523</c:v>
                </c:pt>
                <c:pt idx="24">
                  <c:v>8328.9821250000005</c:v>
                </c:pt>
                <c:pt idx="25">
                  <c:v>8250.8411599999999</c:v>
                </c:pt>
                <c:pt idx="26">
                  <c:v>8202.8485000000001</c:v>
                </c:pt>
                <c:pt idx="27">
                  <c:v>8302.7268518518522</c:v>
                </c:pt>
                <c:pt idx="28">
                  <c:v>8272.6684642857163</c:v>
                </c:pt>
                <c:pt idx="29">
                  <c:v>8432.8232413793121</c:v>
                </c:pt>
                <c:pt idx="30">
                  <c:v>8326.1645666666682</c:v>
                </c:pt>
                <c:pt idx="31">
                  <c:v>8223.9597096774214</c:v>
                </c:pt>
                <c:pt idx="32">
                  <c:v>8160.7856562500019</c:v>
                </c:pt>
                <c:pt idx="33">
                  <c:v>8120.7720909090922</c:v>
                </c:pt>
                <c:pt idx="34">
                  <c:v>8055.6289411764728</c:v>
                </c:pt>
                <c:pt idx="35">
                  <c:v>7969.9040571428586</c:v>
                </c:pt>
                <c:pt idx="36">
                  <c:v>7987.4480833333346</c:v>
                </c:pt>
                <c:pt idx="37">
                  <c:v>7903.3972432432438</c:v>
                </c:pt>
                <c:pt idx="38">
                  <c:v>7871.0065526315793</c:v>
                </c:pt>
                <c:pt idx="39">
                  <c:v>7915.8276666666679</c:v>
                </c:pt>
                <c:pt idx="40">
                  <c:v>7900.5050250000013</c:v>
                </c:pt>
                <c:pt idx="41">
                  <c:v>7895.0431951219525</c:v>
                </c:pt>
                <c:pt idx="42">
                  <c:v>7813.443000000002</c:v>
                </c:pt>
                <c:pt idx="43">
                  <c:v>7712.9538604651179</c:v>
                </c:pt>
                <c:pt idx="44">
                  <c:v>7659.0264545454556</c:v>
                </c:pt>
                <c:pt idx="45">
                  <c:v>7605.8997333333346</c:v>
                </c:pt>
                <c:pt idx="46">
                  <c:v>7556.3602391304357</c:v>
                </c:pt>
                <c:pt idx="47">
                  <c:v>7502.9236382978743</c:v>
                </c:pt>
                <c:pt idx="48">
                  <c:v>7455.0553541666677</c:v>
                </c:pt>
                <c:pt idx="49">
                  <c:v>7455.0553541666677</c:v>
                </c:pt>
                <c:pt idx="50">
                  <c:v>7455.0553541666677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BD-3948-A6F1-3CF22FDBC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Valor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O"/>
              <a:t>Real vs Media Movil (3)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'2_Tendencia_Central'!$B$4</c:f>
              <c:strCache>
                <c:ptCount val="1"/>
                <c:pt idx="0">
                  <c:v>real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'2_Tendencia_Central'!$A$5:$A$55</c:f>
              <c:strCache>
                <c:ptCount val="51"/>
                <c:pt idx="0">
                  <c:v>2022-08</c:v>
                </c:pt>
                <c:pt idx="1">
                  <c:v>2022-09</c:v>
                </c:pt>
                <c:pt idx="2">
                  <c:v>2022-10</c:v>
                </c:pt>
                <c:pt idx="3">
                  <c:v>2022-11</c:v>
                </c:pt>
                <c:pt idx="4">
                  <c:v>2022-12</c:v>
                </c:pt>
                <c:pt idx="5">
                  <c:v>2023-01</c:v>
                </c:pt>
                <c:pt idx="6">
                  <c:v>2023-02</c:v>
                </c:pt>
                <c:pt idx="7">
                  <c:v>2023-03</c:v>
                </c:pt>
                <c:pt idx="8">
                  <c:v>2023-04</c:v>
                </c:pt>
                <c:pt idx="9">
                  <c:v>2023-05</c:v>
                </c:pt>
                <c:pt idx="10">
                  <c:v>2023-06</c:v>
                </c:pt>
                <c:pt idx="11">
                  <c:v>2023-07</c:v>
                </c:pt>
                <c:pt idx="12">
                  <c:v>2023-08</c:v>
                </c:pt>
                <c:pt idx="13">
                  <c:v>2023-09</c:v>
                </c:pt>
                <c:pt idx="14">
                  <c:v>2023-10</c:v>
                </c:pt>
                <c:pt idx="15">
                  <c:v>2023-11</c:v>
                </c:pt>
                <c:pt idx="16">
                  <c:v>2023-12</c:v>
                </c:pt>
                <c:pt idx="17">
                  <c:v>2024-01</c:v>
                </c:pt>
                <c:pt idx="18">
                  <c:v>2024-02</c:v>
                </c:pt>
                <c:pt idx="19">
                  <c:v>2024-03</c:v>
                </c:pt>
                <c:pt idx="20">
                  <c:v>2024-04</c:v>
                </c:pt>
                <c:pt idx="21">
                  <c:v>2024-05</c:v>
                </c:pt>
                <c:pt idx="22">
                  <c:v>2024-06</c:v>
                </c:pt>
                <c:pt idx="23">
                  <c:v>2024-07</c:v>
                </c:pt>
                <c:pt idx="24">
                  <c:v>2024-08</c:v>
                </c:pt>
                <c:pt idx="25">
                  <c:v>2024-09</c:v>
                </c:pt>
                <c:pt idx="26">
                  <c:v>2024-10</c:v>
                </c:pt>
                <c:pt idx="27">
                  <c:v>2024-11</c:v>
                </c:pt>
                <c:pt idx="28">
                  <c:v>2024-12</c:v>
                </c:pt>
                <c:pt idx="29">
                  <c:v>2025-01</c:v>
                </c:pt>
                <c:pt idx="30">
                  <c:v>2025-02</c:v>
                </c:pt>
                <c:pt idx="31">
                  <c:v>2025-03</c:v>
                </c:pt>
                <c:pt idx="32">
                  <c:v>2025-04</c:v>
                </c:pt>
                <c:pt idx="33">
                  <c:v>2025-05</c:v>
                </c:pt>
                <c:pt idx="34">
                  <c:v>2025-06</c:v>
                </c:pt>
                <c:pt idx="35">
                  <c:v>2025-07</c:v>
                </c:pt>
                <c:pt idx="36">
                  <c:v>2025-08</c:v>
                </c:pt>
                <c:pt idx="37">
                  <c:v>2025-09</c:v>
                </c:pt>
                <c:pt idx="38">
                  <c:v>2025-10</c:v>
                </c:pt>
                <c:pt idx="39">
                  <c:v>2025-11</c:v>
                </c:pt>
                <c:pt idx="40">
                  <c:v>2025-12</c:v>
                </c:pt>
                <c:pt idx="41">
                  <c:v>2026-01</c:v>
                </c:pt>
                <c:pt idx="42">
                  <c:v>2026-02</c:v>
                </c:pt>
                <c:pt idx="43">
                  <c:v>2026-03</c:v>
                </c:pt>
                <c:pt idx="44">
                  <c:v>2026-04</c:v>
                </c:pt>
                <c:pt idx="45">
                  <c:v>2026-05</c:v>
                </c:pt>
                <c:pt idx="46">
                  <c:v>2026-06</c:v>
                </c:pt>
                <c:pt idx="47">
                  <c:v>2026-07</c:v>
                </c:pt>
                <c:pt idx="48">
                  <c:v>2026-08</c:v>
                </c:pt>
                <c:pt idx="49">
                  <c:v>2026-09</c:v>
                </c:pt>
                <c:pt idx="50">
                  <c:v>2026-10</c:v>
                </c:pt>
              </c:strCache>
            </c:strRef>
          </c:cat>
          <c:val>
            <c:numRef>
              <c:f>'2_Tendencia_Central'!$B$5:$B$55</c:f>
              <c:numCache>
                <c:formatCode>#,##0.0</c:formatCode>
                <c:ptCount val="51"/>
                <c:pt idx="0">
                  <c:v>9630.2990000000009</c:v>
                </c:pt>
                <c:pt idx="1">
                  <c:v>10251.463</c:v>
                </c:pt>
                <c:pt idx="2">
                  <c:v>9106.9060000000009</c:v>
                </c:pt>
                <c:pt idx="3">
                  <c:v>7350.8980000000001</c:v>
                </c:pt>
                <c:pt idx="4">
                  <c:v>12285.013000000001</c:v>
                </c:pt>
                <c:pt idx="5">
                  <c:v>7210.1040000000003</c:v>
                </c:pt>
                <c:pt idx="6">
                  <c:v>5576.9979999999996</c:v>
                </c:pt>
                <c:pt idx="7">
                  <c:v>6648.9430000000002</c:v>
                </c:pt>
                <c:pt idx="8">
                  <c:v>8525.2129999999997</c:v>
                </c:pt>
                <c:pt idx="9">
                  <c:v>7428.518</c:v>
                </c:pt>
                <c:pt idx="10">
                  <c:v>6618.3440000000001</c:v>
                </c:pt>
                <c:pt idx="11">
                  <c:v>10251.380999999999</c:v>
                </c:pt>
                <c:pt idx="12">
                  <c:v>8574.4220000000005</c:v>
                </c:pt>
                <c:pt idx="13">
                  <c:v>8853.1569999999992</c:v>
                </c:pt>
                <c:pt idx="14">
                  <c:v>11343.447</c:v>
                </c:pt>
                <c:pt idx="15">
                  <c:v>9180.7569999999996</c:v>
                </c:pt>
                <c:pt idx="16">
                  <c:v>12310.300999999999</c:v>
                </c:pt>
                <c:pt idx="17">
                  <c:v>4916.5020000000004</c:v>
                </c:pt>
                <c:pt idx="18">
                  <c:v>5690.96</c:v>
                </c:pt>
                <c:pt idx="19">
                  <c:v>6504.8370000000004</c:v>
                </c:pt>
                <c:pt idx="20">
                  <c:v>6356.8980000000001</c:v>
                </c:pt>
                <c:pt idx="21">
                  <c:v>7687.4089999999997</c:v>
                </c:pt>
                <c:pt idx="22">
                  <c:v>6111.2430000000004</c:v>
                </c:pt>
                <c:pt idx="23">
                  <c:v>11481.558000000001</c:v>
                </c:pt>
                <c:pt idx="24">
                  <c:v>6375.4579999999996</c:v>
                </c:pt>
                <c:pt idx="25">
                  <c:v>7003.0320000000002</c:v>
                </c:pt>
                <c:pt idx="26">
                  <c:v>10899.564</c:v>
                </c:pt>
                <c:pt idx="27">
                  <c:v>7461.0919999999996</c:v>
                </c:pt>
                <c:pt idx="28">
                  <c:v>12917.156999999999</c:v>
                </c:pt>
                <c:pt idx="29">
                  <c:v>5233.0630000000001</c:v>
                </c:pt>
                <c:pt idx="30">
                  <c:v>5157.8140000000003</c:v>
                </c:pt>
                <c:pt idx="31">
                  <c:v>6202.39</c:v>
                </c:pt>
                <c:pt idx="32">
                  <c:v>6840.3379999999997</c:v>
                </c:pt>
                <c:pt idx="33">
                  <c:v>5905.9049999999997</c:v>
                </c:pt>
                <c:pt idx="34">
                  <c:v>5055.2579999999998</c:v>
                </c:pt>
                <c:pt idx="35">
                  <c:v>8601.4889999999996</c:v>
                </c:pt>
                <c:pt idx="36">
                  <c:v>4877.567</c:v>
                </c:pt>
                <c:pt idx="37">
                  <c:v>6672.5510000000004</c:v>
                </c:pt>
                <c:pt idx="38">
                  <c:v>9619.0300000000007</c:v>
                </c:pt>
                <c:pt idx="39">
                  <c:v>7302.9219999999996</c:v>
                </c:pt>
                <c:pt idx="40">
                  <c:v>7676.57</c:v>
                </c:pt>
                <c:pt idx="41">
                  <c:v>4467.835</c:v>
                </c:pt>
                <c:pt idx="42">
                  <c:v>3492.41</c:v>
                </c:pt>
                <c:pt idx="43">
                  <c:v>5340.1480000000001</c:v>
                </c:pt>
                <c:pt idx="44">
                  <c:v>5268.3239999999996</c:v>
                </c:pt>
                <c:pt idx="45">
                  <c:v>5327.0829999999996</c:v>
                </c:pt>
                <c:pt idx="46">
                  <c:v>5044.84</c:v>
                </c:pt>
                <c:pt idx="47">
                  <c:v>5205.2460000000001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8C-E34D-905F-AC3F40934C47}"/>
            </c:ext>
          </c:extLst>
        </c:ser>
        <c:ser>
          <c:idx val="1"/>
          <c:order val="1"/>
          <c:tx>
            <c:strRef>
              <c:f>'2_Tendencia_Central'!$D$4</c:f>
              <c:strCache>
                <c:ptCount val="1"/>
                <c:pt idx="0">
                  <c:v>ma_3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'2_Tendencia_Central'!$A$5:$A$55</c:f>
              <c:strCache>
                <c:ptCount val="51"/>
                <c:pt idx="0">
                  <c:v>2022-08</c:v>
                </c:pt>
                <c:pt idx="1">
                  <c:v>2022-09</c:v>
                </c:pt>
                <c:pt idx="2">
                  <c:v>2022-10</c:v>
                </c:pt>
                <c:pt idx="3">
                  <c:v>2022-11</c:v>
                </c:pt>
                <c:pt idx="4">
                  <c:v>2022-12</c:v>
                </c:pt>
                <c:pt idx="5">
                  <c:v>2023-01</c:v>
                </c:pt>
                <c:pt idx="6">
                  <c:v>2023-02</c:v>
                </c:pt>
                <c:pt idx="7">
                  <c:v>2023-03</c:v>
                </c:pt>
                <c:pt idx="8">
                  <c:v>2023-04</c:v>
                </c:pt>
                <c:pt idx="9">
                  <c:v>2023-05</c:v>
                </c:pt>
                <c:pt idx="10">
                  <c:v>2023-06</c:v>
                </c:pt>
                <c:pt idx="11">
                  <c:v>2023-07</c:v>
                </c:pt>
                <c:pt idx="12">
                  <c:v>2023-08</c:v>
                </c:pt>
                <c:pt idx="13">
                  <c:v>2023-09</c:v>
                </c:pt>
                <c:pt idx="14">
                  <c:v>2023-10</c:v>
                </c:pt>
                <c:pt idx="15">
                  <c:v>2023-11</c:v>
                </c:pt>
                <c:pt idx="16">
                  <c:v>2023-12</c:v>
                </c:pt>
                <c:pt idx="17">
                  <c:v>2024-01</c:v>
                </c:pt>
                <c:pt idx="18">
                  <c:v>2024-02</c:v>
                </c:pt>
                <c:pt idx="19">
                  <c:v>2024-03</c:v>
                </c:pt>
                <c:pt idx="20">
                  <c:v>2024-04</c:v>
                </c:pt>
                <c:pt idx="21">
                  <c:v>2024-05</c:v>
                </c:pt>
                <c:pt idx="22">
                  <c:v>2024-06</c:v>
                </c:pt>
                <c:pt idx="23">
                  <c:v>2024-07</c:v>
                </c:pt>
                <c:pt idx="24">
                  <c:v>2024-08</c:v>
                </c:pt>
                <c:pt idx="25">
                  <c:v>2024-09</c:v>
                </c:pt>
                <c:pt idx="26">
                  <c:v>2024-10</c:v>
                </c:pt>
                <c:pt idx="27">
                  <c:v>2024-11</c:v>
                </c:pt>
                <c:pt idx="28">
                  <c:v>2024-12</c:v>
                </c:pt>
                <c:pt idx="29">
                  <c:v>2025-01</c:v>
                </c:pt>
                <c:pt idx="30">
                  <c:v>2025-02</c:v>
                </c:pt>
                <c:pt idx="31">
                  <c:v>2025-03</c:v>
                </c:pt>
                <c:pt idx="32">
                  <c:v>2025-04</c:v>
                </c:pt>
                <c:pt idx="33">
                  <c:v>2025-05</c:v>
                </c:pt>
                <c:pt idx="34">
                  <c:v>2025-06</c:v>
                </c:pt>
                <c:pt idx="35">
                  <c:v>2025-07</c:v>
                </c:pt>
                <c:pt idx="36">
                  <c:v>2025-08</c:v>
                </c:pt>
                <c:pt idx="37">
                  <c:v>2025-09</c:v>
                </c:pt>
                <c:pt idx="38">
                  <c:v>2025-10</c:v>
                </c:pt>
                <c:pt idx="39">
                  <c:v>2025-11</c:v>
                </c:pt>
                <c:pt idx="40">
                  <c:v>2025-12</c:v>
                </c:pt>
                <c:pt idx="41">
                  <c:v>2026-01</c:v>
                </c:pt>
                <c:pt idx="42">
                  <c:v>2026-02</c:v>
                </c:pt>
                <c:pt idx="43">
                  <c:v>2026-03</c:v>
                </c:pt>
                <c:pt idx="44">
                  <c:v>2026-04</c:v>
                </c:pt>
                <c:pt idx="45">
                  <c:v>2026-05</c:v>
                </c:pt>
                <c:pt idx="46">
                  <c:v>2026-06</c:v>
                </c:pt>
                <c:pt idx="47">
                  <c:v>2026-07</c:v>
                </c:pt>
                <c:pt idx="48">
                  <c:v>2026-08</c:v>
                </c:pt>
                <c:pt idx="49">
                  <c:v>2026-09</c:v>
                </c:pt>
                <c:pt idx="50">
                  <c:v>2026-10</c:v>
                </c:pt>
              </c:strCache>
            </c:strRef>
          </c:cat>
          <c:val>
            <c:numRef>
              <c:f>'2_Tendencia_Central'!$D$5:$D$55</c:f>
              <c:numCache>
                <c:formatCode>#,##0.0</c:formatCode>
                <c:ptCount val="51"/>
                <c:pt idx="3">
                  <c:v>9662.8893333333344</c:v>
                </c:pt>
                <c:pt idx="4">
                  <c:v>8903.0889999999999</c:v>
                </c:pt>
                <c:pt idx="5">
                  <c:v>9580.9390000000003</c:v>
                </c:pt>
                <c:pt idx="6">
                  <c:v>8948.6716666666671</c:v>
                </c:pt>
                <c:pt idx="7">
                  <c:v>8357.3716666666678</c:v>
                </c:pt>
                <c:pt idx="8">
                  <c:v>6478.6816666666664</c:v>
                </c:pt>
                <c:pt idx="9">
                  <c:v>6917.0513333333329</c:v>
                </c:pt>
                <c:pt idx="10">
                  <c:v>7534.2246666666661</c:v>
                </c:pt>
                <c:pt idx="11">
                  <c:v>7524.0250000000005</c:v>
                </c:pt>
                <c:pt idx="12">
                  <c:v>8099.4143333333341</c:v>
                </c:pt>
                <c:pt idx="13">
                  <c:v>8481.382333333333</c:v>
                </c:pt>
                <c:pt idx="14">
                  <c:v>9226.32</c:v>
                </c:pt>
                <c:pt idx="15">
                  <c:v>9590.3419999999987</c:v>
                </c:pt>
                <c:pt idx="16">
                  <c:v>9792.4536666666663</c:v>
                </c:pt>
                <c:pt idx="17">
                  <c:v>10944.834999999999</c:v>
                </c:pt>
                <c:pt idx="18">
                  <c:v>8802.5199999999986</c:v>
                </c:pt>
                <c:pt idx="19">
                  <c:v>7639.2543333333333</c:v>
                </c:pt>
                <c:pt idx="20">
                  <c:v>5704.0996666666661</c:v>
                </c:pt>
                <c:pt idx="21">
                  <c:v>6184.2316666666666</c:v>
                </c:pt>
                <c:pt idx="22">
                  <c:v>6849.7146666666667</c:v>
                </c:pt>
                <c:pt idx="23">
                  <c:v>6718.5166666666673</c:v>
                </c:pt>
                <c:pt idx="24">
                  <c:v>8426.7366666666658</c:v>
                </c:pt>
                <c:pt idx="25">
                  <c:v>7989.4196666666658</c:v>
                </c:pt>
                <c:pt idx="26">
                  <c:v>8286.6826666666657</c:v>
                </c:pt>
                <c:pt idx="27">
                  <c:v>8092.684666666667</c:v>
                </c:pt>
                <c:pt idx="28">
                  <c:v>8454.5626666666667</c:v>
                </c:pt>
                <c:pt idx="29">
                  <c:v>10425.937666666667</c:v>
                </c:pt>
                <c:pt idx="30">
                  <c:v>8537.1039999999994</c:v>
                </c:pt>
                <c:pt idx="31">
                  <c:v>7769.3446666666669</c:v>
                </c:pt>
                <c:pt idx="32">
                  <c:v>5531.0889999999999</c:v>
                </c:pt>
                <c:pt idx="33">
                  <c:v>6066.8473333333341</c:v>
                </c:pt>
                <c:pt idx="34">
                  <c:v>6316.2109999999993</c:v>
                </c:pt>
                <c:pt idx="35">
                  <c:v>5933.8336666666655</c:v>
                </c:pt>
                <c:pt idx="36">
                  <c:v>6520.8840000000009</c:v>
                </c:pt>
                <c:pt idx="37">
                  <c:v>6178.1046666666662</c:v>
                </c:pt>
                <c:pt idx="38">
                  <c:v>6717.2023333333336</c:v>
                </c:pt>
                <c:pt idx="39">
                  <c:v>7056.3826666666673</c:v>
                </c:pt>
                <c:pt idx="40">
                  <c:v>7864.8343333333332</c:v>
                </c:pt>
                <c:pt idx="41">
                  <c:v>8199.507333333333</c:v>
                </c:pt>
                <c:pt idx="42">
                  <c:v>6482.4423333333325</c:v>
                </c:pt>
                <c:pt idx="43">
                  <c:v>5212.2716666666665</c:v>
                </c:pt>
                <c:pt idx="44">
                  <c:v>4433.4643333333333</c:v>
                </c:pt>
                <c:pt idx="45">
                  <c:v>4700.2940000000008</c:v>
                </c:pt>
                <c:pt idx="46">
                  <c:v>5311.8516666666665</c:v>
                </c:pt>
                <c:pt idx="47">
                  <c:v>5213.4156666666668</c:v>
                </c:pt>
                <c:pt idx="48">
                  <c:v>5192.389666666666</c:v>
                </c:pt>
                <c:pt idx="49">
                  <c:v>5192.389666666666</c:v>
                </c:pt>
                <c:pt idx="50">
                  <c:v>5192.389666666666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8C-E34D-905F-AC3F40934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Valor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O"/>
              <a:t>Real vs Media Movil (12)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'2_Tendencia_Central'!$B$4</c:f>
              <c:strCache>
                <c:ptCount val="1"/>
                <c:pt idx="0">
                  <c:v>real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'2_Tendencia_Central'!$A$5:$A$55</c:f>
              <c:strCache>
                <c:ptCount val="51"/>
                <c:pt idx="0">
                  <c:v>2022-08</c:v>
                </c:pt>
                <c:pt idx="1">
                  <c:v>2022-09</c:v>
                </c:pt>
                <c:pt idx="2">
                  <c:v>2022-10</c:v>
                </c:pt>
                <c:pt idx="3">
                  <c:v>2022-11</c:v>
                </c:pt>
                <c:pt idx="4">
                  <c:v>2022-12</c:v>
                </c:pt>
                <c:pt idx="5">
                  <c:v>2023-01</c:v>
                </c:pt>
                <c:pt idx="6">
                  <c:v>2023-02</c:v>
                </c:pt>
                <c:pt idx="7">
                  <c:v>2023-03</c:v>
                </c:pt>
                <c:pt idx="8">
                  <c:v>2023-04</c:v>
                </c:pt>
                <c:pt idx="9">
                  <c:v>2023-05</c:v>
                </c:pt>
                <c:pt idx="10">
                  <c:v>2023-06</c:v>
                </c:pt>
                <c:pt idx="11">
                  <c:v>2023-07</c:v>
                </c:pt>
                <c:pt idx="12">
                  <c:v>2023-08</c:v>
                </c:pt>
                <c:pt idx="13">
                  <c:v>2023-09</c:v>
                </c:pt>
                <c:pt idx="14">
                  <c:v>2023-10</c:v>
                </c:pt>
                <c:pt idx="15">
                  <c:v>2023-11</c:v>
                </c:pt>
                <c:pt idx="16">
                  <c:v>2023-12</c:v>
                </c:pt>
                <c:pt idx="17">
                  <c:v>2024-01</c:v>
                </c:pt>
                <c:pt idx="18">
                  <c:v>2024-02</c:v>
                </c:pt>
                <c:pt idx="19">
                  <c:v>2024-03</c:v>
                </c:pt>
                <c:pt idx="20">
                  <c:v>2024-04</c:v>
                </c:pt>
                <c:pt idx="21">
                  <c:v>2024-05</c:v>
                </c:pt>
                <c:pt idx="22">
                  <c:v>2024-06</c:v>
                </c:pt>
                <c:pt idx="23">
                  <c:v>2024-07</c:v>
                </c:pt>
                <c:pt idx="24">
                  <c:v>2024-08</c:v>
                </c:pt>
                <c:pt idx="25">
                  <c:v>2024-09</c:v>
                </c:pt>
                <c:pt idx="26">
                  <c:v>2024-10</c:v>
                </c:pt>
                <c:pt idx="27">
                  <c:v>2024-11</c:v>
                </c:pt>
                <c:pt idx="28">
                  <c:v>2024-12</c:v>
                </c:pt>
                <c:pt idx="29">
                  <c:v>2025-01</c:v>
                </c:pt>
                <c:pt idx="30">
                  <c:v>2025-02</c:v>
                </c:pt>
                <c:pt idx="31">
                  <c:v>2025-03</c:v>
                </c:pt>
                <c:pt idx="32">
                  <c:v>2025-04</c:v>
                </c:pt>
                <c:pt idx="33">
                  <c:v>2025-05</c:v>
                </c:pt>
                <c:pt idx="34">
                  <c:v>2025-06</c:v>
                </c:pt>
                <c:pt idx="35">
                  <c:v>2025-07</c:v>
                </c:pt>
                <c:pt idx="36">
                  <c:v>2025-08</c:v>
                </c:pt>
                <c:pt idx="37">
                  <c:v>2025-09</c:v>
                </c:pt>
                <c:pt idx="38">
                  <c:v>2025-10</c:v>
                </c:pt>
                <c:pt idx="39">
                  <c:v>2025-11</c:v>
                </c:pt>
                <c:pt idx="40">
                  <c:v>2025-12</c:v>
                </c:pt>
                <c:pt idx="41">
                  <c:v>2026-01</c:v>
                </c:pt>
                <c:pt idx="42">
                  <c:v>2026-02</c:v>
                </c:pt>
                <c:pt idx="43">
                  <c:v>2026-03</c:v>
                </c:pt>
                <c:pt idx="44">
                  <c:v>2026-04</c:v>
                </c:pt>
                <c:pt idx="45">
                  <c:v>2026-05</c:v>
                </c:pt>
                <c:pt idx="46">
                  <c:v>2026-06</c:v>
                </c:pt>
                <c:pt idx="47">
                  <c:v>2026-07</c:v>
                </c:pt>
                <c:pt idx="48">
                  <c:v>2026-08</c:v>
                </c:pt>
                <c:pt idx="49">
                  <c:v>2026-09</c:v>
                </c:pt>
                <c:pt idx="50">
                  <c:v>2026-10</c:v>
                </c:pt>
              </c:strCache>
            </c:strRef>
          </c:cat>
          <c:val>
            <c:numRef>
              <c:f>'2_Tendencia_Central'!$B$5:$B$55</c:f>
              <c:numCache>
                <c:formatCode>#,##0.0</c:formatCode>
                <c:ptCount val="51"/>
                <c:pt idx="0">
                  <c:v>9630.2990000000009</c:v>
                </c:pt>
                <c:pt idx="1">
                  <c:v>10251.463</c:v>
                </c:pt>
                <c:pt idx="2">
                  <c:v>9106.9060000000009</c:v>
                </c:pt>
                <c:pt idx="3">
                  <c:v>7350.8980000000001</c:v>
                </c:pt>
                <c:pt idx="4">
                  <c:v>12285.013000000001</c:v>
                </c:pt>
                <c:pt idx="5">
                  <c:v>7210.1040000000003</c:v>
                </c:pt>
                <c:pt idx="6">
                  <c:v>5576.9979999999996</c:v>
                </c:pt>
                <c:pt idx="7">
                  <c:v>6648.9430000000002</c:v>
                </c:pt>
                <c:pt idx="8">
                  <c:v>8525.2129999999997</c:v>
                </c:pt>
                <c:pt idx="9">
                  <c:v>7428.518</c:v>
                </c:pt>
                <c:pt idx="10">
                  <c:v>6618.3440000000001</c:v>
                </c:pt>
                <c:pt idx="11">
                  <c:v>10251.380999999999</c:v>
                </c:pt>
                <c:pt idx="12">
                  <c:v>8574.4220000000005</c:v>
                </c:pt>
                <c:pt idx="13">
                  <c:v>8853.1569999999992</c:v>
                </c:pt>
                <c:pt idx="14">
                  <c:v>11343.447</c:v>
                </c:pt>
                <c:pt idx="15">
                  <c:v>9180.7569999999996</c:v>
                </c:pt>
                <c:pt idx="16">
                  <c:v>12310.300999999999</c:v>
                </c:pt>
                <c:pt idx="17">
                  <c:v>4916.5020000000004</c:v>
                </c:pt>
                <c:pt idx="18">
                  <c:v>5690.96</c:v>
                </c:pt>
                <c:pt idx="19">
                  <c:v>6504.8370000000004</c:v>
                </c:pt>
                <c:pt idx="20">
                  <c:v>6356.8980000000001</c:v>
                </c:pt>
                <c:pt idx="21">
                  <c:v>7687.4089999999997</c:v>
                </c:pt>
                <c:pt idx="22">
                  <c:v>6111.2430000000004</c:v>
                </c:pt>
                <c:pt idx="23">
                  <c:v>11481.558000000001</c:v>
                </c:pt>
                <c:pt idx="24">
                  <c:v>6375.4579999999996</c:v>
                </c:pt>
                <c:pt idx="25">
                  <c:v>7003.0320000000002</c:v>
                </c:pt>
                <c:pt idx="26">
                  <c:v>10899.564</c:v>
                </c:pt>
                <c:pt idx="27">
                  <c:v>7461.0919999999996</c:v>
                </c:pt>
                <c:pt idx="28">
                  <c:v>12917.156999999999</c:v>
                </c:pt>
                <c:pt idx="29">
                  <c:v>5233.0630000000001</c:v>
                </c:pt>
                <c:pt idx="30">
                  <c:v>5157.8140000000003</c:v>
                </c:pt>
                <c:pt idx="31">
                  <c:v>6202.39</c:v>
                </c:pt>
                <c:pt idx="32">
                  <c:v>6840.3379999999997</c:v>
                </c:pt>
                <c:pt idx="33">
                  <c:v>5905.9049999999997</c:v>
                </c:pt>
                <c:pt idx="34">
                  <c:v>5055.2579999999998</c:v>
                </c:pt>
                <c:pt idx="35">
                  <c:v>8601.4889999999996</c:v>
                </c:pt>
                <c:pt idx="36">
                  <c:v>4877.567</c:v>
                </c:pt>
                <c:pt idx="37">
                  <c:v>6672.5510000000004</c:v>
                </c:pt>
                <c:pt idx="38">
                  <c:v>9619.0300000000007</c:v>
                </c:pt>
                <c:pt idx="39">
                  <c:v>7302.9219999999996</c:v>
                </c:pt>
                <c:pt idx="40">
                  <c:v>7676.57</c:v>
                </c:pt>
                <c:pt idx="41">
                  <c:v>4467.835</c:v>
                </c:pt>
                <c:pt idx="42">
                  <c:v>3492.41</c:v>
                </c:pt>
                <c:pt idx="43">
                  <c:v>5340.1480000000001</c:v>
                </c:pt>
                <c:pt idx="44">
                  <c:v>5268.3239999999996</c:v>
                </c:pt>
                <c:pt idx="45">
                  <c:v>5327.0829999999996</c:v>
                </c:pt>
                <c:pt idx="46">
                  <c:v>5044.84</c:v>
                </c:pt>
                <c:pt idx="47">
                  <c:v>5205.2460000000001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EF-574F-9692-D6C1B6D16859}"/>
            </c:ext>
          </c:extLst>
        </c:ser>
        <c:ser>
          <c:idx val="1"/>
          <c:order val="1"/>
          <c:tx>
            <c:strRef>
              <c:f>'2_Tendencia_Central'!$E$4</c:f>
              <c:strCache>
                <c:ptCount val="1"/>
                <c:pt idx="0">
                  <c:v>ma_12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'2_Tendencia_Central'!$A$5:$A$55</c:f>
              <c:strCache>
                <c:ptCount val="51"/>
                <c:pt idx="0">
                  <c:v>2022-08</c:v>
                </c:pt>
                <c:pt idx="1">
                  <c:v>2022-09</c:v>
                </c:pt>
                <c:pt idx="2">
                  <c:v>2022-10</c:v>
                </c:pt>
                <c:pt idx="3">
                  <c:v>2022-11</c:v>
                </c:pt>
                <c:pt idx="4">
                  <c:v>2022-12</c:v>
                </c:pt>
                <c:pt idx="5">
                  <c:v>2023-01</c:v>
                </c:pt>
                <c:pt idx="6">
                  <c:v>2023-02</c:v>
                </c:pt>
                <c:pt idx="7">
                  <c:v>2023-03</c:v>
                </c:pt>
                <c:pt idx="8">
                  <c:v>2023-04</c:v>
                </c:pt>
                <c:pt idx="9">
                  <c:v>2023-05</c:v>
                </c:pt>
                <c:pt idx="10">
                  <c:v>2023-06</c:v>
                </c:pt>
                <c:pt idx="11">
                  <c:v>2023-07</c:v>
                </c:pt>
                <c:pt idx="12">
                  <c:v>2023-08</c:v>
                </c:pt>
                <c:pt idx="13">
                  <c:v>2023-09</c:v>
                </c:pt>
                <c:pt idx="14">
                  <c:v>2023-10</c:v>
                </c:pt>
                <c:pt idx="15">
                  <c:v>2023-11</c:v>
                </c:pt>
                <c:pt idx="16">
                  <c:v>2023-12</c:v>
                </c:pt>
                <c:pt idx="17">
                  <c:v>2024-01</c:v>
                </c:pt>
                <c:pt idx="18">
                  <c:v>2024-02</c:v>
                </c:pt>
                <c:pt idx="19">
                  <c:v>2024-03</c:v>
                </c:pt>
                <c:pt idx="20">
                  <c:v>2024-04</c:v>
                </c:pt>
                <c:pt idx="21">
                  <c:v>2024-05</c:v>
                </c:pt>
                <c:pt idx="22">
                  <c:v>2024-06</c:v>
                </c:pt>
                <c:pt idx="23">
                  <c:v>2024-07</c:v>
                </c:pt>
                <c:pt idx="24">
                  <c:v>2024-08</c:v>
                </c:pt>
                <c:pt idx="25">
                  <c:v>2024-09</c:v>
                </c:pt>
                <c:pt idx="26">
                  <c:v>2024-10</c:v>
                </c:pt>
                <c:pt idx="27">
                  <c:v>2024-11</c:v>
                </c:pt>
                <c:pt idx="28">
                  <c:v>2024-12</c:v>
                </c:pt>
                <c:pt idx="29">
                  <c:v>2025-01</c:v>
                </c:pt>
                <c:pt idx="30">
                  <c:v>2025-02</c:v>
                </c:pt>
                <c:pt idx="31">
                  <c:v>2025-03</c:v>
                </c:pt>
                <c:pt idx="32">
                  <c:v>2025-04</c:v>
                </c:pt>
                <c:pt idx="33">
                  <c:v>2025-05</c:v>
                </c:pt>
                <c:pt idx="34">
                  <c:v>2025-06</c:v>
                </c:pt>
                <c:pt idx="35">
                  <c:v>2025-07</c:v>
                </c:pt>
                <c:pt idx="36">
                  <c:v>2025-08</c:v>
                </c:pt>
                <c:pt idx="37">
                  <c:v>2025-09</c:v>
                </c:pt>
                <c:pt idx="38">
                  <c:v>2025-10</c:v>
                </c:pt>
                <c:pt idx="39">
                  <c:v>2025-11</c:v>
                </c:pt>
                <c:pt idx="40">
                  <c:v>2025-12</c:v>
                </c:pt>
                <c:pt idx="41">
                  <c:v>2026-01</c:v>
                </c:pt>
                <c:pt idx="42">
                  <c:v>2026-02</c:v>
                </c:pt>
                <c:pt idx="43">
                  <c:v>2026-03</c:v>
                </c:pt>
                <c:pt idx="44">
                  <c:v>2026-04</c:v>
                </c:pt>
                <c:pt idx="45">
                  <c:v>2026-05</c:v>
                </c:pt>
                <c:pt idx="46">
                  <c:v>2026-06</c:v>
                </c:pt>
                <c:pt idx="47">
                  <c:v>2026-07</c:v>
                </c:pt>
                <c:pt idx="48">
                  <c:v>2026-08</c:v>
                </c:pt>
                <c:pt idx="49">
                  <c:v>2026-09</c:v>
                </c:pt>
                <c:pt idx="50">
                  <c:v>2026-10</c:v>
                </c:pt>
              </c:strCache>
            </c:strRef>
          </c:cat>
          <c:val>
            <c:numRef>
              <c:f>'2_Tendencia_Central'!$E$5:$E$55</c:f>
              <c:numCache>
                <c:formatCode>#,##0.0</c:formatCode>
                <c:ptCount val="51"/>
                <c:pt idx="12">
                  <c:v>8407.0066666666662</c:v>
                </c:pt>
                <c:pt idx="13">
                  <c:v>8319.0169166666656</c:v>
                </c:pt>
                <c:pt idx="14">
                  <c:v>8202.4914166666658</c:v>
                </c:pt>
                <c:pt idx="15">
                  <c:v>8388.8698333333323</c:v>
                </c:pt>
                <c:pt idx="16">
                  <c:v>8541.3580833333326</c:v>
                </c:pt>
                <c:pt idx="17">
                  <c:v>8543.465416666666</c:v>
                </c:pt>
                <c:pt idx="18">
                  <c:v>8352.3319166666679</c:v>
                </c:pt>
                <c:pt idx="19">
                  <c:v>8361.8287499999988</c:v>
                </c:pt>
                <c:pt idx="20">
                  <c:v>8349.8199166666691</c:v>
                </c:pt>
                <c:pt idx="21">
                  <c:v>8169.1270000000004</c:v>
                </c:pt>
                <c:pt idx="22">
                  <c:v>8190.7012499999992</c:v>
                </c:pt>
                <c:pt idx="23">
                  <c:v>8148.4428333333335</c:v>
                </c:pt>
                <c:pt idx="24">
                  <c:v>8250.9575833333347</c:v>
                </c:pt>
                <c:pt idx="25">
                  <c:v>8067.7105833333335</c:v>
                </c:pt>
                <c:pt idx="26">
                  <c:v>7913.5335000000005</c:v>
                </c:pt>
                <c:pt idx="27">
                  <c:v>7876.5432499999997</c:v>
                </c:pt>
                <c:pt idx="28">
                  <c:v>7733.2378333333336</c:v>
                </c:pt>
                <c:pt idx="29">
                  <c:v>7783.8091666666687</c:v>
                </c:pt>
                <c:pt idx="30">
                  <c:v>7810.1892500000004</c:v>
                </c:pt>
                <c:pt idx="31">
                  <c:v>7765.7604166666652</c:v>
                </c:pt>
                <c:pt idx="32">
                  <c:v>7740.5564999999988</c:v>
                </c:pt>
                <c:pt idx="33">
                  <c:v>7780.8431666666656</c:v>
                </c:pt>
                <c:pt idx="34">
                  <c:v>7632.3844999999992</c:v>
                </c:pt>
                <c:pt idx="35">
                  <c:v>7544.3857500000004</c:v>
                </c:pt>
                <c:pt idx="36">
                  <c:v>7304.38</c:v>
                </c:pt>
                <c:pt idx="37">
                  <c:v>7179.5557499999995</c:v>
                </c:pt>
                <c:pt idx="38">
                  <c:v>7152.0156666666662</c:v>
                </c:pt>
                <c:pt idx="39">
                  <c:v>7045.3044999999993</c:v>
                </c:pt>
                <c:pt idx="40">
                  <c:v>7032.1236666666673</c:v>
                </c:pt>
                <c:pt idx="41">
                  <c:v>6595.4080833333328</c:v>
                </c:pt>
                <c:pt idx="42">
                  <c:v>6531.6390833333344</c:v>
                </c:pt>
                <c:pt idx="43">
                  <c:v>6392.8554166666663</c:v>
                </c:pt>
                <c:pt idx="44">
                  <c:v>6321.0019166666671</c:v>
                </c:pt>
                <c:pt idx="45">
                  <c:v>6190.0007499999992</c:v>
                </c:pt>
                <c:pt idx="46">
                  <c:v>6141.7655833333329</c:v>
                </c:pt>
                <c:pt idx="47">
                  <c:v>6140.8974166666667</c:v>
                </c:pt>
                <c:pt idx="48">
                  <c:v>5857.8771666666662</c:v>
                </c:pt>
                <c:pt idx="49">
                  <c:v>5857.8771666666662</c:v>
                </c:pt>
                <c:pt idx="50">
                  <c:v>5857.8771666666662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EF-574F-9692-D6C1B6D16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Valor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O"/>
              <a:t>Real vs SES vs Holt vs Holt-Winters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'3_Suavizacion'!$B$4</c:f>
              <c:strCache>
                <c:ptCount val="1"/>
                <c:pt idx="0">
                  <c:v>real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'3_Suavizacion'!$A$5:$A$55</c:f>
              <c:strCache>
                <c:ptCount val="51"/>
                <c:pt idx="0">
                  <c:v>2022-08</c:v>
                </c:pt>
                <c:pt idx="1">
                  <c:v>2022-09</c:v>
                </c:pt>
                <c:pt idx="2">
                  <c:v>2022-10</c:v>
                </c:pt>
                <c:pt idx="3">
                  <c:v>2022-11</c:v>
                </c:pt>
                <c:pt idx="4">
                  <c:v>2022-12</c:v>
                </c:pt>
                <c:pt idx="5">
                  <c:v>2023-01</c:v>
                </c:pt>
                <c:pt idx="6">
                  <c:v>2023-02</c:v>
                </c:pt>
                <c:pt idx="7">
                  <c:v>2023-03</c:v>
                </c:pt>
                <c:pt idx="8">
                  <c:v>2023-04</c:v>
                </c:pt>
                <c:pt idx="9">
                  <c:v>2023-05</c:v>
                </c:pt>
                <c:pt idx="10">
                  <c:v>2023-06</c:v>
                </c:pt>
                <c:pt idx="11">
                  <c:v>2023-07</c:v>
                </c:pt>
                <c:pt idx="12">
                  <c:v>2023-08</c:v>
                </c:pt>
                <c:pt idx="13">
                  <c:v>2023-09</c:v>
                </c:pt>
                <c:pt idx="14">
                  <c:v>2023-10</c:v>
                </c:pt>
                <c:pt idx="15">
                  <c:v>2023-11</c:v>
                </c:pt>
                <c:pt idx="16">
                  <c:v>2023-12</c:v>
                </c:pt>
                <c:pt idx="17">
                  <c:v>2024-01</c:v>
                </c:pt>
                <c:pt idx="18">
                  <c:v>2024-02</c:v>
                </c:pt>
                <c:pt idx="19">
                  <c:v>2024-03</c:v>
                </c:pt>
                <c:pt idx="20">
                  <c:v>2024-04</c:v>
                </c:pt>
                <c:pt idx="21">
                  <c:v>2024-05</c:v>
                </c:pt>
                <c:pt idx="22">
                  <c:v>2024-06</c:v>
                </c:pt>
                <c:pt idx="23">
                  <c:v>2024-07</c:v>
                </c:pt>
                <c:pt idx="24">
                  <c:v>2024-08</c:v>
                </c:pt>
                <c:pt idx="25">
                  <c:v>2024-09</c:v>
                </c:pt>
                <c:pt idx="26">
                  <c:v>2024-10</c:v>
                </c:pt>
                <c:pt idx="27">
                  <c:v>2024-11</c:v>
                </c:pt>
                <c:pt idx="28">
                  <c:v>2024-12</c:v>
                </c:pt>
                <c:pt idx="29">
                  <c:v>2025-01</c:v>
                </c:pt>
                <c:pt idx="30">
                  <c:v>2025-02</c:v>
                </c:pt>
                <c:pt idx="31">
                  <c:v>2025-03</c:v>
                </c:pt>
                <c:pt idx="32">
                  <c:v>2025-04</c:v>
                </c:pt>
                <c:pt idx="33">
                  <c:v>2025-05</c:v>
                </c:pt>
                <c:pt idx="34">
                  <c:v>2025-06</c:v>
                </c:pt>
                <c:pt idx="35">
                  <c:v>2025-07</c:v>
                </c:pt>
                <c:pt idx="36">
                  <c:v>2025-08</c:v>
                </c:pt>
                <c:pt idx="37">
                  <c:v>2025-09</c:v>
                </c:pt>
                <c:pt idx="38">
                  <c:v>2025-10</c:v>
                </c:pt>
                <c:pt idx="39">
                  <c:v>2025-11</c:v>
                </c:pt>
                <c:pt idx="40">
                  <c:v>2025-12</c:v>
                </c:pt>
                <c:pt idx="41">
                  <c:v>2026-01</c:v>
                </c:pt>
                <c:pt idx="42">
                  <c:v>2026-02</c:v>
                </c:pt>
                <c:pt idx="43">
                  <c:v>2026-03</c:v>
                </c:pt>
                <c:pt idx="44">
                  <c:v>2026-04</c:v>
                </c:pt>
                <c:pt idx="45">
                  <c:v>2026-05</c:v>
                </c:pt>
                <c:pt idx="46">
                  <c:v>2026-06</c:v>
                </c:pt>
                <c:pt idx="47">
                  <c:v>2026-07</c:v>
                </c:pt>
                <c:pt idx="48">
                  <c:v>2026-08</c:v>
                </c:pt>
                <c:pt idx="49">
                  <c:v>2026-09</c:v>
                </c:pt>
                <c:pt idx="50">
                  <c:v>2026-10</c:v>
                </c:pt>
              </c:strCache>
            </c:strRef>
          </c:cat>
          <c:val>
            <c:numRef>
              <c:f>'3_Suavizacion'!$B$5:$B$55</c:f>
              <c:numCache>
                <c:formatCode>#,##0.0</c:formatCode>
                <c:ptCount val="51"/>
                <c:pt idx="0">
                  <c:v>9630.2990000000009</c:v>
                </c:pt>
                <c:pt idx="1">
                  <c:v>10251.463</c:v>
                </c:pt>
                <c:pt idx="2">
                  <c:v>9106.9060000000009</c:v>
                </c:pt>
                <c:pt idx="3">
                  <c:v>7350.8980000000001</c:v>
                </c:pt>
                <c:pt idx="4">
                  <c:v>12285.013000000001</c:v>
                </c:pt>
                <c:pt idx="5">
                  <c:v>7210.1040000000003</c:v>
                </c:pt>
                <c:pt idx="6">
                  <c:v>5576.9979999999996</c:v>
                </c:pt>
                <c:pt idx="7">
                  <c:v>6648.9430000000002</c:v>
                </c:pt>
                <c:pt idx="8">
                  <c:v>8525.2129999999997</c:v>
                </c:pt>
                <c:pt idx="9">
                  <c:v>7428.518</c:v>
                </c:pt>
                <c:pt idx="10">
                  <c:v>6618.3440000000001</c:v>
                </c:pt>
                <c:pt idx="11">
                  <c:v>10251.380999999999</c:v>
                </c:pt>
                <c:pt idx="12">
                  <c:v>8574.4220000000005</c:v>
                </c:pt>
                <c:pt idx="13">
                  <c:v>8853.1569999999992</c:v>
                </c:pt>
                <c:pt idx="14">
                  <c:v>11343.447</c:v>
                </c:pt>
                <c:pt idx="15">
                  <c:v>9180.7569999999996</c:v>
                </c:pt>
                <c:pt idx="16">
                  <c:v>12310.300999999999</c:v>
                </c:pt>
                <c:pt idx="17">
                  <c:v>4916.5020000000004</c:v>
                </c:pt>
                <c:pt idx="18">
                  <c:v>5690.96</c:v>
                </c:pt>
                <c:pt idx="19">
                  <c:v>6504.8370000000004</c:v>
                </c:pt>
                <c:pt idx="20">
                  <c:v>6356.8980000000001</c:v>
                </c:pt>
                <c:pt idx="21">
                  <c:v>7687.4089999999997</c:v>
                </c:pt>
                <c:pt idx="22">
                  <c:v>6111.2430000000004</c:v>
                </c:pt>
                <c:pt idx="23">
                  <c:v>11481.558000000001</c:v>
                </c:pt>
                <c:pt idx="24">
                  <c:v>6375.4579999999996</c:v>
                </c:pt>
                <c:pt idx="25">
                  <c:v>7003.0320000000002</c:v>
                </c:pt>
                <c:pt idx="26">
                  <c:v>10899.564</c:v>
                </c:pt>
                <c:pt idx="27">
                  <c:v>7461.0919999999996</c:v>
                </c:pt>
                <c:pt idx="28">
                  <c:v>12917.156999999999</c:v>
                </c:pt>
                <c:pt idx="29">
                  <c:v>5233.0630000000001</c:v>
                </c:pt>
                <c:pt idx="30">
                  <c:v>5157.8140000000003</c:v>
                </c:pt>
                <c:pt idx="31">
                  <c:v>6202.39</c:v>
                </c:pt>
                <c:pt idx="32">
                  <c:v>6840.3379999999997</c:v>
                </c:pt>
                <c:pt idx="33">
                  <c:v>5905.9049999999997</c:v>
                </c:pt>
                <c:pt idx="34">
                  <c:v>5055.2579999999998</c:v>
                </c:pt>
                <c:pt idx="35">
                  <c:v>8601.4889999999996</c:v>
                </c:pt>
                <c:pt idx="36">
                  <c:v>4877.567</c:v>
                </c:pt>
                <c:pt idx="37">
                  <c:v>6672.5510000000004</c:v>
                </c:pt>
                <c:pt idx="38">
                  <c:v>9619.0300000000007</c:v>
                </c:pt>
                <c:pt idx="39">
                  <c:v>7302.9219999999996</c:v>
                </c:pt>
                <c:pt idx="40">
                  <c:v>7676.57</c:v>
                </c:pt>
                <c:pt idx="41">
                  <c:v>4467.835</c:v>
                </c:pt>
                <c:pt idx="42">
                  <c:v>3492.41</c:v>
                </c:pt>
                <c:pt idx="43">
                  <c:v>5340.1480000000001</c:v>
                </c:pt>
                <c:pt idx="44">
                  <c:v>5268.3239999999996</c:v>
                </c:pt>
                <c:pt idx="45">
                  <c:v>5327.0829999999996</c:v>
                </c:pt>
                <c:pt idx="46">
                  <c:v>5044.84</c:v>
                </c:pt>
                <c:pt idx="47">
                  <c:v>5205.2460000000001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B5-4049-B5FD-1ABD7946EC3E}"/>
            </c:ext>
          </c:extLst>
        </c:ser>
        <c:ser>
          <c:idx val="1"/>
          <c:order val="1"/>
          <c:tx>
            <c:strRef>
              <c:f>'3_Suavizacion'!$C$4</c:f>
              <c:strCache>
                <c:ptCount val="1"/>
                <c:pt idx="0">
                  <c:v>ses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'3_Suavizacion'!$A$5:$A$55</c:f>
              <c:strCache>
                <c:ptCount val="51"/>
                <c:pt idx="0">
                  <c:v>2022-08</c:v>
                </c:pt>
                <c:pt idx="1">
                  <c:v>2022-09</c:v>
                </c:pt>
                <c:pt idx="2">
                  <c:v>2022-10</c:v>
                </c:pt>
                <c:pt idx="3">
                  <c:v>2022-11</c:v>
                </c:pt>
                <c:pt idx="4">
                  <c:v>2022-12</c:v>
                </c:pt>
                <c:pt idx="5">
                  <c:v>2023-01</c:v>
                </c:pt>
                <c:pt idx="6">
                  <c:v>2023-02</c:v>
                </c:pt>
                <c:pt idx="7">
                  <c:v>2023-03</c:v>
                </c:pt>
                <c:pt idx="8">
                  <c:v>2023-04</c:v>
                </c:pt>
                <c:pt idx="9">
                  <c:v>2023-05</c:v>
                </c:pt>
                <c:pt idx="10">
                  <c:v>2023-06</c:v>
                </c:pt>
                <c:pt idx="11">
                  <c:v>2023-07</c:v>
                </c:pt>
                <c:pt idx="12">
                  <c:v>2023-08</c:v>
                </c:pt>
                <c:pt idx="13">
                  <c:v>2023-09</c:v>
                </c:pt>
                <c:pt idx="14">
                  <c:v>2023-10</c:v>
                </c:pt>
                <c:pt idx="15">
                  <c:v>2023-11</c:v>
                </c:pt>
                <c:pt idx="16">
                  <c:v>2023-12</c:v>
                </c:pt>
                <c:pt idx="17">
                  <c:v>2024-01</c:v>
                </c:pt>
                <c:pt idx="18">
                  <c:v>2024-02</c:v>
                </c:pt>
                <c:pt idx="19">
                  <c:v>2024-03</c:v>
                </c:pt>
                <c:pt idx="20">
                  <c:v>2024-04</c:v>
                </c:pt>
                <c:pt idx="21">
                  <c:v>2024-05</c:v>
                </c:pt>
                <c:pt idx="22">
                  <c:v>2024-06</c:v>
                </c:pt>
                <c:pt idx="23">
                  <c:v>2024-07</c:v>
                </c:pt>
                <c:pt idx="24">
                  <c:v>2024-08</c:v>
                </c:pt>
                <c:pt idx="25">
                  <c:v>2024-09</c:v>
                </c:pt>
                <c:pt idx="26">
                  <c:v>2024-10</c:v>
                </c:pt>
                <c:pt idx="27">
                  <c:v>2024-11</c:v>
                </c:pt>
                <c:pt idx="28">
                  <c:v>2024-12</c:v>
                </c:pt>
                <c:pt idx="29">
                  <c:v>2025-01</c:v>
                </c:pt>
                <c:pt idx="30">
                  <c:v>2025-02</c:v>
                </c:pt>
                <c:pt idx="31">
                  <c:v>2025-03</c:v>
                </c:pt>
                <c:pt idx="32">
                  <c:v>2025-04</c:v>
                </c:pt>
                <c:pt idx="33">
                  <c:v>2025-05</c:v>
                </c:pt>
                <c:pt idx="34">
                  <c:v>2025-06</c:v>
                </c:pt>
                <c:pt idx="35">
                  <c:v>2025-07</c:v>
                </c:pt>
                <c:pt idx="36">
                  <c:v>2025-08</c:v>
                </c:pt>
                <c:pt idx="37">
                  <c:v>2025-09</c:v>
                </c:pt>
                <c:pt idx="38">
                  <c:v>2025-10</c:v>
                </c:pt>
                <c:pt idx="39">
                  <c:v>2025-11</c:v>
                </c:pt>
                <c:pt idx="40">
                  <c:v>2025-12</c:v>
                </c:pt>
                <c:pt idx="41">
                  <c:v>2026-01</c:v>
                </c:pt>
                <c:pt idx="42">
                  <c:v>2026-02</c:v>
                </c:pt>
                <c:pt idx="43">
                  <c:v>2026-03</c:v>
                </c:pt>
                <c:pt idx="44">
                  <c:v>2026-04</c:v>
                </c:pt>
                <c:pt idx="45">
                  <c:v>2026-05</c:v>
                </c:pt>
                <c:pt idx="46">
                  <c:v>2026-06</c:v>
                </c:pt>
                <c:pt idx="47">
                  <c:v>2026-07</c:v>
                </c:pt>
                <c:pt idx="48">
                  <c:v>2026-08</c:v>
                </c:pt>
                <c:pt idx="49">
                  <c:v>2026-09</c:v>
                </c:pt>
                <c:pt idx="50">
                  <c:v>2026-10</c:v>
                </c:pt>
              </c:strCache>
            </c:strRef>
          </c:cat>
          <c:val>
            <c:numRef>
              <c:f>'3_Suavizacion'!$C$5:$C$55</c:f>
              <c:numCache>
                <c:formatCode>#,##0.0</c:formatCode>
                <c:ptCount val="51"/>
                <c:pt idx="0">
                  <c:v>10220.9756</c:v>
                </c:pt>
                <c:pt idx="1">
                  <c:v>9925.6373000000003</c:v>
                </c:pt>
                <c:pt idx="2">
                  <c:v>10088.550149999999</c:v>
                </c:pt>
                <c:pt idx="3">
                  <c:v>9597.7280749999991</c:v>
                </c:pt>
                <c:pt idx="4">
                  <c:v>8474.3130375000001</c:v>
                </c:pt>
                <c:pt idx="5">
                  <c:v>10379.663018750001</c:v>
                </c:pt>
                <c:pt idx="6">
                  <c:v>8794.8835093750004</c:v>
                </c:pt>
                <c:pt idx="7">
                  <c:v>7185.9407546875</c:v>
                </c:pt>
                <c:pt idx="8">
                  <c:v>6917.4418773437501</c:v>
                </c:pt>
                <c:pt idx="9">
                  <c:v>7721.3274386718749</c:v>
                </c:pt>
                <c:pt idx="10">
                  <c:v>7574.9227193359375</c:v>
                </c:pt>
                <c:pt idx="11">
                  <c:v>7096.6333596679688</c:v>
                </c:pt>
                <c:pt idx="12">
                  <c:v>8674.007179833985</c:v>
                </c:pt>
                <c:pt idx="13">
                  <c:v>8624.2145899169918</c:v>
                </c:pt>
                <c:pt idx="14">
                  <c:v>8738.6857949584955</c:v>
                </c:pt>
                <c:pt idx="15">
                  <c:v>10041.066397479248</c:v>
                </c:pt>
                <c:pt idx="16">
                  <c:v>9610.9116987396228</c:v>
                </c:pt>
                <c:pt idx="17">
                  <c:v>10960.606349369811</c:v>
                </c:pt>
                <c:pt idx="18">
                  <c:v>7938.5541746849058</c:v>
                </c:pt>
                <c:pt idx="19">
                  <c:v>6814.7570873424529</c:v>
                </c:pt>
                <c:pt idx="20">
                  <c:v>6659.7970436712267</c:v>
                </c:pt>
                <c:pt idx="21">
                  <c:v>6508.3475218356134</c:v>
                </c:pt>
                <c:pt idx="22">
                  <c:v>7097.878260917807</c:v>
                </c:pt>
                <c:pt idx="23">
                  <c:v>6604.5606304589037</c:v>
                </c:pt>
                <c:pt idx="24">
                  <c:v>9043.0593152294532</c:v>
                </c:pt>
                <c:pt idx="25">
                  <c:v>7709.258657614726</c:v>
                </c:pt>
                <c:pt idx="26">
                  <c:v>7356.1453288073626</c:v>
                </c:pt>
                <c:pt idx="27">
                  <c:v>9127.8546644036815</c:v>
                </c:pt>
                <c:pt idx="28">
                  <c:v>8294.4733322018401</c:v>
                </c:pt>
                <c:pt idx="29">
                  <c:v>10605.81516610092</c:v>
                </c:pt>
                <c:pt idx="30">
                  <c:v>7919.4390830504599</c:v>
                </c:pt>
                <c:pt idx="31">
                  <c:v>6538.6265415252301</c:v>
                </c:pt>
                <c:pt idx="32">
                  <c:v>6370.5082707626152</c:v>
                </c:pt>
                <c:pt idx="33">
                  <c:v>6605.4231353813075</c:v>
                </c:pt>
                <c:pt idx="34">
                  <c:v>6255.6640676906536</c:v>
                </c:pt>
                <c:pt idx="35">
                  <c:v>5655.4610338453267</c:v>
                </c:pt>
                <c:pt idx="36">
                  <c:v>7128.4750169226627</c:v>
                </c:pt>
                <c:pt idx="37">
                  <c:v>6003.0210084613318</c:v>
                </c:pt>
                <c:pt idx="38">
                  <c:v>6337.7860042306656</c:v>
                </c:pt>
                <c:pt idx="39">
                  <c:v>7978.4080021153331</c:v>
                </c:pt>
                <c:pt idx="40">
                  <c:v>7640.6650010576668</c:v>
                </c:pt>
                <c:pt idx="41">
                  <c:v>7658.6175005288333</c:v>
                </c:pt>
                <c:pt idx="42">
                  <c:v>6063.2262502644171</c:v>
                </c:pt>
                <c:pt idx="43">
                  <c:v>4777.8181251322085</c:v>
                </c:pt>
                <c:pt idx="44">
                  <c:v>5058.9830625661043</c:v>
                </c:pt>
                <c:pt idx="45">
                  <c:v>5163.653531283052</c:v>
                </c:pt>
                <c:pt idx="46">
                  <c:v>5245.3682656415258</c:v>
                </c:pt>
                <c:pt idx="47">
                  <c:v>5145.104132820763</c:v>
                </c:pt>
                <c:pt idx="48">
                  <c:v>5175.175066410382</c:v>
                </c:pt>
                <c:pt idx="49">
                  <c:v>5175.175066410382</c:v>
                </c:pt>
                <c:pt idx="50">
                  <c:v>5175.175066410382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B5-4049-B5FD-1ABD7946EC3E}"/>
            </c:ext>
          </c:extLst>
        </c:ser>
        <c:ser>
          <c:idx val="2"/>
          <c:order val="2"/>
          <c:tx>
            <c:strRef>
              <c:f>'3_Suavizacion'!$D$4</c:f>
              <c:strCache>
                <c:ptCount val="1"/>
                <c:pt idx="0">
                  <c:v>holt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'3_Suavizacion'!$A$5:$A$55</c:f>
              <c:strCache>
                <c:ptCount val="51"/>
                <c:pt idx="0">
                  <c:v>2022-08</c:v>
                </c:pt>
                <c:pt idx="1">
                  <c:v>2022-09</c:v>
                </c:pt>
                <c:pt idx="2">
                  <c:v>2022-10</c:v>
                </c:pt>
                <c:pt idx="3">
                  <c:v>2022-11</c:v>
                </c:pt>
                <c:pt idx="4">
                  <c:v>2022-12</c:v>
                </c:pt>
                <c:pt idx="5">
                  <c:v>2023-01</c:v>
                </c:pt>
                <c:pt idx="6">
                  <c:v>2023-02</c:v>
                </c:pt>
                <c:pt idx="7">
                  <c:v>2023-03</c:v>
                </c:pt>
                <c:pt idx="8">
                  <c:v>2023-04</c:v>
                </c:pt>
                <c:pt idx="9">
                  <c:v>2023-05</c:v>
                </c:pt>
                <c:pt idx="10">
                  <c:v>2023-06</c:v>
                </c:pt>
                <c:pt idx="11">
                  <c:v>2023-07</c:v>
                </c:pt>
                <c:pt idx="12">
                  <c:v>2023-08</c:v>
                </c:pt>
                <c:pt idx="13">
                  <c:v>2023-09</c:v>
                </c:pt>
                <c:pt idx="14">
                  <c:v>2023-10</c:v>
                </c:pt>
                <c:pt idx="15">
                  <c:v>2023-11</c:v>
                </c:pt>
                <c:pt idx="16">
                  <c:v>2023-12</c:v>
                </c:pt>
                <c:pt idx="17">
                  <c:v>2024-01</c:v>
                </c:pt>
                <c:pt idx="18">
                  <c:v>2024-02</c:v>
                </c:pt>
                <c:pt idx="19">
                  <c:v>2024-03</c:v>
                </c:pt>
                <c:pt idx="20">
                  <c:v>2024-04</c:v>
                </c:pt>
                <c:pt idx="21">
                  <c:v>2024-05</c:v>
                </c:pt>
                <c:pt idx="22">
                  <c:v>2024-06</c:v>
                </c:pt>
                <c:pt idx="23">
                  <c:v>2024-07</c:v>
                </c:pt>
                <c:pt idx="24">
                  <c:v>2024-08</c:v>
                </c:pt>
                <c:pt idx="25">
                  <c:v>2024-09</c:v>
                </c:pt>
                <c:pt idx="26">
                  <c:v>2024-10</c:v>
                </c:pt>
                <c:pt idx="27">
                  <c:v>2024-11</c:v>
                </c:pt>
                <c:pt idx="28">
                  <c:v>2024-12</c:v>
                </c:pt>
                <c:pt idx="29">
                  <c:v>2025-01</c:v>
                </c:pt>
                <c:pt idx="30">
                  <c:v>2025-02</c:v>
                </c:pt>
                <c:pt idx="31">
                  <c:v>2025-03</c:v>
                </c:pt>
                <c:pt idx="32">
                  <c:v>2025-04</c:v>
                </c:pt>
                <c:pt idx="33">
                  <c:v>2025-05</c:v>
                </c:pt>
                <c:pt idx="34">
                  <c:v>2025-06</c:v>
                </c:pt>
                <c:pt idx="35">
                  <c:v>2025-07</c:v>
                </c:pt>
                <c:pt idx="36">
                  <c:v>2025-08</c:v>
                </c:pt>
                <c:pt idx="37">
                  <c:v>2025-09</c:v>
                </c:pt>
                <c:pt idx="38">
                  <c:v>2025-10</c:v>
                </c:pt>
                <c:pt idx="39">
                  <c:v>2025-11</c:v>
                </c:pt>
                <c:pt idx="40">
                  <c:v>2025-12</c:v>
                </c:pt>
                <c:pt idx="41">
                  <c:v>2026-01</c:v>
                </c:pt>
                <c:pt idx="42">
                  <c:v>2026-02</c:v>
                </c:pt>
                <c:pt idx="43">
                  <c:v>2026-03</c:v>
                </c:pt>
                <c:pt idx="44">
                  <c:v>2026-04</c:v>
                </c:pt>
                <c:pt idx="45">
                  <c:v>2026-05</c:v>
                </c:pt>
                <c:pt idx="46">
                  <c:v>2026-06</c:v>
                </c:pt>
                <c:pt idx="47">
                  <c:v>2026-07</c:v>
                </c:pt>
                <c:pt idx="48">
                  <c:v>2026-08</c:v>
                </c:pt>
                <c:pt idx="49">
                  <c:v>2026-09</c:v>
                </c:pt>
                <c:pt idx="50">
                  <c:v>2026-10</c:v>
                </c:pt>
              </c:strCache>
            </c:strRef>
          </c:cat>
          <c:val>
            <c:numRef>
              <c:f>'3_Suavizacion'!$D$5:$D$55</c:f>
              <c:numCache>
                <c:formatCode>#,##0.0</c:formatCode>
                <c:ptCount val="51"/>
                <c:pt idx="0">
                  <c:v>9890.150126999999</c:v>
                </c:pt>
                <c:pt idx="1">
                  <c:v>9481.3693158999977</c:v>
                </c:pt>
                <c:pt idx="2">
                  <c:v>9381.5719481299966</c:v>
                </c:pt>
                <c:pt idx="3">
                  <c:v>8968.3466906909962</c:v>
                </c:pt>
                <c:pt idx="4">
                  <c:v>8152.2866104836985</c:v>
                </c:pt>
                <c:pt idx="5">
                  <c:v>9061.2790543385872</c:v>
                </c:pt>
                <c:pt idx="6">
                  <c:v>8175.1010650370108</c:v>
                </c:pt>
                <c:pt idx="7">
                  <c:v>7064.8446725259073</c:v>
                </c:pt>
                <c:pt idx="8">
                  <c:v>6609.2486977681347</c:v>
                </c:pt>
                <c:pt idx="9">
                  <c:v>6853.2125154376945</c:v>
                </c:pt>
                <c:pt idx="10">
                  <c:v>6694.9786878063851</c:v>
                </c:pt>
                <c:pt idx="11">
                  <c:v>6341.1628084644699</c:v>
                </c:pt>
                <c:pt idx="12">
                  <c:v>7183.4027929251288</c:v>
                </c:pt>
                <c:pt idx="13">
                  <c:v>7269.8830820475896</c:v>
                </c:pt>
                <c:pt idx="14">
                  <c:v>7414.039784433312</c:v>
                </c:pt>
                <c:pt idx="15">
                  <c:v>8262.0364761033161</c:v>
                </c:pt>
                <c:pt idx="16">
                  <c:v>8206.8271602723198</c:v>
                </c:pt>
                <c:pt idx="17">
                  <c:v>9107.0438391906227</c:v>
                </c:pt>
                <c:pt idx="18">
                  <c:v>7519.0558144334354</c:v>
                </c:pt>
                <c:pt idx="19">
                  <c:v>6639.8015971034047</c:v>
                </c:pt>
                <c:pt idx="20">
                  <c:v>6268.4867449723833</c:v>
                </c:pt>
                <c:pt idx="21">
                  <c:v>5964.1846484806674</c:v>
                </c:pt>
                <c:pt idx="22">
                  <c:v>6150.3264809364673</c:v>
                </c:pt>
                <c:pt idx="23">
                  <c:v>5807.7759636555274</c:v>
                </c:pt>
                <c:pt idx="24">
                  <c:v>7179.0851015588696</c:v>
                </c:pt>
                <c:pt idx="25">
                  <c:v>6607.1714980912084</c:v>
                </c:pt>
                <c:pt idx="26">
                  <c:v>6395.104175663846</c:v>
                </c:pt>
                <c:pt idx="27">
                  <c:v>7415.6166499646924</c:v>
                </c:pt>
                <c:pt idx="28">
                  <c:v>7098.4337819752845</c:v>
                </c:pt>
                <c:pt idx="29">
                  <c:v>8513.2252743826975</c:v>
                </c:pt>
                <c:pt idx="30">
                  <c:v>7198.3511190678873</c:v>
                </c:pt>
                <c:pt idx="31">
                  <c:v>6255.3645103475201</c:v>
                </c:pt>
                <c:pt idx="32">
                  <c:v>5908.6466842432646</c:v>
                </c:pt>
                <c:pt idx="33">
                  <c:v>5857.328605970285</c:v>
                </c:pt>
                <c:pt idx="34">
                  <c:v>5541.0760511791996</c:v>
                </c:pt>
                <c:pt idx="35">
                  <c:v>5064.5051628254396</c:v>
                </c:pt>
                <c:pt idx="36">
                  <c:v>5794.7748409778078</c:v>
                </c:pt>
                <c:pt idx="37">
                  <c:v>5188.7870156844656</c:v>
                </c:pt>
                <c:pt idx="38">
                  <c:v>5303.0907379791252</c:v>
                </c:pt>
                <c:pt idx="39">
                  <c:v>6267.0470435853877</c:v>
                </c:pt>
                <c:pt idx="40">
                  <c:v>6246.9840575097705</c:v>
                </c:pt>
                <c:pt idx="41">
                  <c:v>6345.0343672568388</c:v>
                </c:pt>
                <c:pt idx="42">
                  <c:v>5451.0490840797875</c:v>
                </c:pt>
                <c:pt idx="43">
                  <c:v>4532.6318858558507</c:v>
                </c:pt>
                <c:pt idx="44">
                  <c:v>4444.0612470990955</c:v>
                </c:pt>
                <c:pt idx="45">
                  <c:v>4360.5145999693659</c:v>
                </c:pt>
                <c:pt idx="46">
                  <c:v>4319.6596469785554</c:v>
                </c:pt>
                <c:pt idx="47">
                  <c:v>4206.3882798849891</c:v>
                </c:pt>
                <c:pt idx="48">
                  <c:v>4175.2201229194925</c:v>
                </c:pt>
                <c:pt idx="49">
                  <c:v>3844.3946499194926</c:v>
                </c:pt>
                <c:pt idx="50">
                  <c:v>3513.5691769194923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B5-4049-B5FD-1ABD7946EC3E}"/>
            </c:ext>
          </c:extLst>
        </c:ser>
        <c:ser>
          <c:idx val="3"/>
          <c:order val="3"/>
          <c:tx>
            <c:strRef>
              <c:f>'3_Suavizacion'!$E$4</c:f>
              <c:strCache>
                <c:ptCount val="1"/>
                <c:pt idx="0">
                  <c:v>holt_winters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'3_Suavizacion'!$A$5:$A$55</c:f>
              <c:strCache>
                <c:ptCount val="51"/>
                <c:pt idx="0">
                  <c:v>2022-08</c:v>
                </c:pt>
                <c:pt idx="1">
                  <c:v>2022-09</c:v>
                </c:pt>
                <c:pt idx="2">
                  <c:v>2022-10</c:v>
                </c:pt>
                <c:pt idx="3">
                  <c:v>2022-11</c:v>
                </c:pt>
                <c:pt idx="4">
                  <c:v>2022-12</c:v>
                </c:pt>
                <c:pt idx="5">
                  <c:v>2023-01</c:v>
                </c:pt>
                <c:pt idx="6">
                  <c:v>2023-02</c:v>
                </c:pt>
                <c:pt idx="7">
                  <c:v>2023-03</c:v>
                </c:pt>
                <c:pt idx="8">
                  <c:v>2023-04</c:v>
                </c:pt>
                <c:pt idx="9">
                  <c:v>2023-05</c:v>
                </c:pt>
                <c:pt idx="10">
                  <c:v>2023-06</c:v>
                </c:pt>
                <c:pt idx="11">
                  <c:v>2023-07</c:v>
                </c:pt>
                <c:pt idx="12">
                  <c:v>2023-08</c:v>
                </c:pt>
                <c:pt idx="13">
                  <c:v>2023-09</c:v>
                </c:pt>
                <c:pt idx="14">
                  <c:v>2023-10</c:v>
                </c:pt>
                <c:pt idx="15">
                  <c:v>2023-11</c:v>
                </c:pt>
                <c:pt idx="16">
                  <c:v>2023-12</c:v>
                </c:pt>
                <c:pt idx="17">
                  <c:v>2024-01</c:v>
                </c:pt>
                <c:pt idx="18">
                  <c:v>2024-02</c:v>
                </c:pt>
                <c:pt idx="19">
                  <c:v>2024-03</c:v>
                </c:pt>
                <c:pt idx="20">
                  <c:v>2024-04</c:v>
                </c:pt>
                <c:pt idx="21">
                  <c:v>2024-05</c:v>
                </c:pt>
                <c:pt idx="22">
                  <c:v>2024-06</c:v>
                </c:pt>
                <c:pt idx="23">
                  <c:v>2024-07</c:v>
                </c:pt>
                <c:pt idx="24">
                  <c:v>2024-08</c:v>
                </c:pt>
                <c:pt idx="25">
                  <c:v>2024-09</c:v>
                </c:pt>
                <c:pt idx="26">
                  <c:v>2024-10</c:v>
                </c:pt>
                <c:pt idx="27">
                  <c:v>2024-11</c:v>
                </c:pt>
                <c:pt idx="28">
                  <c:v>2024-12</c:v>
                </c:pt>
                <c:pt idx="29">
                  <c:v>2025-01</c:v>
                </c:pt>
                <c:pt idx="30">
                  <c:v>2025-02</c:v>
                </c:pt>
                <c:pt idx="31">
                  <c:v>2025-03</c:v>
                </c:pt>
                <c:pt idx="32">
                  <c:v>2025-04</c:v>
                </c:pt>
                <c:pt idx="33">
                  <c:v>2025-05</c:v>
                </c:pt>
                <c:pt idx="34">
                  <c:v>2025-06</c:v>
                </c:pt>
                <c:pt idx="35">
                  <c:v>2025-07</c:v>
                </c:pt>
                <c:pt idx="36">
                  <c:v>2025-08</c:v>
                </c:pt>
                <c:pt idx="37">
                  <c:v>2025-09</c:v>
                </c:pt>
                <c:pt idx="38">
                  <c:v>2025-10</c:v>
                </c:pt>
                <c:pt idx="39">
                  <c:v>2025-11</c:v>
                </c:pt>
                <c:pt idx="40">
                  <c:v>2025-12</c:v>
                </c:pt>
                <c:pt idx="41">
                  <c:v>2026-01</c:v>
                </c:pt>
                <c:pt idx="42">
                  <c:v>2026-02</c:v>
                </c:pt>
                <c:pt idx="43">
                  <c:v>2026-03</c:v>
                </c:pt>
                <c:pt idx="44">
                  <c:v>2026-04</c:v>
                </c:pt>
                <c:pt idx="45">
                  <c:v>2026-05</c:v>
                </c:pt>
                <c:pt idx="46">
                  <c:v>2026-06</c:v>
                </c:pt>
                <c:pt idx="47">
                  <c:v>2026-07</c:v>
                </c:pt>
                <c:pt idx="48">
                  <c:v>2026-08</c:v>
                </c:pt>
                <c:pt idx="49">
                  <c:v>2026-09</c:v>
                </c:pt>
                <c:pt idx="50">
                  <c:v>2026-10</c:v>
                </c:pt>
              </c:strCache>
            </c:strRef>
          </c:cat>
          <c:val>
            <c:numRef>
              <c:f>'3_Suavizacion'!$E$5:$E$55</c:f>
              <c:numCache>
                <c:formatCode>#,##0.0</c:formatCode>
                <c:ptCount val="51"/>
                <c:pt idx="0">
                  <c:v>7482.7451539999993</c:v>
                </c:pt>
                <c:pt idx="1">
                  <c:v>8655.7814000599974</c:v>
                </c:pt>
                <c:pt idx="2">
                  <c:v>12016.538529513396</c:v>
                </c:pt>
                <c:pt idx="3">
                  <c:v>9158.4864767263243</c:v>
                </c:pt>
                <c:pt idx="4">
                  <c:v>11994.691596450695</c:v>
                </c:pt>
                <c:pt idx="5">
                  <c:v>6002.5278632381232</c:v>
                </c:pt>
                <c:pt idx="6">
                  <c:v>6006.9448087144256</c:v>
                </c:pt>
                <c:pt idx="7">
                  <c:v>7046.6503955559529</c:v>
                </c:pt>
                <c:pt idx="8">
                  <c:v>7824.4401817577682</c:v>
                </c:pt>
                <c:pt idx="9">
                  <c:v>7647.7462735218251</c:v>
                </c:pt>
                <c:pt idx="10">
                  <c:v>6602.5222923742585</c:v>
                </c:pt>
                <c:pt idx="11">
                  <c:v>10880.572263417705</c:v>
                </c:pt>
                <c:pt idx="12">
                  <c:v>8441.0310727226315</c:v>
                </c:pt>
                <c:pt idx="13">
                  <c:v>9112.2176023398388</c:v>
                </c:pt>
                <c:pt idx="14">
                  <c:v>9991.7987232752275</c:v>
                </c:pt>
                <c:pt idx="15">
                  <c:v>8110.4648620045609</c:v>
                </c:pt>
                <c:pt idx="16">
                  <c:v>12311.759873985193</c:v>
                </c:pt>
                <c:pt idx="17">
                  <c:v>6774.4745674963797</c:v>
                </c:pt>
                <c:pt idx="18">
                  <c:v>5648.3487706370488</c:v>
                </c:pt>
                <c:pt idx="19">
                  <c:v>6750.929049074668</c:v>
                </c:pt>
                <c:pt idx="20">
                  <c:v>8094.1358114976347</c:v>
                </c:pt>
                <c:pt idx="21">
                  <c:v>7190.2755227822072</c:v>
                </c:pt>
                <c:pt idx="22">
                  <c:v>6318.0115531663123</c:v>
                </c:pt>
                <c:pt idx="23">
                  <c:v>10232.868955884836</c:v>
                </c:pt>
                <c:pt idx="24">
                  <c:v>8362.7586376419222</c:v>
                </c:pt>
                <c:pt idx="25">
                  <c:v>8604.7950766607355</c:v>
                </c:pt>
                <c:pt idx="26">
                  <c:v>10121.178195655273</c:v>
                </c:pt>
                <c:pt idx="27">
                  <c:v>8001.8251990170684</c:v>
                </c:pt>
                <c:pt idx="28">
                  <c:v>11450.017099171142</c:v>
                </c:pt>
                <c:pt idx="29">
                  <c:v>5089.895739021289</c:v>
                </c:pt>
                <c:pt idx="30">
                  <c:v>5092.748137337031</c:v>
                </c:pt>
                <c:pt idx="31">
                  <c:v>6032.0191001167404</c:v>
                </c:pt>
                <c:pt idx="32">
                  <c:v>6654.260765944493</c:v>
                </c:pt>
                <c:pt idx="33">
                  <c:v>7062.1122663181013</c:v>
                </c:pt>
                <c:pt idx="34">
                  <c:v>5658.2244398972161</c:v>
                </c:pt>
                <c:pt idx="35">
                  <c:v>10242.890106456729</c:v>
                </c:pt>
                <c:pt idx="36">
                  <c:v>6418.5742846457042</c:v>
                </c:pt>
                <c:pt idx="37">
                  <c:v>6855.2701253523192</c:v>
                </c:pt>
                <c:pt idx="38">
                  <c:v>9675.0838053910993</c:v>
                </c:pt>
                <c:pt idx="39">
                  <c:v>6775.8346754117229</c:v>
                </c:pt>
                <c:pt idx="40">
                  <c:v>11308.530712398659</c:v>
                </c:pt>
                <c:pt idx="41">
                  <c:v>3699.3074994180706</c:v>
                </c:pt>
                <c:pt idx="42">
                  <c:v>3654.6933533493843</c:v>
                </c:pt>
                <c:pt idx="43">
                  <c:v>4550.6565517910012</c:v>
                </c:pt>
                <c:pt idx="44">
                  <c:v>5175.6292836737075</c:v>
                </c:pt>
                <c:pt idx="45">
                  <c:v>4835.0323010465545</c:v>
                </c:pt>
                <c:pt idx="46">
                  <c:v>3821.105282974946</c:v>
                </c:pt>
                <c:pt idx="47">
                  <c:v>8036.0053421278299</c:v>
                </c:pt>
                <c:pt idx="48">
                  <c:v>4097.8386354793984</c:v>
                </c:pt>
                <c:pt idx="49">
                  <c:v>5338.0773849679244</c:v>
                </c:pt>
                <c:pt idx="50">
                  <c:v>8211.6209294467153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CB5-4049-B5FD-1ABD7946E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majorGridlines/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O"/>
              <a:t>Real vs SES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'3_Suavizacion'!$B$4</c:f>
              <c:strCache>
                <c:ptCount val="1"/>
                <c:pt idx="0">
                  <c:v>real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'3_Suavizacion'!$A$5:$A$55</c:f>
              <c:strCache>
                <c:ptCount val="51"/>
                <c:pt idx="0">
                  <c:v>2022-08</c:v>
                </c:pt>
                <c:pt idx="1">
                  <c:v>2022-09</c:v>
                </c:pt>
                <c:pt idx="2">
                  <c:v>2022-10</c:v>
                </c:pt>
                <c:pt idx="3">
                  <c:v>2022-11</c:v>
                </c:pt>
                <c:pt idx="4">
                  <c:v>2022-12</c:v>
                </c:pt>
                <c:pt idx="5">
                  <c:v>2023-01</c:v>
                </c:pt>
                <c:pt idx="6">
                  <c:v>2023-02</c:v>
                </c:pt>
                <c:pt idx="7">
                  <c:v>2023-03</c:v>
                </c:pt>
                <c:pt idx="8">
                  <c:v>2023-04</c:v>
                </c:pt>
                <c:pt idx="9">
                  <c:v>2023-05</c:v>
                </c:pt>
                <c:pt idx="10">
                  <c:v>2023-06</c:v>
                </c:pt>
                <c:pt idx="11">
                  <c:v>2023-07</c:v>
                </c:pt>
                <c:pt idx="12">
                  <c:v>2023-08</c:v>
                </c:pt>
                <c:pt idx="13">
                  <c:v>2023-09</c:v>
                </c:pt>
                <c:pt idx="14">
                  <c:v>2023-10</c:v>
                </c:pt>
                <c:pt idx="15">
                  <c:v>2023-11</c:v>
                </c:pt>
                <c:pt idx="16">
                  <c:v>2023-12</c:v>
                </c:pt>
                <c:pt idx="17">
                  <c:v>2024-01</c:v>
                </c:pt>
                <c:pt idx="18">
                  <c:v>2024-02</c:v>
                </c:pt>
                <c:pt idx="19">
                  <c:v>2024-03</c:v>
                </c:pt>
                <c:pt idx="20">
                  <c:v>2024-04</c:v>
                </c:pt>
                <c:pt idx="21">
                  <c:v>2024-05</c:v>
                </c:pt>
                <c:pt idx="22">
                  <c:v>2024-06</c:v>
                </c:pt>
                <c:pt idx="23">
                  <c:v>2024-07</c:v>
                </c:pt>
                <c:pt idx="24">
                  <c:v>2024-08</c:v>
                </c:pt>
                <c:pt idx="25">
                  <c:v>2024-09</c:v>
                </c:pt>
                <c:pt idx="26">
                  <c:v>2024-10</c:v>
                </c:pt>
                <c:pt idx="27">
                  <c:v>2024-11</c:v>
                </c:pt>
                <c:pt idx="28">
                  <c:v>2024-12</c:v>
                </c:pt>
                <c:pt idx="29">
                  <c:v>2025-01</c:v>
                </c:pt>
                <c:pt idx="30">
                  <c:v>2025-02</c:v>
                </c:pt>
                <c:pt idx="31">
                  <c:v>2025-03</c:v>
                </c:pt>
                <c:pt idx="32">
                  <c:v>2025-04</c:v>
                </c:pt>
                <c:pt idx="33">
                  <c:v>2025-05</c:v>
                </c:pt>
                <c:pt idx="34">
                  <c:v>2025-06</c:v>
                </c:pt>
                <c:pt idx="35">
                  <c:v>2025-07</c:v>
                </c:pt>
                <c:pt idx="36">
                  <c:v>2025-08</c:v>
                </c:pt>
                <c:pt idx="37">
                  <c:v>2025-09</c:v>
                </c:pt>
                <c:pt idx="38">
                  <c:v>2025-10</c:v>
                </c:pt>
                <c:pt idx="39">
                  <c:v>2025-11</c:v>
                </c:pt>
                <c:pt idx="40">
                  <c:v>2025-12</c:v>
                </c:pt>
                <c:pt idx="41">
                  <c:v>2026-01</c:v>
                </c:pt>
                <c:pt idx="42">
                  <c:v>2026-02</c:v>
                </c:pt>
                <c:pt idx="43">
                  <c:v>2026-03</c:v>
                </c:pt>
                <c:pt idx="44">
                  <c:v>2026-04</c:v>
                </c:pt>
                <c:pt idx="45">
                  <c:v>2026-05</c:v>
                </c:pt>
                <c:pt idx="46">
                  <c:v>2026-06</c:v>
                </c:pt>
                <c:pt idx="47">
                  <c:v>2026-07</c:v>
                </c:pt>
                <c:pt idx="48">
                  <c:v>2026-08</c:v>
                </c:pt>
                <c:pt idx="49">
                  <c:v>2026-09</c:v>
                </c:pt>
                <c:pt idx="50">
                  <c:v>2026-10</c:v>
                </c:pt>
              </c:strCache>
            </c:strRef>
          </c:cat>
          <c:val>
            <c:numRef>
              <c:f>'3_Suavizacion'!$B$5:$B$55</c:f>
              <c:numCache>
                <c:formatCode>#,##0.0</c:formatCode>
                <c:ptCount val="51"/>
                <c:pt idx="0">
                  <c:v>9630.2990000000009</c:v>
                </c:pt>
                <c:pt idx="1">
                  <c:v>10251.463</c:v>
                </c:pt>
                <c:pt idx="2">
                  <c:v>9106.9060000000009</c:v>
                </c:pt>
                <c:pt idx="3">
                  <c:v>7350.8980000000001</c:v>
                </c:pt>
                <c:pt idx="4">
                  <c:v>12285.013000000001</c:v>
                </c:pt>
                <c:pt idx="5">
                  <c:v>7210.1040000000003</c:v>
                </c:pt>
                <c:pt idx="6">
                  <c:v>5576.9979999999996</c:v>
                </c:pt>
                <c:pt idx="7">
                  <c:v>6648.9430000000002</c:v>
                </c:pt>
                <c:pt idx="8">
                  <c:v>8525.2129999999997</c:v>
                </c:pt>
                <c:pt idx="9">
                  <c:v>7428.518</c:v>
                </c:pt>
                <c:pt idx="10">
                  <c:v>6618.3440000000001</c:v>
                </c:pt>
                <c:pt idx="11">
                  <c:v>10251.380999999999</c:v>
                </c:pt>
                <c:pt idx="12">
                  <c:v>8574.4220000000005</c:v>
                </c:pt>
                <c:pt idx="13">
                  <c:v>8853.1569999999992</c:v>
                </c:pt>
                <c:pt idx="14">
                  <c:v>11343.447</c:v>
                </c:pt>
                <c:pt idx="15">
                  <c:v>9180.7569999999996</c:v>
                </c:pt>
                <c:pt idx="16">
                  <c:v>12310.300999999999</c:v>
                </c:pt>
                <c:pt idx="17">
                  <c:v>4916.5020000000004</c:v>
                </c:pt>
                <c:pt idx="18">
                  <c:v>5690.96</c:v>
                </c:pt>
                <c:pt idx="19">
                  <c:v>6504.8370000000004</c:v>
                </c:pt>
                <c:pt idx="20">
                  <c:v>6356.8980000000001</c:v>
                </c:pt>
                <c:pt idx="21">
                  <c:v>7687.4089999999997</c:v>
                </c:pt>
                <c:pt idx="22">
                  <c:v>6111.2430000000004</c:v>
                </c:pt>
                <c:pt idx="23">
                  <c:v>11481.558000000001</c:v>
                </c:pt>
                <c:pt idx="24">
                  <c:v>6375.4579999999996</c:v>
                </c:pt>
                <c:pt idx="25">
                  <c:v>7003.0320000000002</c:v>
                </c:pt>
                <c:pt idx="26">
                  <c:v>10899.564</c:v>
                </c:pt>
                <c:pt idx="27">
                  <c:v>7461.0919999999996</c:v>
                </c:pt>
                <c:pt idx="28">
                  <c:v>12917.156999999999</c:v>
                </c:pt>
                <c:pt idx="29">
                  <c:v>5233.0630000000001</c:v>
                </c:pt>
                <c:pt idx="30">
                  <c:v>5157.8140000000003</c:v>
                </c:pt>
                <c:pt idx="31">
                  <c:v>6202.39</c:v>
                </c:pt>
                <c:pt idx="32">
                  <c:v>6840.3379999999997</c:v>
                </c:pt>
                <c:pt idx="33">
                  <c:v>5905.9049999999997</c:v>
                </c:pt>
                <c:pt idx="34">
                  <c:v>5055.2579999999998</c:v>
                </c:pt>
                <c:pt idx="35">
                  <c:v>8601.4889999999996</c:v>
                </c:pt>
                <c:pt idx="36">
                  <c:v>4877.567</c:v>
                </c:pt>
                <c:pt idx="37">
                  <c:v>6672.5510000000004</c:v>
                </c:pt>
                <c:pt idx="38">
                  <c:v>9619.0300000000007</c:v>
                </c:pt>
                <c:pt idx="39">
                  <c:v>7302.9219999999996</c:v>
                </c:pt>
                <c:pt idx="40">
                  <c:v>7676.57</c:v>
                </c:pt>
                <c:pt idx="41">
                  <c:v>4467.835</c:v>
                </c:pt>
                <c:pt idx="42">
                  <c:v>3492.41</c:v>
                </c:pt>
                <c:pt idx="43">
                  <c:v>5340.1480000000001</c:v>
                </c:pt>
                <c:pt idx="44">
                  <c:v>5268.3239999999996</c:v>
                </c:pt>
                <c:pt idx="45">
                  <c:v>5327.0829999999996</c:v>
                </c:pt>
                <c:pt idx="46">
                  <c:v>5044.84</c:v>
                </c:pt>
                <c:pt idx="47">
                  <c:v>5205.2460000000001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CB-524C-A7E5-895E0772B908}"/>
            </c:ext>
          </c:extLst>
        </c:ser>
        <c:ser>
          <c:idx val="1"/>
          <c:order val="1"/>
          <c:tx>
            <c:strRef>
              <c:f>'3_Suavizacion'!$C$4</c:f>
              <c:strCache>
                <c:ptCount val="1"/>
                <c:pt idx="0">
                  <c:v>ses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'3_Suavizacion'!$A$5:$A$55</c:f>
              <c:strCache>
                <c:ptCount val="51"/>
                <c:pt idx="0">
                  <c:v>2022-08</c:v>
                </c:pt>
                <c:pt idx="1">
                  <c:v>2022-09</c:v>
                </c:pt>
                <c:pt idx="2">
                  <c:v>2022-10</c:v>
                </c:pt>
                <c:pt idx="3">
                  <c:v>2022-11</c:v>
                </c:pt>
                <c:pt idx="4">
                  <c:v>2022-12</c:v>
                </c:pt>
                <c:pt idx="5">
                  <c:v>2023-01</c:v>
                </c:pt>
                <c:pt idx="6">
                  <c:v>2023-02</c:v>
                </c:pt>
                <c:pt idx="7">
                  <c:v>2023-03</c:v>
                </c:pt>
                <c:pt idx="8">
                  <c:v>2023-04</c:v>
                </c:pt>
                <c:pt idx="9">
                  <c:v>2023-05</c:v>
                </c:pt>
                <c:pt idx="10">
                  <c:v>2023-06</c:v>
                </c:pt>
                <c:pt idx="11">
                  <c:v>2023-07</c:v>
                </c:pt>
                <c:pt idx="12">
                  <c:v>2023-08</c:v>
                </c:pt>
                <c:pt idx="13">
                  <c:v>2023-09</c:v>
                </c:pt>
                <c:pt idx="14">
                  <c:v>2023-10</c:v>
                </c:pt>
                <c:pt idx="15">
                  <c:v>2023-11</c:v>
                </c:pt>
                <c:pt idx="16">
                  <c:v>2023-12</c:v>
                </c:pt>
                <c:pt idx="17">
                  <c:v>2024-01</c:v>
                </c:pt>
                <c:pt idx="18">
                  <c:v>2024-02</c:v>
                </c:pt>
                <c:pt idx="19">
                  <c:v>2024-03</c:v>
                </c:pt>
                <c:pt idx="20">
                  <c:v>2024-04</c:v>
                </c:pt>
                <c:pt idx="21">
                  <c:v>2024-05</c:v>
                </c:pt>
                <c:pt idx="22">
                  <c:v>2024-06</c:v>
                </c:pt>
                <c:pt idx="23">
                  <c:v>2024-07</c:v>
                </c:pt>
                <c:pt idx="24">
                  <c:v>2024-08</c:v>
                </c:pt>
                <c:pt idx="25">
                  <c:v>2024-09</c:v>
                </c:pt>
                <c:pt idx="26">
                  <c:v>2024-10</c:v>
                </c:pt>
                <c:pt idx="27">
                  <c:v>2024-11</c:v>
                </c:pt>
                <c:pt idx="28">
                  <c:v>2024-12</c:v>
                </c:pt>
                <c:pt idx="29">
                  <c:v>2025-01</c:v>
                </c:pt>
                <c:pt idx="30">
                  <c:v>2025-02</c:v>
                </c:pt>
                <c:pt idx="31">
                  <c:v>2025-03</c:v>
                </c:pt>
                <c:pt idx="32">
                  <c:v>2025-04</c:v>
                </c:pt>
                <c:pt idx="33">
                  <c:v>2025-05</c:v>
                </c:pt>
                <c:pt idx="34">
                  <c:v>2025-06</c:v>
                </c:pt>
                <c:pt idx="35">
                  <c:v>2025-07</c:v>
                </c:pt>
                <c:pt idx="36">
                  <c:v>2025-08</c:v>
                </c:pt>
                <c:pt idx="37">
                  <c:v>2025-09</c:v>
                </c:pt>
                <c:pt idx="38">
                  <c:v>2025-10</c:v>
                </c:pt>
                <c:pt idx="39">
                  <c:v>2025-11</c:v>
                </c:pt>
                <c:pt idx="40">
                  <c:v>2025-12</c:v>
                </c:pt>
                <c:pt idx="41">
                  <c:v>2026-01</c:v>
                </c:pt>
                <c:pt idx="42">
                  <c:v>2026-02</c:v>
                </c:pt>
                <c:pt idx="43">
                  <c:v>2026-03</c:v>
                </c:pt>
                <c:pt idx="44">
                  <c:v>2026-04</c:v>
                </c:pt>
                <c:pt idx="45">
                  <c:v>2026-05</c:v>
                </c:pt>
                <c:pt idx="46">
                  <c:v>2026-06</c:v>
                </c:pt>
                <c:pt idx="47">
                  <c:v>2026-07</c:v>
                </c:pt>
                <c:pt idx="48">
                  <c:v>2026-08</c:v>
                </c:pt>
                <c:pt idx="49">
                  <c:v>2026-09</c:v>
                </c:pt>
                <c:pt idx="50">
                  <c:v>2026-10</c:v>
                </c:pt>
              </c:strCache>
            </c:strRef>
          </c:cat>
          <c:val>
            <c:numRef>
              <c:f>'3_Suavizacion'!$C$5:$C$55</c:f>
              <c:numCache>
                <c:formatCode>#,##0.0</c:formatCode>
                <c:ptCount val="51"/>
                <c:pt idx="0">
                  <c:v>10220.9756</c:v>
                </c:pt>
                <c:pt idx="1">
                  <c:v>9925.6373000000003</c:v>
                </c:pt>
                <c:pt idx="2">
                  <c:v>10088.550149999999</c:v>
                </c:pt>
                <c:pt idx="3">
                  <c:v>9597.7280749999991</c:v>
                </c:pt>
                <c:pt idx="4">
                  <c:v>8474.3130375000001</c:v>
                </c:pt>
                <c:pt idx="5">
                  <c:v>10379.663018750001</c:v>
                </c:pt>
                <c:pt idx="6">
                  <c:v>8794.8835093750004</c:v>
                </c:pt>
                <c:pt idx="7">
                  <c:v>7185.9407546875</c:v>
                </c:pt>
                <c:pt idx="8">
                  <c:v>6917.4418773437501</c:v>
                </c:pt>
                <c:pt idx="9">
                  <c:v>7721.3274386718749</c:v>
                </c:pt>
                <c:pt idx="10">
                  <c:v>7574.9227193359375</c:v>
                </c:pt>
                <c:pt idx="11">
                  <c:v>7096.6333596679688</c:v>
                </c:pt>
                <c:pt idx="12">
                  <c:v>8674.007179833985</c:v>
                </c:pt>
                <c:pt idx="13">
                  <c:v>8624.2145899169918</c:v>
                </c:pt>
                <c:pt idx="14">
                  <c:v>8738.6857949584955</c:v>
                </c:pt>
                <c:pt idx="15">
                  <c:v>10041.066397479248</c:v>
                </c:pt>
                <c:pt idx="16">
                  <c:v>9610.9116987396228</c:v>
                </c:pt>
                <c:pt idx="17">
                  <c:v>10960.606349369811</c:v>
                </c:pt>
                <c:pt idx="18">
                  <c:v>7938.5541746849058</c:v>
                </c:pt>
                <c:pt idx="19">
                  <c:v>6814.7570873424529</c:v>
                </c:pt>
                <c:pt idx="20">
                  <c:v>6659.7970436712267</c:v>
                </c:pt>
                <c:pt idx="21">
                  <c:v>6508.3475218356134</c:v>
                </c:pt>
                <c:pt idx="22">
                  <c:v>7097.878260917807</c:v>
                </c:pt>
                <c:pt idx="23">
                  <c:v>6604.5606304589037</c:v>
                </c:pt>
                <c:pt idx="24">
                  <c:v>9043.0593152294532</c:v>
                </c:pt>
                <c:pt idx="25">
                  <c:v>7709.258657614726</c:v>
                </c:pt>
                <c:pt idx="26">
                  <c:v>7356.1453288073626</c:v>
                </c:pt>
                <c:pt idx="27">
                  <c:v>9127.8546644036815</c:v>
                </c:pt>
                <c:pt idx="28">
                  <c:v>8294.4733322018401</c:v>
                </c:pt>
                <c:pt idx="29">
                  <c:v>10605.81516610092</c:v>
                </c:pt>
                <c:pt idx="30">
                  <c:v>7919.4390830504599</c:v>
                </c:pt>
                <c:pt idx="31">
                  <c:v>6538.6265415252301</c:v>
                </c:pt>
                <c:pt idx="32">
                  <c:v>6370.5082707626152</c:v>
                </c:pt>
                <c:pt idx="33">
                  <c:v>6605.4231353813075</c:v>
                </c:pt>
                <c:pt idx="34">
                  <c:v>6255.6640676906536</c:v>
                </c:pt>
                <c:pt idx="35">
                  <c:v>5655.4610338453267</c:v>
                </c:pt>
                <c:pt idx="36">
                  <c:v>7128.4750169226627</c:v>
                </c:pt>
                <c:pt idx="37">
                  <c:v>6003.0210084613318</c:v>
                </c:pt>
                <c:pt idx="38">
                  <c:v>6337.7860042306656</c:v>
                </c:pt>
                <c:pt idx="39">
                  <c:v>7978.4080021153331</c:v>
                </c:pt>
                <c:pt idx="40">
                  <c:v>7640.6650010576668</c:v>
                </c:pt>
                <c:pt idx="41">
                  <c:v>7658.6175005288333</c:v>
                </c:pt>
                <c:pt idx="42">
                  <c:v>6063.2262502644171</c:v>
                </c:pt>
                <c:pt idx="43">
                  <c:v>4777.8181251322085</c:v>
                </c:pt>
                <c:pt idx="44">
                  <c:v>5058.9830625661043</c:v>
                </c:pt>
                <c:pt idx="45">
                  <c:v>5163.653531283052</c:v>
                </c:pt>
                <c:pt idx="46">
                  <c:v>5245.3682656415258</c:v>
                </c:pt>
                <c:pt idx="47">
                  <c:v>5145.104132820763</c:v>
                </c:pt>
                <c:pt idx="48">
                  <c:v>5175.175066410382</c:v>
                </c:pt>
                <c:pt idx="49">
                  <c:v>5175.175066410382</c:v>
                </c:pt>
                <c:pt idx="50">
                  <c:v>5175.175066410382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CB-524C-A7E5-895E0772B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Valor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O"/>
              <a:t>Real vs Holt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'3_Suavizacion'!$B$4</c:f>
              <c:strCache>
                <c:ptCount val="1"/>
                <c:pt idx="0">
                  <c:v>real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'3_Suavizacion'!$A$5:$A$55</c:f>
              <c:strCache>
                <c:ptCount val="51"/>
                <c:pt idx="0">
                  <c:v>2022-08</c:v>
                </c:pt>
                <c:pt idx="1">
                  <c:v>2022-09</c:v>
                </c:pt>
                <c:pt idx="2">
                  <c:v>2022-10</c:v>
                </c:pt>
                <c:pt idx="3">
                  <c:v>2022-11</c:v>
                </c:pt>
                <c:pt idx="4">
                  <c:v>2022-12</c:v>
                </c:pt>
                <c:pt idx="5">
                  <c:v>2023-01</c:v>
                </c:pt>
                <c:pt idx="6">
                  <c:v>2023-02</c:v>
                </c:pt>
                <c:pt idx="7">
                  <c:v>2023-03</c:v>
                </c:pt>
                <c:pt idx="8">
                  <c:v>2023-04</c:v>
                </c:pt>
                <c:pt idx="9">
                  <c:v>2023-05</c:v>
                </c:pt>
                <c:pt idx="10">
                  <c:v>2023-06</c:v>
                </c:pt>
                <c:pt idx="11">
                  <c:v>2023-07</c:v>
                </c:pt>
                <c:pt idx="12">
                  <c:v>2023-08</c:v>
                </c:pt>
                <c:pt idx="13">
                  <c:v>2023-09</c:v>
                </c:pt>
                <c:pt idx="14">
                  <c:v>2023-10</c:v>
                </c:pt>
                <c:pt idx="15">
                  <c:v>2023-11</c:v>
                </c:pt>
                <c:pt idx="16">
                  <c:v>2023-12</c:v>
                </c:pt>
                <c:pt idx="17">
                  <c:v>2024-01</c:v>
                </c:pt>
                <c:pt idx="18">
                  <c:v>2024-02</c:v>
                </c:pt>
                <c:pt idx="19">
                  <c:v>2024-03</c:v>
                </c:pt>
                <c:pt idx="20">
                  <c:v>2024-04</c:v>
                </c:pt>
                <c:pt idx="21">
                  <c:v>2024-05</c:v>
                </c:pt>
                <c:pt idx="22">
                  <c:v>2024-06</c:v>
                </c:pt>
                <c:pt idx="23">
                  <c:v>2024-07</c:v>
                </c:pt>
                <c:pt idx="24">
                  <c:v>2024-08</c:v>
                </c:pt>
                <c:pt idx="25">
                  <c:v>2024-09</c:v>
                </c:pt>
                <c:pt idx="26">
                  <c:v>2024-10</c:v>
                </c:pt>
                <c:pt idx="27">
                  <c:v>2024-11</c:v>
                </c:pt>
                <c:pt idx="28">
                  <c:v>2024-12</c:v>
                </c:pt>
                <c:pt idx="29">
                  <c:v>2025-01</c:v>
                </c:pt>
                <c:pt idx="30">
                  <c:v>2025-02</c:v>
                </c:pt>
                <c:pt idx="31">
                  <c:v>2025-03</c:v>
                </c:pt>
                <c:pt idx="32">
                  <c:v>2025-04</c:v>
                </c:pt>
                <c:pt idx="33">
                  <c:v>2025-05</c:v>
                </c:pt>
                <c:pt idx="34">
                  <c:v>2025-06</c:v>
                </c:pt>
                <c:pt idx="35">
                  <c:v>2025-07</c:v>
                </c:pt>
                <c:pt idx="36">
                  <c:v>2025-08</c:v>
                </c:pt>
                <c:pt idx="37">
                  <c:v>2025-09</c:v>
                </c:pt>
                <c:pt idx="38">
                  <c:v>2025-10</c:v>
                </c:pt>
                <c:pt idx="39">
                  <c:v>2025-11</c:v>
                </c:pt>
                <c:pt idx="40">
                  <c:v>2025-12</c:v>
                </c:pt>
                <c:pt idx="41">
                  <c:v>2026-01</c:v>
                </c:pt>
                <c:pt idx="42">
                  <c:v>2026-02</c:v>
                </c:pt>
                <c:pt idx="43">
                  <c:v>2026-03</c:v>
                </c:pt>
                <c:pt idx="44">
                  <c:v>2026-04</c:v>
                </c:pt>
                <c:pt idx="45">
                  <c:v>2026-05</c:v>
                </c:pt>
                <c:pt idx="46">
                  <c:v>2026-06</c:v>
                </c:pt>
                <c:pt idx="47">
                  <c:v>2026-07</c:v>
                </c:pt>
                <c:pt idx="48">
                  <c:v>2026-08</c:v>
                </c:pt>
                <c:pt idx="49">
                  <c:v>2026-09</c:v>
                </c:pt>
                <c:pt idx="50">
                  <c:v>2026-10</c:v>
                </c:pt>
              </c:strCache>
            </c:strRef>
          </c:cat>
          <c:val>
            <c:numRef>
              <c:f>'3_Suavizacion'!$B$5:$B$55</c:f>
              <c:numCache>
                <c:formatCode>#,##0.0</c:formatCode>
                <c:ptCount val="51"/>
                <c:pt idx="0">
                  <c:v>9630.2990000000009</c:v>
                </c:pt>
                <c:pt idx="1">
                  <c:v>10251.463</c:v>
                </c:pt>
                <c:pt idx="2">
                  <c:v>9106.9060000000009</c:v>
                </c:pt>
                <c:pt idx="3">
                  <c:v>7350.8980000000001</c:v>
                </c:pt>
                <c:pt idx="4">
                  <c:v>12285.013000000001</c:v>
                </c:pt>
                <c:pt idx="5">
                  <c:v>7210.1040000000003</c:v>
                </c:pt>
                <c:pt idx="6">
                  <c:v>5576.9979999999996</c:v>
                </c:pt>
                <c:pt idx="7">
                  <c:v>6648.9430000000002</c:v>
                </c:pt>
                <c:pt idx="8">
                  <c:v>8525.2129999999997</c:v>
                </c:pt>
                <c:pt idx="9">
                  <c:v>7428.518</c:v>
                </c:pt>
                <c:pt idx="10">
                  <c:v>6618.3440000000001</c:v>
                </c:pt>
                <c:pt idx="11">
                  <c:v>10251.380999999999</c:v>
                </c:pt>
                <c:pt idx="12">
                  <c:v>8574.4220000000005</c:v>
                </c:pt>
                <c:pt idx="13">
                  <c:v>8853.1569999999992</c:v>
                </c:pt>
                <c:pt idx="14">
                  <c:v>11343.447</c:v>
                </c:pt>
                <c:pt idx="15">
                  <c:v>9180.7569999999996</c:v>
                </c:pt>
                <c:pt idx="16">
                  <c:v>12310.300999999999</c:v>
                </c:pt>
                <c:pt idx="17">
                  <c:v>4916.5020000000004</c:v>
                </c:pt>
                <c:pt idx="18">
                  <c:v>5690.96</c:v>
                </c:pt>
                <c:pt idx="19">
                  <c:v>6504.8370000000004</c:v>
                </c:pt>
                <c:pt idx="20">
                  <c:v>6356.8980000000001</c:v>
                </c:pt>
                <c:pt idx="21">
                  <c:v>7687.4089999999997</c:v>
                </c:pt>
                <c:pt idx="22">
                  <c:v>6111.2430000000004</c:v>
                </c:pt>
                <c:pt idx="23">
                  <c:v>11481.558000000001</c:v>
                </c:pt>
                <c:pt idx="24">
                  <c:v>6375.4579999999996</c:v>
                </c:pt>
                <c:pt idx="25">
                  <c:v>7003.0320000000002</c:v>
                </c:pt>
                <c:pt idx="26">
                  <c:v>10899.564</c:v>
                </c:pt>
                <c:pt idx="27">
                  <c:v>7461.0919999999996</c:v>
                </c:pt>
                <c:pt idx="28">
                  <c:v>12917.156999999999</c:v>
                </c:pt>
                <c:pt idx="29">
                  <c:v>5233.0630000000001</c:v>
                </c:pt>
                <c:pt idx="30">
                  <c:v>5157.8140000000003</c:v>
                </c:pt>
                <c:pt idx="31">
                  <c:v>6202.39</c:v>
                </c:pt>
                <c:pt idx="32">
                  <c:v>6840.3379999999997</c:v>
                </c:pt>
                <c:pt idx="33">
                  <c:v>5905.9049999999997</c:v>
                </c:pt>
                <c:pt idx="34">
                  <c:v>5055.2579999999998</c:v>
                </c:pt>
                <c:pt idx="35">
                  <c:v>8601.4889999999996</c:v>
                </c:pt>
                <c:pt idx="36">
                  <c:v>4877.567</c:v>
                </c:pt>
                <c:pt idx="37">
                  <c:v>6672.5510000000004</c:v>
                </c:pt>
                <c:pt idx="38">
                  <c:v>9619.0300000000007</c:v>
                </c:pt>
                <c:pt idx="39">
                  <c:v>7302.9219999999996</c:v>
                </c:pt>
                <c:pt idx="40">
                  <c:v>7676.57</c:v>
                </c:pt>
                <c:pt idx="41">
                  <c:v>4467.835</c:v>
                </c:pt>
                <c:pt idx="42">
                  <c:v>3492.41</c:v>
                </c:pt>
                <c:pt idx="43">
                  <c:v>5340.1480000000001</c:v>
                </c:pt>
                <c:pt idx="44">
                  <c:v>5268.3239999999996</c:v>
                </c:pt>
                <c:pt idx="45">
                  <c:v>5327.0829999999996</c:v>
                </c:pt>
                <c:pt idx="46">
                  <c:v>5044.84</c:v>
                </c:pt>
                <c:pt idx="47">
                  <c:v>5205.2460000000001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25-2644-A4D9-4A6317D5356F}"/>
            </c:ext>
          </c:extLst>
        </c:ser>
        <c:ser>
          <c:idx val="1"/>
          <c:order val="1"/>
          <c:tx>
            <c:strRef>
              <c:f>'3_Suavizacion'!$D$4</c:f>
              <c:strCache>
                <c:ptCount val="1"/>
                <c:pt idx="0">
                  <c:v>holt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'3_Suavizacion'!$A$5:$A$55</c:f>
              <c:strCache>
                <c:ptCount val="51"/>
                <c:pt idx="0">
                  <c:v>2022-08</c:v>
                </c:pt>
                <c:pt idx="1">
                  <c:v>2022-09</c:v>
                </c:pt>
                <c:pt idx="2">
                  <c:v>2022-10</c:v>
                </c:pt>
                <c:pt idx="3">
                  <c:v>2022-11</c:v>
                </c:pt>
                <c:pt idx="4">
                  <c:v>2022-12</c:v>
                </c:pt>
                <c:pt idx="5">
                  <c:v>2023-01</c:v>
                </c:pt>
                <c:pt idx="6">
                  <c:v>2023-02</c:v>
                </c:pt>
                <c:pt idx="7">
                  <c:v>2023-03</c:v>
                </c:pt>
                <c:pt idx="8">
                  <c:v>2023-04</c:v>
                </c:pt>
                <c:pt idx="9">
                  <c:v>2023-05</c:v>
                </c:pt>
                <c:pt idx="10">
                  <c:v>2023-06</c:v>
                </c:pt>
                <c:pt idx="11">
                  <c:v>2023-07</c:v>
                </c:pt>
                <c:pt idx="12">
                  <c:v>2023-08</c:v>
                </c:pt>
                <c:pt idx="13">
                  <c:v>2023-09</c:v>
                </c:pt>
                <c:pt idx="14">
                  <c:v>2023-10</c:v>
                </c:pt>
                <c:pt idx="15">
                  <c:v>2023-11</c:v>
                </c:pt>
                <c:pt idx="16">
                  <c:v>2023-12</c:v>
                </c:pt>
                <c:pt idx="17">
                  <c:v>2024-01</c:v>
                </c:pt>
                <c:pt idx="18">
                  <c:v>2024-02</c:v>
                </c:pt>
                <c:pt idx="19">
                  <c:v>2024-03</c:v>
                </c:pt>
                <c:pt idx="20">
                  <c:v>2024-04</c:v>
                </c:pt>
                <c:pt idx="21">
                  <c:v>2024-05</c:v>
                </c:pt>
                <c:pt idx="22">
                  <c:v>2024-06</c:v>
                </c:pt>
                <c:pt idx="23">
                  <c:v>2024-07</c:v>
                </c:pt>
                <c:pt idx="24">
                  <c:v>2024-08</c:v>
                </c:pt>
                <c:pt idx="25">
                  <c:v>2024-09</c:v>
                </c:pt>
                <c:pt idx="26">
                  <c:v>2024-10</c:v>
                </c:pt>
                <c:pt idx="27">
                  <c:v>2024-11</c:v>
                </c:pt>
                <c:pt idx="28">
                  <c:v>2024-12</c:v>
                </c:pt>
                <c:pt idx="29">
                  <c:v>2025-01</c:v>
                </c:pt>
                <c:pt idx="30">
                  <c:v>2025-02</c:v>
                </c:pt>
                <c:pt idx="31">
                  <c:v>2025-03</c:v>
                </c:pt>
                <c:pt idx="32">
                  <c:v>2025-04</c:v>
                </c:pt>
                <c:pt idx="33">
                  <c:v>2025-05</c:v>
                </c:pt>
                <c:pt idx="34">
                  <c:v>2025-06</c:v>
                </c:pt>
                <c:pt idx="35">
                  <c:v>2025-07</c:v>
                </c:pt>
                <c:pt idx="36">
                  <c:v>2025-08</c:v>
                </c:pt>
                <c:pt idx="37">
                  <c:v>2025-09</c:v>
                </c:pt>
                <c:pt idx="38">
                  <c:v>2025-10</c:v>
                </c:pt>
                <c:pt idx="39">
                  <c:v>2025-11</c:v>
                </c:pt>
                <c:pt idx="40">
                  <c:v>2025-12</c:v>
                </c:pt>
                <c:pt idx="41">
                  <c:v>2026-01</c:v>
                </c:pt>
                <c:pt idx="42">
                  <c:v>2026-02</c:v>
                </c:pt>
                <c:pt idx="43">
                  <c:v>2026-03</c:v>
                </c:pt>
                <c:pt idx="44">
                  <c:v>2026-04</c:v>
                </c:pt>
                <c:pt idx="45">
                  <c:v>2026-05</c:v>
                </c:pt>
                <c:pt idx="46">
                  <c:v>2026-06</c:v>
                </c:pt>
                <c:pt idx="47">
                  <c:v>2026-07</c:v>
                </c:pt>
                <c:pt idx="48">
                  <c:v>2026-08</c:v>
                </c:pt>
                <c:pt idx="49">
                  <c:v>2026-09</c:v>
                </c:pt>
                <c:pt idx="50">
                  <c:v>2026-10</c:v>
                </c:pt>
              </c:strCache>
            </c:strRef>
          </c:cat>
          <c:val>
            <c:numRef>
              <c:f>'3_Suavizacion'!$D$5:$D$55</c:f>
              <c:numCache>
                <c:formatCode>#,##0.0</c:formatCode>
                <c:ptCount val="51"/>
                <c:pt idx="0">
                  <c:v>9890.150126999999</c:v>
                </c:pt>
                <c:pt idx="1">
                  <c:v>9481.3693158999977</c:v>
                </c:pt>
                <c:pt idx="2">
                  <c:v>9381.5719481299966</c:v>
                </c:pt>
                <c:pt idx="3">
                  <c:v>8968.3466906909962</c:v>
                </c:pt>
                <c:pt idx="4">
                  <c:v>8152.2866104836985</c:v>
                </c:pt>
                <c:pt idx="5">
                  <c:v>9061.2790543385872</c:v>
                </c:pt>
                <c:pt idx="6">
                  <c:v>8175.1010650370108</c:v>
                </c:pt>
                <c:pt idx="7">
                  <c:v>7064.8446725259073</c:v>
                </c:pt>
                <c:pt idx="8">
                  <c:v>6609.2486977681347</c:v>
                </c:pt>
                <c:pt idx="9">
                  <c:v>6853.2125154376945</c:v>
                </c:pt>
                <c:pt idx="10">
                  <c:v>6694.9786878063851</c:v>
                </c:pt>
                <c:pt idx="11">
                  <c:v>6341.1628084644699</c:v>
                </c:pt>
                <c:pt idx="12">
                  <c:v>7183.4027929251288</c:v>
                </c:pt>
                <c:pt idx="13">
                  <c:v>7269.8830820475896</c:v>
                </c:pt>
                <c:pt idx="14">
                  <c:v>7414.039784433312</c:v>
                </c:pt>
                <c:pt idx="15">
                  <c:v>8262.0364761033161</c:v>
                </c:pt>
                <c:pt idx="16">
                  <c:v>8206.8271602723198</c:v>
                </c:pt>
                <c:pt idx="17">
                  <c:v>9107.0438391906227</c:v>
                </c:pt>
                <c:pt idx="18">
                  <c:v>7519.0558144334354</c:v>
                </c:pt>
                <c:pt idx="19">
                  <c:v>6639.8015971034047</c:v>
                </c:pt>
                <c:pt idx="20">
                  <c:v>6268.4867449723833</c:v>
                </c:pt>
                <c:pt idx="21">
                  <c:v>5964.1846484806674</c:v>
                </c:pt>
                <c:pt idx="22">
                  <c:v>6150.3264809364673</c:v>
                </c:pt>
                <c:pt idx="23">
                  <c:v>5807.7759636555274</c:v>
                </c:pt>
                <c:pt idx="24">
                  <c:v>7179.0851015588696</c:v>
                </c:pt>
                <c:pt idx="25">
                  <c:v>6607.1714980912084</c:v>
                </c:pt>
                <c:pt idx="26">
                  <c:v>6395.104175663846</c:v>
                </c:pt>
                <c:pt idx="27">
                  <c:v>7415.6166499646924</c:v>
                </c:pt>
                <c:pt idx="28">
                  <c:v>7098.4337819752845</c:v>
                </c:pt>
                <c:pt idx="29">
                  <c:v>8513.2252743826975</c:v>
                </c:pt>
                <c:pt idx="30">
                  <c:v>7198.3511190678873</c:v>
                </c:pt>
                <c:pt idx="31">
                  <c:v>6255.3645103475201</c:v>
                </c:pt>
                <c:pt idx="32">
                  <c:v>5908.6466842432646</c:v>
                </c:pt>
                <c:pt idx="33">
                  <c:v>5857.328605970285</c:v>
                </c:pt>
                <c:pt idx="34">
                  <c:v>5541.0760511791996</c:v>
                </c:pt>
                <c:pt idx="35">
                  <c:v>5064.5051628254396</c:v>
                </c:pt>
                <c:pt idx="36">
                  <c:v>5794.7748409778078</c:v>
                </c:pt>
                <c:pt idx="37">
                  <c:v>5188.7870156844656</c:v>
                </c:pt>
                <c:pt idx="38">
                  <c:v>5303.0907379791252</c:v>
                </c:pt>
                <c:pt idx="39">
                  <c:v>6267.0470435853877</c:v>
                </c:pt>
                <c:pt idx="40">
                  <c:v>6246.9840575097705</c:v>
                </c:pt>
                <c:pt idx="41">
                  <c:v>6345.0343672568388</c:v>
                </c:pt>
                <c:pt idx="42">
                  <c:v>5451.0490840797875</c:v>
                </c:pt>
                <c:pt idx="43">
                  <c:v>4532.6318858558507</c:v>
                </c:pt>
                <c:pt idx="44">
                  <c:v>4444.0612470990955</c:v>
                </c:pt>
                <c:pt idx="45">
                  <c:v>4360.5145999693659</c:v>
                </c:pt>
                <c:pt idx="46">
                  <c:v>4319.6596469785554</c:v>
                </c:pt>
                <c:pt idx="47">
                  <c:v>4206.3882798849891</c:v>
                </c:pt>
                <c:pt idx="48">
                  <c:v>4175.2201229194925</c:v>
                </c:pt>
                <c:pt idx="49">
                  <c:v>3844.3946499194926</c:v>
                </c:pt>
                <c:pt idx="50">
                  <c:v>3513.5691769194923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25-2644-A4D9-4A6317D53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Valor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O"/>
              <a:t>Real vs Holt-Winters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'3_Suavizacion'!$B$4</c:f>
              <c:strCache>
                <c:ptCount val="1"/>
                <c:pt idx="0">
                  <c:v>real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'3_Suavizacion'!$A$5:$A$55</c:f>
              <c:strCache>
                <c:ptCount val="51"/>
                <c:pt idx="0">
                  <c:v>2022-08</c:v>
                </c:pt>
                <c:pt idx="1">
                  <c:v>2022-09</c:v>
                </c:pt>
                <c:pt idx="2">
                  <c:v>2022-10</c:v>
                </c:pt>
                <c:pt idx="3">
                  <c:v>2022-11</c:v>
                </c:pt>
                <c:pt idx="4">
                  <c:v>2022-12</c:v>
                </c:pt>
                <c:pt idx="5">
                  <c:v>2023-01</c:v>
                </c:pt>
                <c:pt idx="6">
                  <c:v>2023-02</c:v>
                </c:pt>
                <c:pt idx="7">
                  <c:v>2023-03</c:v>
                </c:pt>
                <c:pt idx="8">
                  <c:v>2023-04</c:v>
                </c:pt>
                <c:pt idx="9">
                  <c:v>2023-05</c:v>
                </c:pt>
                <c:pt idx="10">
                  <c:v>2023-06</c:v>
                </c:pt>
                <c:pt idx="11">
                  <c:v>2023-07</c:v>
                </c:pt>
                <c:pt idx="12">
                  <c:v>2023-08</c:v>
                </c:pt>
                <c:pt idx="13">
                  <c:v>2023-09</c:v>
                </c:pt>
                <c:pt idx="14">
                  <c:v>2023-10</c:v>
                </c:pt>
                <c:pt idx="15">
                  <c:v>2023-11</c:v>
                </c:pt>
                <c:pt idx="16">
                  <c:v>2023-12</c:v>
                </c:pt>
                <c:pt idx="17">
                  <c:v>2024-01</c:v>
                </c:pt>
                <c:pt idx="18">
                  <c:v>2024-02</c:v>
                </c:pt>
                <c:pt idx="19">
                  <c:v>2024-03</c:v>
                </c:pt>
                <c:pt idx="20">
                  <c:v>2024-04</c:v>
                </c:pt>
                <c:pt idx="21">
                  <c:v>2024-05</c:v>
                </c:pt>
                <c:pt idx="22">
                  <c:v>2024-06</c:v>
                </c:pt>
                <c:pt idx="23">
                  <c:v>2024-07</c:v>
                </c:pt>
                <c:pt idx="24">
                  <c:v>2024-08</c:v>
                </c:pt>
                <c:pt idx="25">
                  <c:v>2024-09</c:v>
                </c:pt>
                <c:pt idx="26">
                  <c:v>2024-10</c:v>
                </c:pt>
                <c:pt idx="27">
                  <c:v>2024-11</c:v>
                </c:pt>
                <c:pt idx="28">
                  <c:v>2024-12</c:v>
                </c:pt>
                <c:pt idx="29">
                  <c:v>2025-01</c:v>
                </c:pt>
                <c:pt idx="30">
                  <c:v>2025-02</c:v>
                </c:pt>
                <c:pt idx="31">
                  <c:v>2025-03</c:v>
                </c:pt>
                <c:pt idx="32">
                  <c:v>2025-04</c:v>
                </c:pt>
                <c:pt idx="33">
                  <c:v>2025-05</c:v>
                </c:pt>
                <c:pt idx="34">
                  <c:v>2025-06</c:v>
                </c:pt>
                <c:pt idx="35">
                  <c:v>2025-07</c:v>
                </c:pt>
                <c:pt idx="36">
                  <c:v>2025-08</c:v>
                </c:pt>
                <c:pt idx="37">
                  <c:v>2025-09</c:v>
                </c:pt>
                <c:pt idx="38">
                  <c:v>2025-10</c:v>
                </c:pt>
                <c:pt idx="39">
                  <c:v>2025-11</c:v>
                </c:pt>
                <c:pt idx="40">
                  <c:v>2025-12</c:v>
                </c:pt>
                <c:pt idx="41">
                  <c:v>2026-01</c:v>
                </c:pt>
                <c:pt idx="42">
                  <c:v>2026-02</c:v>
                </c:pt>
                <c:pt idx="43">
                  <c:v>2026-03</c:v>
                </c:pt>
                <c:pt idx="44">
                  <c:v>2026-04</c:v>
                </c:pt>
                <c:pt idx="45">
                  <c:v>2026-05</c:v>
                </c:pt>
                <c:pt idx="46">
                  <c:v>2026-06</c:v>
                </c:pt>
                <c:pt idx="47">
                  <c:v>2026-07</c:v>
                </c:pt>
                <c:pt idx="48">
                  <c:v>2026-08</c:v>
                </c:pt>
                <c:pt idx="49">
                  <c:v>2026-09</c:v>
                </c:pt>
                <c:pt idx="50">
                  <c:v>2026-10</c:v>
                </c:pt>
              </c:strCache>
            </c:strRef>
          </c:cat>
          <c:val>
            <c:numRef>
              <c:f>'3_Suavizacion'!$B$5:$B$55</c:f>
              <c:numCache>
                <c:formatCode>#,##0.0</c:formatCode>
                <c:ptCount val="51"/>
                <c:pt idx="0">
                  <c:v>9630.2990000000009</c:v>
                </c:pt>
                <c:pt idx="1">
                  <c:v>10251.463</c:v>
                </c:pt>
                <c:pt idx="2">
                  <c:v>9106.9060000000009</c:v>
                </c:pt>
                <c:pt idx="3">
                  <c:v>7350.8980000000001</c:v>
                </c:pt>
                <c:pt idx="4">
                  <c:v>12285.013000000001</c:v>
                </c:pt>
                <c:pt idx="5">
                  <c:v>7210.1040000000003</c:v>
                </c:pt>
                <c:pt idx="6">
                  <c:v>5576.9979999999996</c:v>
                </c:pt>
                <c:pt idx="7">
                  <c:v>6648.9430000000002</c:v>
                </c:pt>
                <c:pt idx="8">
                  <c:v>8525.2129999999997</c:v>
                </c:pt>
                <c:pt idx="9">
                  <c:v>7428.518</c:v>
                </c:pt>
                <c:pt idx="10">
                  <c:v>6618.3440000000001</c:v>
                </c:pt>
                <c:pt idx="11">
                  <c:v>10251.380999999999</c:v>
                </c:pt>
                <c:pt idx="12">
                  <c:v>8574.4220000000005</c:v>
                </c:pt>
                <c:pt idx="13">
                  <c:v>8853.1569999999992</c:v>
                </c:pt>
                <c:pt idx="14">
                  <c:v>11343.447</c:v>
                </c:pt>
                <c:pt idx="15">
                  <c:v>9180.7569999999996</c:v>
                </c:pt>
                <c:pt idx="16">
                  <c:v>12310.300999999999</c:v>
                </c:pt>
                <c:pt idx="17">
                  <c:v>4916.5020000000004</c:v>
                </c:pt>
                <c:pt idx="18">
                  <c:v>5690.96</c:v>
                </c:pt>
                <c:pt idx="19">
                  <c:v>6504.8370000000004</c:v>
                </c:pt>
                <c:pt idx="20">
                  <c:v>6356.8980000000001</c:v>
                </c:pt>
                <c:pt idx="21">
                  <c:v>7687.4089999999997</c:v>
                </c:pt>
                <c:pt idx="22">
                  <c:v>6111.2430000000004</c:v>
                </c:pt>
                <c:pt idx="23">
                  <c:v>11481.558000000001</c:v>
                </c:pt>
                <c:pt idx="24">
                  <c:v>6375.4579999999996</c:v>
                </c:pt>
                <c:pt idx="25">
                  <c:v>7003.0320000000002</c:v>
                </c:pt>
                <c:pt idx="26">
                  <c:v>10899.564</c:v>
                </c:pt>
                <c:pt idx="27">
                  <c:v>7461.0919999999996</c:v>
                </c:pt>
                <c:pt idx="28">
                  <c:v>12917.156999999999</c:v>
                </c:pt>
                <c:pt idx="29">
                  <c:v>5233.0630000000001</c:v>
                </c:pt>
                <c:pt idx="30">
                  <c:v>5157.8140000000003</c:v>
                </c:pt>
                <c:pt idx="31">
                  <c:v>6202.39</c:v>
                </c:pt>
                <c:pt idx="32">
                  <c:v>6840.3379999999997</c:v>
                </c:pt>
                <c:pt idx="33">
                  <c:v>5905.9049999999997</c:v>
                </c:pt>
                <c:pt idx="34">
                  <c:v>5055.2579999999998</c:v>
                </c:pt>
                <c:pt idx="35">
                  <c:v>8601.4889999999996</c:v>
                </c:pt>
                <c:pt idx="36">
                  <c:v>4877.567</c:v>
                </c:pt>
                <c:pt idx="37">
                  <c:v>6672.5510000000004</c:v>
                </c:pt>
                <c:pt idx="38">
                  <c:v>9619.0300000000007</c:v>
                </c:pt>
                <c:pt idx="39">
                  <c:v>7302.9219999999996</c:v>
                </c:pt>
                <c:pt idx="40">
                  <c:v>7676.57</c:v>
                </c:pt>
                <c:pt idx="41">
                  <c:v>4467.835</c:v>
                </c:pt>
                <c:pt idx="42">
                  <c:v>3492.41</c:v>
                </c:pt>
                <c:pt idx="43">
                  <c:v>5340.1480000000001</c:v>
                </c:pt>
                <c:pt idx="44">
                  <c:v>5268.3239999999996</c:v>
                </c:pt>
                <c:pt idx="45">
                  <c:v>5327.0829999999996</c:v>
                </c:pt>
                <c:pt idx="46">
                  <c:v>5044.84</c:v>
                </c:pt>
                <c:pt idx="47">
                  <c:v>5205.2460000000001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D2-4A4D-A8FA-B4CF37388AD6}"/>
            </c:ext>
          </c:extLst>
        </c:ser>
        <c:ser>
          <c:idx val="1"/>
          <c:order val="1"/>
          <c:tx>
            <c:strRef>
              <c:f>'3_Suavizacion'!$E$4</c:f>
              <c:strCache>
                <c:ptCount val="1"/>
                <c:pt idx="0">
                  <c:v>holt_winters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'3_Suavizacion'!$A$5:$A$55</c:f>
              <c:strCache>
                <c:ptCount val="51"/>
                <c:pt idx="0">
                  <c:v>2022-08</c:v>
                </c:pt>
                <c:pt idx="1">
                  <c:v>2022-09</c:v>
                </c:pt>
                <c:pt idx="2">
                  <c:v>2022-10</c:v>
                </c:pt>
                <c:pt idx="3">
                  <c:v>2022-11</c:v>
                </c:pt>
                <c:pt idx="4">
                  <c:v>2022-12</c:v>
                </c:pt>
                <c:pt idx="5">
                  <c:v>2023-01</c:v>
                </c:pt>
                <c:pt idx="6">
                  <c:v>2023-02</c:v>
                </c:pt>
                <c:pt idx="7">
                  <c:v>2023-03</c:v>
                </c:pt>
                <c:pt idx="8">
                  <c:v>2023-04</c:v>
                </c:pt>
                <c:pt idx="9">
                  <c:v>2023-05</c:v>
                </c:pt>
                <c:pt idx="10">
                  <c:v>2023-06</c:v>
                </c:pt>
                <c:pt idx="11">
                  <c:v>2023-07</c:v>
                </c:pt>
                <c:pt idx="12">
                  <c:v>2023-08</c:v>
                </c:pt>
                <c:pt idx="13">
                  <c:v>2023-09</c:v>
                </c:pt>
                <c:pt idx="14">
                  <c:v>2023-10</c:v>
                </c:pt>
                <c:pt idx="15">
                  <c:v>2023-11</c:v>
                </c:pt>
                <c:pt idx="16">
                  <c:v>2023-12</c:v>
                </c:pt>
                <c:pt idx="17">
                  <c:v>2024-01</c:v>
                </c:pt>
                <c:pt idx="18">
                  <c:v>2024-02</c:v>
                </c:pt>
                <c:pt idx="19">
                  <c:v>2024-03</c:v>
                </c:pt>
                <c:pt idx="20">
                  <c:v>2024-04</c:v>
                </c:pt>
                <c:pt idx="21">
                  <c:v>2024-05</c:v>
                </c:pt>
                <c:pt idx="22">
                  <c:v>2024-06</c:v>
                </c:pt>
                <c:pt idx="23">
                  <c:v>2024-07</c:v>
                </c:pt>
                <c:pt idx="24">
                  <c:v>2024-08</c:v>
                </c:pt>
                <c:pt idx="25">
                  <c:v>2024-09</c:v>
                </c:pt>
                <c:pt idx="26">
                  <c:v>2024-10</c:v>
                </c:pt>
                <c:pt idx="27">
                  <c:v>2024-11</c:v>
                </c:pt>
                <c:pt idx="28">
                  <c:v>2024-12</c:v>
                </c:pt>
                <c:pt idx="29">
                  <c:v>2025-01</c:v>
                </c:pt>
                <c:pt idx="30">
                  <c:v>2025-02</c:v>
                </c:pt>
                <c:pt idx="31">
                  <c:v>2025-03</c:v>
                </c:pt>
                <c:pt idx="32">
                  <c:v>2025-04</c:v>
                </c:pt>
                <c:pt idx="33">
                  <c:v>2025-05</c:v>
                </c:pt>
                <c:pt idx="34">
                  <c:v>2025-06</c:v>
                </c:pt>
                <c:pt idx="35">
                  <c:v>2025-07</c:v>
                </c:pt>
                <c:pt idx="36">
                  <c:v>2025-08</c:v>
                </c:pt>
                <c:pt idx="37">
                  <c:v>2025-09</c:v>
                </c:pt>
                <c:pt idx="38">
                  <c:v>2025-10</c:v>
                </c:pt>
                <c:pt idx="39">
                  <c:v>2025-11</c:v>
                </c:pt>
                <c:pt idx="40">
                  <c:v>2025-12</c:v>
                </c:pt>
                <c:pt idx="41">
                  <c:v>2026-01</c:v>
                </c:pt>
                <c:pt idx="42">
                  <c:v>2026-02</c:v>
                </c:pt>
                <c:pt idx="43">
                  <c:v>2026-03</c:v>
                </c:pt>
                <c:pt idx="44">
                  <c:v>2026-04</c:v>
                </c:pt>
                <c:pt idx="45">
                  <c:v>2026-05</c:v>
                </c:pt>
                <c:pt idx="46">
                  <c:v>2026-06</c:v>
                </c:pt>
                <c:pt idx="47">
                  <c:v>2026-07</c:v>
                </c:pt>
                <c:pt idx="48">
                  <c:v>2026-08</c:v>
                </c:pt>
                <c:pt idx="49">
                  <c:v>2026-09</c:v>
                </c:pt>
                <c:pt idx="50">
                  <c:v>2026-10</c:v>
                </c:pt>
              </c:strCache>
            </c:strRef>
          </c:cat>
          <c:val>
            <c:numRef>
              <c:f>'3_Suavizacion'!$E$5:$E$55</c:f>
              <c:numCache>
                <c:formatCode>#,##0.0</c:formatCode>
                <c:ptCount val="51"/>
                <c:pt idx="0">
                  <c:v>7482.7451539999993</c:v>
                </c:pt>
                <c:pt idx="1">
                  <c:v>8655.7814000599974</c:v>
                </c:pt>
                <c:pt idx="2">
                  <c:v>12016.538529513396</c:v>
                </c:pt>
                <c:pt idx="3">
                  <c:v>9158.4864767263243</c:v>
                </c:pt>
                <c:pt idx="4">
                  <c:v>11994.691596450695</c:v>
                </c:pt>
                <c:pt idx="5">
                  <c:v>6002.5278632381232</c:v>
                </c:pt>
                <c:pt idx="6">
                  <c:v>6006.9448087144256</c:v>
                </c:pt>
                <c:pt idx="7">
                  <c:v>7046.6503955559529</c:v>
                </c:pt>
                <c:pt idx="8">
                  <c:v>7824.4401817577682</c:v>
                </c:pt>
                <c:pt idx="9">
                  <c:v>7647.7462735218251</c:v>
                </c:pt>
                <c:pt idx="10">
                  <c:v>6602.5222923742585</c:v>
                </c:pt>
                <c:pt idx="11">
                  <c:v>10880.572263417705</c:v>
                </c:pt>
                <c:pt idx="12">
                  <c:v>8441.0310727226315</c:v>
                </c:pt>
                <c:pt idx="13">
                  <c:v>9112.2176023398388</c:v>
                </c:pt>
                <c:pt idx="14">
                  <c:v>9991.7987232752275</c:v>
                </c:pt>
                <c:pt idx="15">
                  <c:v>8110.4648620045609</c:v>
                </c:pt>
                <c:pt idx="16">
                  <c:v>12311.759873985193</c:v>
                </c:pt>
                <c:pt idx="17">
                  <c:v>6774.4745674963797</c:v>
                </c:pt>
                <c:pt idx="18">
                  <c:v>5648.3487706370488</c:v>
                </c:pt>
                <c:pt idx="19">
                  <c:v>6750.929049074668</c:v>
                </c:pt>
                <c:pt idx="20">
                  <c:v>8094.1358114976347</c:v>
                </c:pt>
                <c:pt idx="21">
                  <c:v>7190.2755227822072</c:v>
                </c:pt>
                <c:pt idx="22">
                  <c:v>6318.0115531663123</c:v>
                </c:pt>
                <c:pt idx="23">
                  <c:v>10232.868955884836</c:v>
                </c:pt>
                <c:pt idx="24">
                  <c:v>8362.7586376419222</c:v>
                </c:pt>
                <c:pt idx="25">
                  <c:v>8604.7950766607355</c:v>
                </c:pt>
                <c:pt idx="26">
                  <c:v>10121.178195655273</c:v>
                </c:pt>
                <c:pt idx="27">
                  <c:v>8001.8251990170684</c:v>
                </c:pt>
                <c:pt idx="28">
                  <c:v>11450.017099171142</c:v>
                </c:pt>
                <c:pt idx="29">
                  <c:v>5089.895739021289</c:v>
                </c:pt>
                <c:pt idx="30">
                  <c:v>5092.748137337031</c:v>
                </c:pt>
                <c:pt idx="31">
                  <c:v>6032.0191001167404</c:v>
                </c:pt>
                <c:pt idx="32">
                  <c:v>6654.260765944493</c:v>
                </c:pt>
                <c:pt idx="33">
                  <c:v>7062.1122663181013</c:v>
                </c:pt>
                <c:pt idx="34">
                  <c:v>5658.2244398972161</c:v>
                </c:pt>
                <c:pt idx="35">
                  <c:v>10242.890106456729</c:v>
                </c:pt>
                <c:pt idx="36">
                  <c:v>6418.5742846457042</c:v>
                </c:pt>
                <c:pt idx="37">
                  <c:v>6855.2701253523192</c:v>
                </c:pt>
                <c:pt idx="38">
                  <c:v>9675.0838053910993</c:v>
                </c:pt>
                <c:pt idx="39">
                  <c:v>6775.8346754117229</c:v>
                </c:pt>
                <c:pt idx="40">
                  <c:v>11308.530712398659</c:v>
                </c:pt>
                <c:pt idx="41">
                  <c:v>3699.3074994180706</c:v>
                </c:pt>
                <c:pt idx="42">
                  <c:v>3654.6933533493843</c:v>
                </c:pt>
                <c:pt idx="43">
                  <c:v>4550.6565517910012</c:v>
                </c:pt>
                <c:pt idx="44">
                  <c:v>5175.6292836737075</c:v>
                </c:pt>
                <c:pt idx="45">
                  <c:v>4835.0323010465545</c:v>
                </c:pt>
                <c:pt idx="46">
                  <c:v>3821.105282974946</c:v>
                </c:pt>
                <c:pt idx="47">
                  <c:v>8036.0053421278299</c:v>
                </c:pt>
                <c:pt idx="48">
                  <c:v>4097.8386354793984</c:v>
                </c:pt>
                <c:pt idx="49">
                  <c:v>5338.0773849679244</c:v>
                </c:pt>
                <c:pt idx="50">
                  <c:v>8211.6209294467153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D2-4A4D-A8FA-B4CF37388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Valor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O"/>
              <a:t>Real vs Regresion (tendencia + estacionalidad)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'4_Regresion'!$E$3</c:f>
              <c:strCache>
                <c:ptCount val="1"/>
                <c:pt idx="0">
                  <c:v>real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'4_Regresion'!$D$4:$D$54</c:f>
              <c:strCache>
                <c:ptCount val="51"/>
                <c:pt idx="0">
                  <c:v>2022-08</c:v>
                </c:pt>
                <c:pt idx="1">
                  <c:v>2022-09</c:v>
                </c:pt>
                <c:pt idx="2">
                  <c:v>2022-10</c:v>
                </c:pt>
                <c:pt idx="3">
                  <c:v>2022-11</c:v>
                </c:pt>
                <c:pt idx="4">
                  <c:v>2022-12</c:v>
                </c:pt>
                <c:pt idx="5">
                  <c:v>2023-01</c:v>
                </c:pt>
                <c:pt idx="6">
                  <c:v>2023-02</c:v>
                </c:pt>
                <c:pt idx="7">
                  <c:v>2023-03</c:v>
                </c:pt>
                <c:pt idx="8">
                  <c:v>2023-04</c:v>
                </c:pt>
                <c:pt idx="9">
                  <c:v>2023-05</c:v>
                </c:pt>
                <c:pt idx="10">
                  <c:v>2023-06</c:v>
                </c:pt>
                <c:pt idx="11">
                  <c:v>2023-07</c:v>
                </c:pt>
                <c:pt idx="12">
                  <c:v>2023-08</c:v>
                </c:pt>
                <c:pt idx="13">
                  <c:v>2023-09</c:v>
                </c:pt>
                <c:pt idx="14">
                  <c:v>2023-10</c:v>
                </c:pt>
                <c:pt idx="15">
                  <c:v>2023-11</c:v>
                </c:pt>
                <c:pt idx="16">
                  <c:v>2023-12</c:v>
                </c:pt>
                <c:pt idx="17">
                  <c:v>2024-01</c:v>
                </c:pt>
                <c:pt idx="18">
                  <c:v>2024-02</c:v>
                </c:pt>
                <c:pt idx="19">
                  <c:v>2024-03</c:v>
                </c:pt>
                <c:pt idx="20">
                  <c:v>2024-04</c:v>
                </c:pt>
                <c:pt idx="21">
                  <c:v>2024-05</c:v>
                </c:pt>
                <c:pt idx="22">
                  <c:v>2024-06</c:v>
                </c:pt>
                <c:pt idx="23">
                  <c:v>2024-07</c:v>
                </c:pt>
                <c:pt idx="24">
                  <c:v>2024-08</c:v>
                </c:pt>
                <c:pt idx="25">
                  <c:v>2024-09</c:v>
                </c:pt>
                <c:pt idx="26">
                  <c:v>2024-10</c:v>
                </c:pt>
                <c:pt idx="27">
                  <c:v>2024-11</c:v>
                </c:pt>
                <c:pt idx="28">
                  <c:v>2024-12</c:v>
                </c:pt>
                <c:pt idx="29">
                  <c:v>2025-01</c:v>
                </c:pt>
                <c:pt idx="30">
                  <c:v>2025-02</c:v>
                </c:pt>
                <c:pt idx="31">
                  <c:v>2025-03</c:v>
                </c:pt>
                <c:pt idx="32">
                  <c:v>2025-04</c:v>
                </c:pt>
                <c:pt idx="33">
                  <c:v>2025-05</c:v>
                </c:pt>
                <c:pt idx="34">
                  <c:v>2025-06</c:v>
                </c:pt>
                <c:pt idx="35">
                  <c:v>2025-07</c:v>
                </c:pt>
                <c:pt idx="36">
                  <c:v>2025-08</c:v>
                </c:pt>
                <c:pt idx="37">
                  <c:v>2025-09</c:v>
                </c:pt>
                <c:pt idx="38">
                  <c:v>2025-10</c:v>
                </c:pt>
                <c:pt idx="39">
                  <c:v>2025-11</c:v>
                </c:pt>
                <c:pt idx="40">
                  <c:v>2025-12</c:v>
                </c:pt>
                <c:pt idx="41">
                  <c:v>2026-01</c:v>
                </c:pt>
                <c:pt idx="42">
                  <c:v>2026-02</c:v>
                </c:pt>
                <c:pt idx="43">
                  <c:v>2026-03</c:v>
                </c:pt>
                <c:pt idx="44">
                  <c:v>2026-04</c:v>
                </c:pt>
                <c:pt idx="45">
                  <c:v>2026-05</c:v>
                </c:pt>
                <c:pt idx="46">
                  <c:v>2026-06</c:v>
                </c:pt>
                <c:pt idx="47">
                  <c:v>2026-07</c:v>
                </c:pt>
                <c:pt idx="48">
                  <c:v>2026-08</c:v>
                </c:pt>
                <c:pt idx="49">
                  <c:v>2026-09</c:v>
                </c:pt>
                <c:pt idx="50">
                  <c:v>2026-10</c:v>
                </c:pt>
              </c:strCache>
            </c:strRef>
          </c:cat>
          <c:val>
            <c:numRef>
              <c:f>'4_Regresion'!$E$4:$E$54</c:f>
              <c:numCache>
                <c:formatCode>#,##0.0</c:formatCode>
                <c:ptCount val="51"/>
                <c:pt idx="0">
                  <c:v>9630.2990000000009</c:v>
                </c:pt>
                <c:pt idx="1">
                  <c:v>10251.463</c:v>
                </c:pt>
                <c:pt idx="2">
                  <c:v>9106.9060000000009</c:v>
                </c:pt>
                <c:pt idx="3">
                  <c:v>7350.8980000000001</c:v>
                </c:pt>
                <c:pt idx="4">
                  <c:v>12285.013000000001</c:v>
                </c:pt>
                <c:pt idx="5">
                  <c:v>7210.1040000000003</c:v>
                </c:pt>
                <c:pt idx="6">
                  <c:v>5576.9979999999996</c:v>
                </c:pt>
                <c:pt idx="7">
                  <c:v>6648.9430000000002</c:v>
                </c:pt>
                <c:pt idx="8">
                  <c:v>8525.2129999999997</c:v>
                </c:pt>
                <c:pt idx="9">
                  <c:v>7428.518</c:v>
                </c:pt>
                <c:pt idx="10">
                  <c:v>6618.3440000000001</c:v>
                </c:pt>
                <c:pt idx="11">
                  <c:v>10251.380999999999</c:v>
                </c:pt>
                <c:pt idx="12">
                  <c:v>8574.4220000000005</c:v>
                </c:pt>
                <c:pt idx="13">
                  <c:v>8853.1569999999992</c:v>
                </c:pt>
                <c:pt idx="14">
                  <c:v>11343.447</c:v>
                </c:pt>
                <c:pt idx="15">
                  <c:v>9180.7569999999996</c:v>
                </c:pt>
                <c:pt idx="16">
                  <c:v>12310.300999999999</c:v>
                </c:pt>
                <c:pt idx="17">
                  <c:v>4916.5020000000004</c:v>
                </c:pt>
                <c:pt idx="18">
                  <c:v>5690.96</c:v>
                </c:pt>
                <c:pt idx="19">
                  <c:v>6504.8370000000004</c:v>
                </c:pt>
                <c:pt idx="20">
                  <c:v>6356.8980000000001</c:v>
                </c:pt>
                <c:pt idx="21">
                  <c:v>7687.4089999999997</c:v>
                </c:pt>
                <c:pt idx="22">
                  <c:v>6111.2430000000004</c:v>
                </c:pt>
                <c:pt idx="23">
                  <c:v>11481.558000000001</c:v>
                </c:pt>
                <c:pt idx="24">
                  <c:v>6375.4579999999996</c:v>
                </c:pt>
                <c:pt idx="25">
                  <c:v>7003.0320000000002</c:v>
                </c:pt>
                <c:pt idx="26">
                  <c:v>10899.564</c:v>
                </c:pt>
                <c:pt idx="27">
                  <c:v>7461.0919999999996</c:v>
                </c:pt>
                <c:pt idx="28">
                  <c:v>12917.156999999999</c:v>
                </c:pt>
                <c:pt idx="29">
                  <c:v>5233.0630000000001</c:v>
                </c:pt>
                <c:pt idx="30">
                  <c:v>5157.8140000000003</c:v>
                </c:pt>
                <c:pt idx="31">
                  <c:v>6202.39</c:v>
                </c:pt>
                <c:pt idx="32">
                  <c:v>6840.3379999999997</c:v>
                </c:pt>
                <c:pt idx="33">
                  <c:v>5905.9049999999997</c:v>
                </c:pt>
                <c:pt idx="34">
                  <c:v>5055.2579999999998</c:v>
                </c:pt>
                <c:pt idx="35">
                  <c:v>8601.4889999999996</c:v>
                </c:pt>
                <c:pt idx="36">
                  <c:v>4877.567</c:v>
                </c:pt>
                <c:pt idx="37">
                  <c:v>6672.5510000000004</c:v>
                </c:pt>
                <c:pt idx="38">
                  <c:v>9619.0300000000007</c:v>
                </c:pt>
                <c:pt idx="39">
                  <c:v>7302.9219999999996</c:v>
                </c:pt>
                <c:pt idx="40">
                  <c:v>7676.57</c:v>
                </c:pt>
                <c:pt idx="41">
                  <c:v>4467.835</c:v>
                </c:pt>
                <c:pt idx="42">
                  <c:v>3492.41</c:v>
                </c:pt>
                <c:pt idx="43">
                  <c:v>5340.1480000000001</c:v>
                </c:pt>
                <c:pt idx="44">
                  <c:v>5268.3239999999996</c:v>
                </c:pt>
                <c:pt idx="45">
                  <c:v>5327.0829999999996</c:v>
                </c:pt>
                <c:pt idx="46">
                  <c:v>5044.84</c:v>
                </c:pt>
                <c:pt idx="47">
                  <c:v>5205.2460000000001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65-C74B-93A1-56697F42FDAF}"/>
            </c:ext>
          </c:extLst>
        </c:ser>
        <c:ser>
          <c:idx val="1"/>
          <c:order val="1"/>
          <c:tx>
            <c:strRef>
              <c:f>'4_Regresion'!$F$3</c:f>
              <c:strCache>
                <c:ptCount val="1"/>
                <c:pt idx="0">
                  <c:v>regresion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'4_Regresion'!$D$4:$D$54</c:f>
              <c:strCache>
                <c:ptCount val="51"/>
                <c:pt idx="0">
                  <c:v>2022-08</c:v>
                </c:pt>
                <c:pt idx="1">
                  <c:v>2022-09</c:v>
                </c:pt>
                <c:pt idx="2">
                  <c:v>2022-10</c:v>
                </c:pt>
                <c:pt idx="3">
                  <c:v>2022-11</c:v>
                </c:pt>
                <c:pt idx="4">
                  <c:v>2022-12</c:v>
                </c:pt>
                <c:pt idx="5">
                  <c:v>2023-01</c:v>
                </c:pt>
                <c:pt idx="6">
                  <c:v>2023-02</c:v>
                </c:pt>
                <c:pt idx="7">
                  <c:v>2023-03</c:v>
                </c:pt>
                <c:pt idx="8">
                  <c:v>2023-04</c:v>
                </c:pt>
                <c:pt idx="9">
                  <c:v>2023-05</c:v>
                </c:pt>
                <c:pt idx="10">
                  <c:v>2023-06</c:v>
                </c:pt>
                <c:pt idx="11">
                  <c:v>2023-07</c:v>
                </c:pt>
                <c:pt idx="12">
                  <c:v>2023-08</c:v>
                </c:pt>
                <c:pt idx="13">
                  <c:v>2023-09</c:v>
                </c:pt>
                <c:pt idx="14">
                  <c:v>2023-10</c:v>
                </c:pt>
                <c:pt idx="15">
                  <c:v>2023-11</c:v>
                </c:pt>
                <c:pt idx="16">
                  <c:v>2023-12</c:v>
                </c:pt>
                <c:pt idx="17">
                  <c:v>2024-01</c:v>
                </c:pt>
                <c:pt idx="18">
                  <c:v>2024-02</c:v>
                </c:pt>
                <c:pt idx="19">
                  <c:v>2024-03</c:v>
                </c:pt>
                <c:pt idx="20">
                  <c:v>2024-04</c:v>
                </c:pt>
                <c:pt idx="21">
                  <c:v>2024-05</c:v>
                </c:pt>
                <c:pt idx="22">
                  <c:v>2024-06</c:v>
                </c:pt>
                <c:pt idx="23">
                  <c:v>2024-07</c:v>
                </c:pt>
                <c:pt idx="24">
                  <c:v>2024-08</c:v>
                </c:pt>
                <c:pt idx="25">
                  <c:v>2024-09</c:v>
                </c:pt>
                <c:pt idx="26">
                  <c:v>2024-10</c:v>
                </c:pt>
                <c:pt idx="27">
                  <c:v>2024-11</c:v>
                </c:pt>
                <c:pt idx="28">
                  <c:v>2024-12</c:v>
                </c:pt>
                <c:pt idx="29">
                  <c:v>2025-01</c:v>
                </c:pt>
                <c:pt idx="30">
                  <c:v>2025-02</c:v>
                </c:pt>
                <c:pt idx="31">
                  <c:v>2025-03</c:v>
                </c:pt>
                <c:pt idx="32">
                  <c:v>2025-04</c:v>
                </c:pt>
                <c:pt idx="33">
                  <c:v>2025-05</c:v>
                </c:pt>
                <c:pt idx="34">
                  <c:v>2025-06</c:v>
                </c:pt>
                <c:pt idx="35">
                  <c:v>2025-07</c:v>
                </c:pt>
                <c:pt idx="36">
                  <c:v>2025-08</c:v>
                </c:pt>
                <c:pt idx="37">
                  <c:v>2025-09</c:v>
                </c:pt>
                <c:pt idx="38">
                  <c:v>2025-10</c:v>
                </c:pt>
                <c:pt idx="39">
                  <c:v>2025-11</c:v>
                </c:pt>
                <c:pt idx="40">
                  <c:v>2025-12</c:v>
                </c:pt>
                <c:pt idx="41">
                  <c:v>2026-01</c:v>
                </c:pt>
                <c:pt idx="42">
                  <c:v>2026-02</c:v>
                </c:pt>
                <c:pt idx="43">
                  <c:v>2026-03</c:v>
                </c:pt>
                <c:pt idx="44">
                  <c:v>2026-04</c:v>
                </c:pt>
                <c:pt idx="45">
                  <c:v>2026-05</c:v>
                </c:pt>
                <c:pt idx="46">
                  <c:v>2026-06</c:v>
                </c:pt>
                <c:pt idx="47">
                  <c:v>2026-07</c:v>
                </c:pt>
                <c:pt idx="48">
                  <c:v>2026-08</c:v>
                </c:pt>
                <c:pt idx="49">
                  <c:v>2026-09</c:v>
                </c:pt>
                <c:pt idx="50">
                  <c:v>2026-10</c:v>
                </c:pt>
              </c:strCache>
            </c:strRef>
          </c:cat>
          <c:val>
            <c:numRef>
              <c:f>'4_Regresion'!$F$4:$F$54</c:f>
              <c:numCache>
                <c:formatCode>#,##0.0</c:formatCode>
                <c:ptCount val="51"/>
                <c:pt idx="0">
                  <c:v>8653.5313999999998</c:v>
                </c:pt>
                <c:pt idx="1">
                  <c:v>9484.1455999999998</c:v>
                </c:pt>
                <c:pt idx="2">
                  <c:v>11531.331600000001</c:v>
                </c:pt>
                <c:pt idx="3">
                  <c:v>9113.0120999999999</c:v>
                </c:pt>
                <c:pt idx="4">
                  <c:v>12586.355100000001</c:v>
                </c:pt>
                <c:pt idx="5">
                  <c:v>6745.9708000000001</c:v>
                </c:pt>
                <c:pt idx="6">
                  <c:v>6268.6403</c:v>
                </c:pt>
                <c:pt idx="7">
                  <c:v>7463.1743000000006</c:v>
                </c:pt>
                <c:pt idx="8">
                  <c:v>8036.7880000000005</c:v>
                </c:pt>
                <c:pt idx="9">
                  <c:v>7876.3235000000004</c:v>
                </c:pt>
                <c:pt idx="10">
                  <c:v>6996.5160000000005</c:v>
                </c:pt>
                <c:pt idx="11">
                  <c:v>10174.013199999999</c:v>
                </c:pt>
                <c:pt idx="12">
                  <c:v>7794.1345999999994</c:v>
                </c:pt>
                <c:pt idx="13">
                  <c:v>8624.7487999999994</c:v>
                </c:pt>
                <c:pt idx="14">
                  <c:v>10671.934799999999</c:v>
                </c:pt>
                <c:pt idx="15">
                  <c:v>8253.6153000000013</c:v>
                </c:pt>
                <c:pt idx="16">
                  <c:v>11726.9583</c:v>
                </c:pt>
                <c:pt idx="17">
                  <c:v>5886.5740000000005</c:v>
                </c:pt>
                <c:pt idx="18">
                  <c:v>5409.2434999999996</c:v>
                </c:pt>
                <c:pt idx="19">
                  <c:v>6603.7775000000011</c:v>
                </c:pt>
                <c:pt idx="20">
                  <c:v>7177.3912</c:v>
                </c:pt>
                <c:pt idx="21">
                  <c:v>7016.9267</c:v>
                </c:pt>
                <c:pt idx="22">
                  <c:v>6137.1192000000001</c:v>
                </c:pt>
                <c:pt idx="23">
                  <c:v>9314.6164000000008</c:v>
                </c:pt>
                <c:pt idx="24">
                  <c:v>6934.7378000000008</c:v>
                </c:pt>
                <c:pt idx="25">
                  <c:v>7765.3520000000008</c:v>
                </c:pt>
                <c:pt idx="26">
                  <c:v>9812.5380000000005</c:v>
                </c:pt>
                <c:pt idx="27">
                  <c:v>7394.2184999999999</c:v>
                </c:pt>
                <c:pt idx="28">
                  <c:v>10867.5615</c:v>
                </c:pt>
                <c:pt idx="29">
                  <c:v>5027.1772000000001</c:v>
                </c:pt>
                <c:pt idx="30">
                  <c:v>4549.8467000000001</c:v>
                </c:pt>
                <c:pt idx="31">
                  <c:v>5744.3807000000006</c:v>
                </c:pt>
                <c:pt idx="32">
                  <c:v>6317.9944000000005</c:v>
                </c:pt>
                <c:pt idx="33">
                  <c:v>6157.5299000000005</c:v>
                </c:pt>
                <c:pt idx="34">
                  <c:v>5277.7223999999997</c:v>
                </c:pt>
                <c:pt idx="35">
                  <c:v>8455.2196000000004</c:v>
                </c:pt>
                <c:pt idx="36">
                  <c:v>6075.3410000000003</c:v>
                </c:pt>
                <c:pt idx="37">
                  <c:v>6905.9552000000003</c:v>
                </c:pt>
                <c:pt idx="38">
                  <c:v>8953.1412</c:v>
                </c:pt>
                <c:pt idx="39">
                  <c:v>6534.8217000000004</c:v>
                </c:pt>
                <c:pt idx="40">
                  <c:v>10008.164700000001</c:v>
                </c:pt>
                <c:pt idx="41">
                  <c:v>4167.7804000000006</c:v>
                </c:pt>
                <c:pt idx="42">
                  <c:v>3690.4499000000005</c:v>
                </c:pt>
                <c:pt idx="43">
                  <c:v>4884.9839000000002</c:v>
                </c:pt>
                <c:pt idx="44">
                  <c:v>5458.597600000001</c:v>
                </c:pt>
                <c:pt idx="45">
                  <c:v>5298.1331</c:v>
                </c:pt>
                <c:pt idx="46">
                  <c:v>4418.3256000000001</c:v>
                </c:pt>
                <c:pt idx="47">
                  <c:v>7595.8227999999999</c:v>
                </c:pt>
                <c:pt idx="48">
                  <c:v>5215.9441999999999</c:v>
                </c:pt>
                <c:pt idx="49">
                  <c:v>6046.5583999999999</c:v>
                </c:pt>
                <c:pt idx="50">
                  <c:v>8093.7443999999996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65-C74B-93A1-56697F42F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majorGridlines/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O"/>
              <a:t>Real vs Ajustado vs Pronostico SARIMA (IC 95%)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'5_ARIMA'!$B$4</c:f>
              <c:strCache>
                <c:ptCount val="1"/>
                <c:pt idx="0">
                  <c:v>real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'5_ARIMA'!$A$5:$A$55</c:f>
              <c:strCache>
                <c:ptCount val="51"/>
                <c:pt idx="0">
                  <c:v>2022-08</c:v>
                </c:pt>
                <c:pt idx="1">
                  <c:v>2022-09</c:v>
                </c:pt>
                <c:pt idx="2">
                  <c:v>2022-10</c:v>
                </c:pt>
                <c:pt idx="3">
                  <c:v>2022-11</c:v>
                </c:pt>
                <c:pt idx="4">
                  <c:v>2022-12</c:v>
                </c:pt>
                <c:pt idx="5">
                  <c:v>2023-01</c:v>
                </c:pt>
                <c:pt idx="6">
                  <c:v>2023-02</c:v>
                </c:pt>
                <c:pt idx="7">
                  <c:v>2023-03</c:v>
                </c:pt>
                <c:pt idx="8">
                  <c:v>2023-04</c:v>
                </c:pt>
                <c:pt idx="9">
                  <c:v>2023-05</c:v>
                </c:pt>
                <c:pt idx="10">
                  <c:v>2023-06</c:v>
                </c:pt>
                <c:pt idx="11">
                  <c:v>2023-07</c:v>
                </c:pt>
                <c:pt idx="12">
                  <c:v>2023-08</c:v>
                </c:pt>
                <c:pt idx="13">
                  <c:v>2023-09</c:v>
                </c:pt>
                <c:pt idx="14">
                  <c:v>2023-10</c:v>
                </c:pt>
                <c:pt idx="15">
                  <c:v>2023-11</c:v>
                </c:pt>
                <c:pt idx="16">
                  <c:v>2023-12</c:v>
                </c:pt>
                <c:pt idx="17">
                  <c:v>2024-01</c:v>
                </c:pt>
                <c:pt idx="18">
                  <c:v>2024-02</c:v>
                </c:pt>
                <c:pt idx="19">
                  <c:v>2024-03</c:v>
                </c:pt>
                <c:pt idx="20">
                  <c:v>2024-04</c:v>
                </c:pt>
                <c:pt idx="21">
                  <c:v>2024-05</c:v>
                </c:pt>
                <c:pt idx="22">
                  <c:v>2024-06</c:v>
                </c:pt>
                <c:pt idx="23">
                  <c:v>2024-07</c:v>
                </c:pt>
                <c:pt idx="24">
                  <c:v>2024-08</c:v>
                </c:pt>
                <c:pt idx="25">
                  <c:v>2024-09</c:v>
                </c:pt>
                <c:pt idx="26">
                  <c:v>2024-10</c:v>
                </c:pt>
                <c:pt idx="27">
                  <c:v>2024-11</c:v>
                </c:pt>
                <c:pt idx="28">
                  <c:v>2024-12</c:v>
                </c:pt>
                <c:pt idx="29">
                  <c:v>2025-01</c:v>
                </c:pt>
                <c:pt idx="30">
                  <c:v>2025-02</c:v>
                </c:pt>
                <c:pt idx="31">
                  <c:v>2025-03</c:v>
                </c:pt>
                <c:pt idx="32">
                  <c:v>2025-04</c:v>
                </c:pt>
                <c:pt idx="33">
                  <c:v>2025-05</c:v>
                </c:pt>
                <c:pt idx="34">
                  <c:v>2025-06</c:v>
                </c:pt>
                <c:pt idx="35">
                  <c:v>2025-07</c:v>
                </c:pt>
                <c:pt idx="36">
                  <c:v>2025-08</c:v>
                </c:pt>
                <c:pt idx="37">
                  <c:v>2025-09</c:v>
                </c:pt>
                <c:pt idx="38">
                  <c:v>2025-10</c:v>
                </c:pt>
                <c:pt idx="39">
                  <c:v>2025-11</c:v>
                </c:pt>
                <c:pt idx="40">
                  <c:v>2025-12</c:v>
                </c:pt>
                <c:pt idx="41">
                  <c:v>2026-01</c:v>
                </c:pt>
                <c:pt idx="42">
                  <c:v>2026-02</c:v>
                </c:pt>
                <c:pt idx="43">
                  <c:v>2026-03</c:v>
                </c:pt>
                <c:pt idx="44">
                  <c:v>2026-04</c:v>
                </c:pt>
                <c:pt idx="45">
                  <c:v>2026-05</c:v>
                </c:pt>
                <c:pt idx="46">
                  <c:v>2026-06</c:v>
                </c:pt>
                <c:pt idx="47">
                  <c:v>2026-07</c:v>
                </c:pt>
                <c:pt idx="48">
                  <c:v>2026-08</c:v>
                </c:pt>
                <c:pt idx="49">
                  <c:v>2026-09</c:v>
                </c:pt>
                <c:pt idx="50">
                  <c:v>2026-10</c:v>
                </c:pt>
              </c:strCache>
            </c:strRef>
          </c:cat>
          <c:val>
            <c:numRef>
              <c:f>'5_ARIMA'!$B$5:$B$55</c:f>
              <c:numCache>
                <c:formatCode>#,##0.0</c:formatCode>
                <c:ptCount val="51"/>
                <c:pt idx="0">
                  <c:v>9630.2990000000009</c:v>
                </c:pt>
                <c:pt idx="1">
                  <c:v>10251.463</c:v>
                </c:pt>
                <c:pt idx="2">
                  <c:v>9106.9060000000009</c:v>
                </c:pt>
                <c:pt idx="3">
                  <c:v>7350.8980000000001</c:v>
                </c:pt>
                <c:pt idx="4">
                  <c:v>12285.013000000001</c:v>
                </c:pt>
                <c:pt idx="5">
                  <c:v>7210.1040000000003</c:v>
                </c:pt>
                <c:pt idx="6">
                  <c:v>5576.9979999999996</c:v>
                </c:pt>
                <c:pt idx="7">
                  <c:v>6648.9430000000002</c:v>
                </c:pt>
                <c:pt idx="8">
                  <c:v>8525.2129999999997</c:v>
                </c:pt>
                <c:pt idx="9">
                  <c:v>7428.518</c:v>
                </c:pt>
                <c:pt idx="10">
                  <c:v>6618.3440000000001</c:v>
                </c:pt>
                <c:pt idx="11">
                  <c:v>10251.380999999999</c:v>
                </c:pt>
                <c:pt idx="12">
                  <c:v>8574.4220000000005</c:v>
                </c:pt>
                <c:pt idx="13">
                  <c:v>8853.1569999999992</c:v>
                </c:pt>
                <c:pt idx="14">
                  <c:v>11343.447</c:v>
                </c:pt>
                <c:pt idx="15">
                  <c:v>9180.7569999999996</c:v>
                </c:pt>
                <c:pt idx="16">
                  <c:v>12310.300999999999</c:v>
                </c:pt>
                <c:pt idx="17">
                  <c:v>4916.5020000000004</c:v>
                </c:pt>
                <c:pt idx="18">
                  <c:v>5690.96</c:v>
                </c:pt>
                <c:pt idx="19">
                  <c:v>6504.8370000000004</c:v>
                </c:pt>
                <c:pt idx="20">
                  <c:v>6356.8980000000001</c:v>
                </c:pt>
                <c:pt idx="21">
                  <c:v>7687.4089999999997</c:v>
                </c:pt>
                <c:pt idx="22">
                  <c:v>6111.2430000000004</c:v>
                </c:pt>
                <c:pt idx="23">
                  <c:v>11481.558000000001</c:v>
                </c:pt>
                <c:pt idx="24">
                  <c:v>6375.4579999999996</c:v>
                </c:pt>
                <c:pt idx="25">
                  <c:v>7003.0320000000002</c:v>
                </c:pt>
                <c:pt idx="26">
                  <c:v>10899.564</c:v>
                </c:pt>
                <c:pt idx="27">
                  <c:v>7461.0919999999996</c:v>
                </c:pt>
                <c:pt idx="28">
                  <c:v>12917.156999999999</c:v>
                </c:pt>
                <c:pt idx="29">
                  <c:v>5233.0630000000001</c:v>
                </c:pt>
                <c:pt idx="30">
                  <c:v>5157.8140000000003</c:v>
                </c:pt>
                <c:pt idx="31">
                  <c:v>6202.39</c:v>
                </c:pt>
                <c:pt idx="32">
                  <c:v>6840.3379999999997</c:v>
                </c:pt>
                <c:pt idx="33">
                  <c:v>5905.9049999999997</c:v>
                </c:pt>
                <c:pt idx="34">
                  <c:v>5055.2579999999998</c:v>
                </c:pt>
                <c:pt idx="35">
                  <c:v>8601.4889999999996</c:v>
                </c:pt>
                <c:pt idx="36">
                  <c:v>4877.567</c:v>
                </c:pt>
                <c:pt idx="37">
                  <c:v>6672.5510000000004</c:v>
                </c:pt>
                <c:pt idx="38">
                  <c:v>9619.0300000000007</c:v>
                </c:pt>
                <c:pt idx="39">
                  <c:v>7302.9219999999996</c:v>
                </c:pt>
                <c:pt idx="40">
                  <c:v>7676.57</c:v>
                </c:pt>
                <c:pt idx="41">
                  <c:v>4467.835</c:v>
                </c:pt>
                <c:pt idx="42">
                  <c:v>3492.41</c:v>
                </c:pt>
                <c:pt idx="43">
                  <c:v>5340.1480000000001</c:v>
                </c:pt>
                <c:pt idx="44">
                  <c:v>5268.3239999999996</c:v>
                </c:pt>
                <c:pt idx="45">
                  <c:v>5327.0829999999996</c:v>
                </c:pt>
                <c:pt idx="46">
                  <c:v>5044.84</c:v>
                </c:pt>
                <c:pt idx="47">
                  <c:v>5205.2460000000001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8C-9E48-B9E2-757C5245C32D}"/>
            </c:ext>
          </c:extLst>
        </c:ser>
        <c:ser>
          <c:idx val="1"/>
          <c:order val="1"/>
          <c:tx>
            <c:strRef>
              <c:f>'5_ARIMA'!$C$4</c:f>
              <c:strCache>
                <c:ptCount val="1"/>
                <c:pt idx="0">
                  <c:v>ajustado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'5_ARIMA'!$A$5:$A$55</c:f>
              <c:strCache>
                <c:ptCount val="51"/>
                <c:pt idx="0">
                  <c:v>2022-08</c:v>
                </c:pt>
                <c:pt idx="1">
                  <c:v>2022-09</c:v>
                </c:pt>
                <c:pt idx="2">
                  <c:v>2022-10</c:v>
                </c:pt>
                <c:pt idx="3">
                  <c:v>2022-11</c:v>
                </c:pt>
                <c:pt idx="4">
                  <c:v>2022-12</c:v>
                </c:pt>
                <c:pt idx="5">
                  <c:v>2023-01</c:v>
                </c:pt>
                <c:pt idx="6">
                  <c:v>2023-02</c:v>
                </c:pt>
                <c:pt idx="7">
                  <c:v>2023-03</c:v>
                </c:pt>
                <c:pt idx="8">
                  <c:v>2023-04</c:v>
                </c:pt>
                <c:pt idx="9">
                  <c:v>2023-05</c:v>
                </c:pt>
                <c:pt idx="10">
                  <c:v>2023-06</c:v>
                </c:pt>
                <c:pt idx="11">
                  <c:v>2023-07</c:v>
                </c:pt>
                <c:pt idx="12">
                  <c:v>2023-08</c:v>
                </c:pt>
                <c:pt idx="13">
                  <c:v>2023-09</c:v>
                </c:pt>
                <c:pt idx="14">
                  <c:v>2023-10</c:v>
                </c:pt>
                <c:pt idx="15">
                  <c:v>2023-11</c:v>
                </c:pt>
                <c:pt idx="16">
                  <c:v>2023-12</c:v>
                </c:pt>
                <c:pt idx="17">
                  <c:v>2024-01</c:v>
                </c:pt>
                <c:pt idx="18">
                  <c:v>2024-02</c:v>
                </c:pt>
                <c:pt idx="19">
                  <c:v>2024-03</c:v>
                </c:pt>
                <c:pt idx="20">
                  <c:v>2024-04</c:v>
                </c:pt>
                <c:pt idx="21">
                  <c:v>2024-05</c:v>
                </c:pt>
                <c:pt idx="22">
                  <c:v>2024-06</c:v>
                </c:pt>
                <c:pt idx="23">
                  <c:v>2024-07</c:v>
                </c:pt>
                <c:pt idx="24">
                  <c:v>2024-08</c:v>
                </c:pt>
                <c:pt idx="25">
                  <c:v>2024-09</c:v>
                </c:pt>
                <c:pt idx="26">
                  <c:v>2024-10</c:v>
                </c:pt>
                <c:pt idx="27">
                  <c:v>2024-11</c:v>
                </c:pt>
                <c:pt idx="28">
                  <c:v>2024-12</c:v>
                </c:pt>
                <c:pt idx="29">
                  <c:v>2025-01</c:v>
                </c:pt>
                <c:pt idx="30">
                  <c:v>2025-02</c:v>
                </c:pt>
                <c:pt idx="31">
                  <c:v>2025-03</c:v>
                </c:pt>
                <c:pt idx="32">
                  <c:v>2025-04</c:v>
                </c:pt>
                <c:pt idx="33">
                  <c:v>2025-05</c:v>
                </c:pt>
                <c:pt idx="34">
                  <c:v>2025-06</c:v>
                </c:pt>
                <c:pt idx="35">
                  <c:v>2025-07</c:v>
                </c:pt>
                <c:pt idx="36">
                  <c:v>2025-08</c:v>
                </c:pt>
                <c:pt idx="37">
                  <c:v>2025-09</c:v>
                </c:pt>
                <c:pt idx="38">
                  <c:v>2025-10</c:v>
                </c:pt>
                <c:pt idx="39">
                  <c:v>2025-11</c:v>
                </c:pt>
                <c:pt idx="40">
                  <c:v>2025-12</c:v>
                </c:pt>
                <c:pt idx="41">
                  <c:v>2026-01</c:v>
                </c:pt>
                <c:pt idx="42">
                  <c:v>2026-02</c:v>
                </c:pt>
                <c:pt idx="43">
                  <c:v>2026-03</c:v>
                </c:pt>
                <c:pt idx="44">
                  <c:v>2026-04</c:v>
                </c:pt>
                <c:pt idx="45">
                  <c:v>2026-05</c:v>
                </c:pt>
                <c:pt idx="46">
                  <c:v>2026-06</c:v>
                </c:pt>
                <c:pt idx="47">
                  <c:v>2026-07</c:v>
                </c:pt>
                <c:pt idx="48">
                  <c:v>2026-08</c:v>
                </c:pt>
                <c:pt idx="49">
                  <c:v>2026-09</c:v>
                </c:pt>
                <c:pt idx="50">
                  <c:v>2026-10</c:v>
                </c:pt>
              </c:strCache>
            </c:strRef>
          </c:cat>
          <c:val>
            <c:numRef>
              <c:f>'5_ARIMA'!$C$5:$C$55</c:f>
              <c:numCache>
                <c:formatCode>#,##0.0</c:formatCode>
                <c:ptCount val="51"/>
                <c:pt idx="1">
                  <c:v>9630.2990000000009</c:v>
                </c:pt>
                <c:pt idx="2">
                  <c:v>10042.965</c:v>
                </c:pt>
                <c:pt idx="3">
                  <c:v>9363.875</c:v>
                </c:pt>
                <c:pt idx="4">
                  <c:v>7894.3829999999998</c:v>
                </c:pt>
                <c:pt idx="5">
                  <c:v>11101.031999999999</c:v>
                </c:pt>
                <c:pt idx="6">
                  <c:v>8259.2420000000002</c:v>
                </c:pt>
                <c:pt idx="7">
                  <c:v>6300.2250000000004</c:v>
                </c:pt>
                <c:pt idx="8">
                  <c:v>6554.9160000000002</c:v>
                </c:pt>
                <c:pt idx="9">
                  <c:v>7993.9520000000002</c:v>
                </c:pt>
                <c:pt idx="10">
                  <c:v>7580.9790000000003</c:v>
                </c:pt>
                <c:pt idx="11">
                  <c:v>6877.9040000000005</c:v>
                </c:pt>
                <c:pt idx="12">
                  <c:v>16640.507000000001</c:v>
                </c:pt>
                <c:pt idx="13">
                  <c:v>11174.368</c:v>
                </c:pt>
                <c:pt idx="14">
                  <c:v>8850.9320000000007</c:v>
                </c:pt>
                <c:pt idx="15">
                  <c:v>8796.24</c:v>
                </c:pt>
                <c:pt idx="16">
                  <c:v>11934.200999999999</c:v>
                </c:pt>
                <c:pt idx="17">
                  <c:v>8313.9500000000007</c:v>
                </c:pt>
                <c:pt idx="18">
                  <c:v>5788.5609999999997</c:v>
                </c:pt>
                <c:pt idx="19">
                  <c:v>6610.1440000000002</c:v>
                </c:pt>
                <c:pt idx="20">
                  <c:v>8024.6229999999996</c:v>
                </c:pt>
                <c:pt idx="21">
                  <c:v>6951.28</c:v>
                </c:pt>
                <c:pt idx="22">
                  <c:v>6609.3469999999998</c:v>
                </c:pt>
                <c:pt idx="23">
                  <c:v>8187.8590000000004</c:v>
                </c:pt>
                <c:pt idx="24">
                  <c:v>9668.1360000000004</c:v>
                </c:pt>
                <c:pt idx="25">
                  <c:v>8436.82</c:v>
                </c:pt>
                <c:pt idx="26">
                  <c:v>9113.232</c:v>
                </c:pt>
                <c:pt idx="27">
                  <c:v>8071.6289999999999</c:v>
                </c:pt>
                <c:pt idx="28">
                  <c:v>10322.252</c:v>
                </c:pt>
                <c:pt idx="29">
                  <c:v>5333.6409999999996</c:v>
                </c:pt>
                <c:pt idx="30">
                  <c:v>4874.8710000000001</c:v>
                </c:pt>
                <c:pt idx="31">
                  <c:v>5605.8919999999998</c:v>
                </c:pt>
                <c:pt idx="32">
                  <c:v>6147.5349999999999</c:v>
                </c:pt>
                <c:pt idx="33">
                  <c:v>6761.04</c:v>
                </c:pt>
                <c:pt idx="34">
                  <c:v>5732.2269999999999</c:v>
                </c:pt>
                <c:pt idx="35">
                  <c:v>8741.4</c:v>
                </c:pt>
                <c:pt idx="36">
                  <c:v>6981.2879999999996</c:v>
                </c:pt>
                <c:pt idx="37">
                  <c:v>6711.4160000000002</c:v>
                </c:pt>
                <c:pt idx="38">
                  <c:v>8756.2669999999998</c:v>
                </c:pt>
                <c:pt idx="39">
                  <c:v>6739.875</c:v>
                </c:pt>
                <c:pt idx="40">
                  <c:v>10485.689</c:v>
                </c:pt>
                <c:pt idx="41">
                  <c:v>4173.8770000000004</c:v>
                </c:pt>
                <c:pt idx="42">
                  <c:v>3669.232</c:v>
                </c:pt>
                <c:pt idx="43">
                  <c:v>4492.8810000000003</c:v>
                </c:pt>
                <c:pt idx="44">
                  <c:v>5263.7340000000004</c:v>
                </c:pt>
                <c:pt idx="45">
                  <c:v>4795.268</c:v>
                </c:pt>
                <c:pt idx="46">
                  <c:v>4118.9440000000004</c:v>
                </c:pt>
                <c:pt idx="47">
                  <c:v>6844.47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8C-9E48-B9E2-757C5245C32D}"/>
            </c:ext>
          </c:extLst>
        </c:ser>
        <c:ser>
          <c:idx val="2"/>
          <c:order val="2"/>
          <c:tx>
            <c:strRef>
              <c:f>'5_ARIMA'!$D$4</c:f>
              <c:strCache>
                <c:ptCount val="1"/>
                <c:pt idx="0">
                  <c:v>pronostico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'5_ARIMA'!$A$5:$A$55</c:f>
              <c:strCache>
                <c:ptCount val="51"/>
                <c:pt idx="0">
                  <c:v>2022-08</c:v>
                </c:pt>
                <c:pt idx="1">
                  <c:v>2022-09</c:v>
                </c:pt>
                <c:pt idx="2">
                  <c:v>2022-10</c:v>
                </c:pt>
                <c:pt idx="3">
                  <c:v>2022-11</c:v>
                </c:pt>
                <c:pt idx="4">
                  <c:v>2022-12</c:v>
                </c:pt>
                <c:pt idx="5">
                  <c:v>2023-01</c:v>
                </c:pt>
                <c:pt idx="6">
                  <c:v>2023-02</c:v>
                </c:pt>
                <c:pt idx="7">
                  <c:v>2023-03</c:v>
                </c:pt>
                <c:pt idx="8">
                  <c:v>2023-04</c:v>
                </c:pt>
                <c:pt idx="9">
                  <c:v>2023-05</c:v>
                </c:pt>
                <c:pt idx="10">
                  <c:v>2023-06</c:v>
                </c:pt>
                <c:pt idx="11">
                  <c:v>2023-07</c:v>
                </c:pt>
                <c:pt idx="12">
                  <c:v>2023-08</c:v>
                </c:pt>
                <c:pt idx="13">
                  <c:v>2023-09</c:v>
                </c:pt>
                <c:pt idx="14">
                  <c:v>2023-10</c:v>
                </c:pt>
                <c:pt idx="15">
                  <c:v>2023-11</c:v>
                </c:pt>
                <c:pt idx="16">
                  <c:v>2023-12</c:v>
                </c:pt>
                <c:pt idx="17">
                  <c:v>2024-01</c:v>
                </c:pt>
                <c:pt idx="18">
                  <c:v>2024-02</c:v>
                </c:pt>
                <c:pt idx="19">
                  <c:v>2024-03</c:v>
                </c:pt>
                <c:pt idx="20">
                  <c:v>2024-04</c:v>
                </c:pt>
                <c:pt idx="21">
                  <c:v>2024-05</c:v>
                </c:pt>
                <c:pt idx="22">
                  <c:v>2024-06</c:v>
                </c:pt>
                <c:pt idx="23">
                  <c:v>2024-07</c:v>
                </c:pt>
                <c:pt idx="24">
                  <c:v>2024-08</c:v>
                </c:pt>
                <c:pt idx="25">
                  <c:v>2024-09</c:v>
                </c:pt>
                <c:pt idx="26">
                  <c:v>2024-10</c:v>
                </c:pt>
                <c:pt idx="27">
                  <c:v>2024-11</c:v>
                </c:pt>
                <c:pt idx="28">
                  <c:v>2024-12</c:v>
                </c:pt>
                <c:pt idx="29">
                  <c:v>2025-01</c:v>
                </c:pt>
                <c:pt idx="30">
                  <c:v>2025-02</c:v>
                </c:pt>
                <c:pt idx="31">
                  <c:v>2025-03</c:v>
                </c:pt>
                <c:pt idx="32">
                  <c:v>2025-04</c:v>
                </c:pt>
                <c:pt idx="33">
                  <c:v>2025-05</c:v>
                </c:pt>
                <c:pt idx="34">
                  <c:v>2025-06</c:v>
                </c:pt>
                <c:pt idx="35">
                  <c:v>2025-07</c:v>
                </c:pt>
                <c:pt idx="36">
                  <c:v>2025-08</c:v>
                </c:pt>
                <c:pt idx="37">
                  <c:v>2025-09</c:v>
                </c:pt>
                <c:pt idx="38">
                  <c:v>2025-10</c:v>
                </c:pt>
                <c:pt idx="39">
                  <c:v>2025-11</c:v>
                </c:pt>
                <c:pt idx="40">
                  <c:v>2025-12</c:v>
                </c:pt>
                <c:pt idx="41">
                  <c:v>2026-01</c:v>
                </c:pt>
                <c:pt idx="42">
                  <c:v>2026-02</c:v>
                </c:pt>
                <c:pt idx="43">
                  <c:v>2026-03</c:v>
                </c:pt>
                <c:pt idx="44">
                  <c:v>2026-04</c:v>
                </c:pt>
                <c:pt idx="45">
                  <c:v>2026-05</c:v>
                </c:pt>
                <c:pt idx="46">
                  <c:v>2026-06</c:v>
                </c:pt>
                <c:pt idx="47">
                  <c:v>2026-07</c:v>
                </c:pt>
                <c:pt idx="48">
                  <c:v>2026-08</c:v>
                </c:pt>
                <c:pt idx="49">
                  <c:v>2026-09</c:v>
                </c:pt>
                <c:pt idx="50">
                  <c:v>2026-10</c:v>
                </c:pt>
              </c:strCache>
            </c:strRef>
          </c:cat>
          <c:val>
            <c:numRef>
              <c:f>'5_ARIMA'!$D$5:$D$55</c:f>
              <c:numCache>
                <c:formatCode>#,##0.0</c:formatCode>
                <c:ptCount val="51"/>
                <c:pt idx="48">
                  <c:v>4873.2349999999997</c:v>
                </c:pt>
                <c:pt idx="49">
                  <c:v>5613.2020000000002</c:v>
                </c:pt>
                <c:pt idx="50">
                  <c:v>7573.3239999999996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8C-9E48-B9E2-757C5245C32D}"/>
            </c:ext>
          </c:extLst>
        </c:ser>
        <c:ser>
          <c:idx val="3"/>
          <c:order val="3"/>
          <c:tx>
            <c:strRef>
              <c:f>'5_ARIMA'!$E$4</c:f>
              <c:strCache>
                <c:ptCount val="1"/>
                <c:pt idx="0">
                  <c:v>ic_inferior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'5_ARIMA'!$A$5:$A$55</c:f>
              <c:strCache>
                <c:ptCount val="51"/>
                <c:pt idx="0">
                  <c:v>2022-08</c:v>
                </c:pt>
                <c:pt idx="1">
                  <c:v>2022-09</c:v>
                </c:pt>
                <c:pt idx="2">
                  <c:v>2022-10</c:v>
                </c:pt>
                <c:pt idx="3">
                  <c:v>2022-11</c:v>
                </c:pt>
                <c:pt idx="4">
                  <c:v>2022-12</c:v>
                </c:pt>
                <c:pt idx="5">
                  <c:v>2023-01</c:v>
                </c:pt>
                <c:pt idx="6">
                  <c:v>2023-02</c:v>
                </c:pt>
                <c:pt idx="7">
                  <c:v>2023-03</c:v>
                </c:pt>
                <c:pt idx="8">
                  <c:v>2023-04</c:v>
                </c:pt>
                <c:pt idx="9">
                  <c:v>2023-05</c:v>
                </c:pt>
                <c:pt idx="10">
                  <c:v>2023-06</c:v>
                </c:pt>
                <c:pt idx="11">
                  <c:v>2023-07</c:v>
                </c:pt>
                <c:pt idx="12">
                  <c:v>2023-08</c:v>
                </c:pt>
                <c:pt idx="13">
                  <c:v>2023-09</c:v>
                </c:pt>
                <c:pt idx="14">
                  <c:v>2023-10</c:v>
                </c:pt>
                <c:pt idx="15">
                  <c:v>2023-11</c:v>
                </c:pt>
                <c:pt idx="16">
                  <c:v>2023-12</c:v>
                </c:pt>
                <c:pt idx="17">
                  <c:v>2024-01</c:v>
                </c:pt>
                <c:pt idx="18">
                  <c:v>2024-02</c:v>
                </c:pt>
                <c:pt idx="19">
                  <c:v>2024-03</c:v>
                </c:pt>
                <c:pt idx="20">
                  <c:v>2024-04</c:v>
                </c:pt>
                <c:pt idx="21">
                  <c:v>2024-05</c:v>
                </c:pt>
                <c:pt idx="22">
                  <c:v>2024-06</c:v>
                </c:pt>
                <c:pt idx="23">
                  <c:v>2024-07</c:v>
                </c:pt>
                <c:pt idx="24">
                  <c:v>2024-08</c:v>
                </c:pt>
                <c:pt idx="25">
                  <c:v>2024-09</c:v>
                </c:pt>
                <c:pt idx="26">
                  <c:v>2024-10</c:v>
                </c:pt>
                <c:pt idx="27">
                  <c:v>2024-11</c:v>
                </c:pt>
                <c:pt idx="28">
                  <c:v>2024-12</c:v>
                </c:pt>
                <c:pt idx="29">
                  <c:v>2025-01</c:v>
                </c:pt>
                <c:pt idx="30">
                  <c:v>2025-02</c:v>
                </c:pt>
                <c:pt idx="31">
                  <c:v>2025-03</c:v>
                </c:pt>
                <c:pt idx="32">
                  <c:v>2025-04</c:v>
                </c:pt>
                <c:pt idx="33">
                  <c:v>2025-05</c:v>
                </c:pt>
                <c:pt idx="34">
                  <c:v>2025-06</c:v>
                </c:pt>
                <c:pt idx="35">
                  <c:v>2025-07</c:v>
                </c:pt>
                <c:pt idx="36">
                  <c:v>2025-08</c:v>
                </c:pt>
                <c:pt idx="37">
                  <c:v>2025-09</c:v>
                </c:pt>
                <c:pt idx="38">
                  <c:v>2025-10</c:v>
                </c:pt>
                <c:pt idx="39">
                  <c:v>2025-11</c:v>
                </c:pt>
                <c:pt idx="40">
                  <c:v>2025-12</c:v>
                </c:pt>
                <c:pt idx="41">
                  <c:v>2026-01</c:v>
                </c:pt>
                <c:pt idx="42">
                  <c:v>2026-02</c:v>
                </c:pt>
                <c:pt idx="43">
                  <c:v>2026-03</c:v>
                </c:pt>
                <c:pt idx="44">
                  <c:v>2026-04</c:v>
                </c:pt>
                <c:pt idx="45">
                  <c:v>2026-05</c:v>
                </c:pt>
                <c:pt idx="46">
                  <c:v>2026-06</c:v>
                </c:pt>
                <c:pt idx="47">
                  <c:v>2026-07</c:v>
                </c:pt>
                <c:pt idx="48">
                  <c:v>2026-08</c:v>
                </c:pt>
                <c:pt idx="49">
                  <c:v>2026-09</c:v>
                </c:pt>
                <c:pt idx="50">
                  <c:v>2026-10</c:v>
                </c:pt>
              </c:strCache>
            </c:strRef>
          </c:cat>
          <c:val>
            <c:numRef>
              <c:f>'5_ARIMA'!$E$5:$E$55</c:f>
              <c:numCache>
                <c:formatCode>#,##0.0</c:formatCode>
                <c:ptCount val="51"/>
                <c:pt idx="48">
                  <c:v>2685.5140000000001</c:v>
                </c:pt>
                <c:pt idx="49">
                  <c:v>3426.402</c:v>
                </c:pt>
                <c:pt idx="50">
                  <c:v>5391.9589999999998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8C-9E48-B9E2-757C5245C32D}"/>
            </c:ext>
          </c:extLst>
        </c:ser>
        <c:ser>
          <c:idx val="4"/>
          <c:order val="4"/>
          <c:tx>
            <c:strRef>
              <c:f>'5_ARIMA'!$F$4</c:f>
              <c:strCache>
                <c:ptCount val="1"/>
                <c:pt idx="0">
                  <c:v>ic_superior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'5_ARIMA'!$A$5:$A$55</c:f>
              <c:strCache>
                <c:ptCount val="51"/>
                <c:pt idx="0">
                  <c:v>2022-08</c:v>
                </c:pt>
                <c:pt idx="1">
                  <c:v>2022-09</c:v>
                </c:pt>
                <c:pt idx="2">
                  <c:v>2022-10</c:v>
                </c:pt>
                <c:pt idx="3">
                  <c:v>2022-11</c:v>
                </c:pt>
                <c:pt idx="4">
                  <c:v>2022-12</c:v>
                </c:pt>
                <c:pt idx="5">
                  <c:v>2023-01</c:v>
                </c:pt>
                <c:pt idx="6">
                  <c:v>2023-02</c:v>
                </c:pt>
                <c:pt idx="7">
                  <c:v>2023-03</c:v>
                </c:pt>
                <c:pt idx="8">
                  <c:v>2023-04</c:v>
                </c:pt>
                <c:pt idx="9">
                  <c:v>2023-05</c:v>
                </c:pt>
                <c:pt idx="10">
                  <c:v>2023-06</c:v>
                </c:pt>
                <c:pt idx="11">
                  <c:v>2023-07</c:v>
                </c:pt>
                <c:pt idx="12">
                  <c:v>2023-08</c:v>
                </c:pt>
                <c:pt idx="13">
                  <c:v>2023-09</c:v>
                </c:pt>
                <c:pt idx="14">
                  <c:v>2023-10</c:v>
                </c:pt>
                <c:pt idx="15">
                  <c:v>2023-11</c:v>
                </c:pt>
                <c:pt idx="16">
                  <c:v>2023-12</c:v>
                </c:pt>
                <c:pt idx="17">
                  <c:v>2024-01</c:v>
                </c:pt>
                <c:pt idx="18">
                  <c:v>2024-02</c:v>
                </c:pt>
                <c:pt idx="19">
                  <c:v>2024-03</c:v>
                </c:pt>
                <c:pt idx="20">
                  <c:v>2024-04</c:v>
                </c:pt>
                <c:pt idx="21">
                  <c:v>2024-05</c:v>
                </c:pt>
                <c:pt idx="22">
                  <c:v>2024-06</c:v>
                </c:pt>
                <c:pt idx="23">
                  <c:v>2024-07</c:v>
                </c:pt>
                <c:pt idx="24">
                  <c:v>2024-08</c:v>
                </c:pt>
                <c:pt idx="25">
                  <c:v>2024-09</c:v>
                </c:pt>
                <c:pt idx="26">
                  <c:v>2024-10</c:v>
                </c:pt>
                <c:pt idx="27">
                  <c:v>2024-11</c:v>
                </c:pt>
                <c:pt idx="28">
                  <c:v>2024-12</c:v>
                </c:pt>
                <c:pt idx="29">
                  <c:v>2025-01</c:v>
                </c:pt>
                <c:pt idx="30">
                  <c:v>2025-02</c:v>
                </c:pt>
                <c:pt idx="31">
                  <c:v>2025-03</c:v>
                </c:pt>
                <c:pt idx="32">
                  <c:v>2025-04</c:v>
                </c:pt>
                <c:pt idx="33">
                  <c:v>2025-05</c:v>
                </c:pt>
                <c:pt idx="34">
                  <c:v>2025-06</c:v>
                </c:pt>
                <c:pt idx="35">
                  <c:v>2025-07</c:v>
                </c:pt>
                <c:pt idx="36">
                  <c:v>2025-08</c:v>
                </c:pt>
                <c:pt idx="37">
                  <c:v>2025-09</c:v>
                </c:pt>
                <c:pt idx="38">
                  <c:v>2025-10</c:v>
                </c:pt>
                <c:pt idx="39">
                  <c:v>2025-11</c:v>
                </c:pt>
                <c:pt idx="40">
                  <c:v>2025-12</c:v>
                </c:pt>
                <c:pt idx="41">
                  <c:v>2026-01</c:v>
                </c:pt>
                <c:pt idx="42">
                  <c:v>2026-02</c:v>
                </c:pt>
                <c:pt idx="43">
                  <c:v>2026-03</c:v>
                </c:pt>
                <c:pt idx="44">
                  <c:v>2026-04</c:v>
                </c:pt>
                <c:pt idx="45">
                  <c:v>2026-05</c:v>
                </c:pt>
                <c:pt idx="46">
                  <c:v>2026-06</c:v>
                </c:pt>
                <c:pt idx="47">
                  <c:v>2026-07</c:v>
                </c:pt>
                <c:pt idx="48">
                  <c:v>2026-08</c:v>
                </c:pt>
                <c:pt idx="49">
                  <c:v>2026-09</c:v>
                </c:pt>
                <c:pt idx="50">
                  <c:v>2026-10</c:v>
                </c:pt>
              </c:strCache>
            </c:strRef>
          </c:cat>
          <c:val>
            <c:numRef>
              <c:f>'5_ARIMA'!$F$5:$F$55</c:f>
              <c:numCache>
                <c:formatCode>#,##0.0</c:formatCode>
                <c:ptCount val="51"/>
                <c:pt idx="48">
                  <c:v>7060.9570000000003</c:v>
                </c:pt>
                <c:pt idx="49">
                  <c:v>7800.0020000000004</c:v>
                </c:pt>
                <c:pt idx="50">
                  <c:v>9754.6890000000003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F8C-9E48-B9E2-757C5245C3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majorGridlines/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O"/>
              <a:t>MAPE (%) por modelo - menor es mejor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Resumen_Comparativo!$D$4</c:f>
              <c:strCache>
                <c:ptCount val="1"/>
                <c:pt idx="0">
                  <c:v>MAPE (%)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Resumen_Comparativo!$A$5:$A$14</c:f>
              <c:strCache>
                <c:ptCount val="10"/>
                <c:pt idx="0">
                  <c:v>Naive</c:v>
                </c:pt>
                <c:pt idx="1">
                  <c:v>Naive Estacional</c:v>
                </c:pt>
                <c:pt idx="2">
                  <c:v>Promedio Simple</c:v>
                </c:pt>
                <c:pt idx="3">
                  <c:v>Media Movil (3)</c:v>
                </c:pt>
                <c:pt idx="4">
                  <c:v>Media Movil (12)</c:v>
                </c:pt>
                <c:pt idx="5">
                  <c:v>SES (Suavizacion Exponencial Simple)</c:v>
                </c:pt>
                <c:pt idx="6">
                  <c:v>Holt (doble)</c:v>
                </c:pt>
                <c:pt idx="7">
                  <c:v>Holt-Winters (triple)</c:v>
                </c:pt>
                <c:pt idx="8">
                  <c:v>Regresion Lineal</c:v>
                </c:pt>
                <c:pt idx="9">
                  <c:v>SARIMA</c:v>
                </c:pt>
              </c:strCache>
            </c:strRef>
          </c:cat>
          <c:val>
            <c:numRef>
              <c:f>Resumen_Comparativo!$D$5:$D$14</c:f>
              <c:numCache>
                <c:formatCode>#,##0.00</c:formatCode>
                <c:ptCount val="10"/>
                <c:pt idx="0">
                  <c:v>34.64</c:v>
                </c:pt>
                <c:pt idx="1">
                  <c:v>24.08</c:v>
                </c:pt>
                <c:pt idx="2">
                  <c:v>45.11</c:v>
                </c:pt>
                <c:pt idx="3">
                  <c:v>31.04</c:v>
                </c:pt>
                <c:pt idx="4">
                  <c:v>28.84</c:v>
                </c:pt>
                <c:pt idx="5">
                  <c:v>29.1</c:v>
                </c:pt>
                <c:pt idx="6">
                  <c:v>28.87</c:v>
                </c:pt>
                <c:pt idx="7">
                  <c:v>15.25</c:v>
                </c:pt>
                <c:pt idx="8">
                  <c:v>14.77</c:v>
                </c:pt>
                <c:pt idx="9">
                  <c:v>20.93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17-214E-911D-107DADD7D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O"/>
              <a:t>Historico reciente vs pronosticos de los 5 modelos (ago-oct 2026)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Resumen_Comparativo!$B$33</c:f>
              <c:strCache>
                <c:ptCount val="1"/>
                <c:pt idx="0">
                  <c:v>real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Resumen_Comparativo!$A$34:$A$48</c:f>
              <c:strCache>
                <c:ptCount val="15"/>
                <c:pt idx="0">
                  <c:v>2025-08</c:v>
                </c:pt>
                <c:pt idx="1">
                  <c:v>2025-09</c:v>
                </c:pt>
                <c:pt idx="2">
                  <c:v>2025-10</c:v>
                </c:pt>
                <c:pt idx="3">
                  <c:v>2025-11</c:v>
                </c:pt>
                <c:pt idx="4">
                  <c:v>2025-12</c:v>
                </c:pt>
                <c:pt idx="5">
                  <c:v>2026-01</c:v>
                </c:pt>
                <c:pt idx="6">
                  <c:v>2026-02</c:v>
                </c:pt>
                <c:pt idx="7">
                  <c:v>2026-03</c:v>
                </c:pt>
                <c:pt idx="8">
                  <c:v>2026-04</c:v>
                </c:pt>
                <c:pt idx="9">
                  <c:v>2026-05</c:v>
                </c:pt>
                <c:pt idx="10">
                  <c:v>2026-06</c:v>
                </c:pt>
                <c:pt idx="11">
                  <c:v>2026-07</c:v>
                </c:pt>
                <c:pt idx="12">
                  <c:v>2026-08</c:v>
                </c:pt>
                <c:pt idx="13">
                  <c:v>2026-09</c:v>
                </c:pt>
                <c:pt idx="14">
                  <c:v>2026-10</c:v>
                </c:pt>
              </c:strCache>
            </c:strRef>
          </c:cat>
          <c:val>
            <c:numRef>
              <c:f>Resumen_Comparativo!$B$34:$B$48</c:f>
              <c:numCache>
                <c:formatCode>#,##0.0</c:formatCode>
                <c:ptCount val="15"/>
                <c:pt idx="0">
                  <c:v>4877.567</c:v>
                </c:pt>
                <c:pt idx="1">
                  <c:v>6672.5510000000004</c:v>
                </c:pt>
                <c:pt idx="2">
                  <c:v>9619.0300000000007</c:v>
                </c:pt>
                <c:pt idx="3">
                  <c:v>7302.9219999999996</c:v>
                </c:pt>
                <c:pt idx="4">
                  <c:v>7676.57</c:v>
                </c:pt>
                <c:pt idx="5">
                  <c:v>4467.835</c:v>
                </c:pt>
                <c:pt idx="6">
                  <c:v>3492.41</c:v>
                </c:pt>
                <c:pt idx="7">
                  <c:v>5340.1480000000001</c:v>
                </c:pt>
                <c:pt idx="8">
                  <c:v>5268.3239999999996</c:v>
                </c:pt>
                <c:pt idx="9">
                  <c:v>5327.0829999999996</c:v>
                </c:pt>
                <c:pt idx="10">
                  <c:v>5044.84</c:v>
                </c:pt>
                <c:pt idx="11">
                  <c:v>5205.2460000000001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03-604F-A84E-FC05F2A89C5D}"/>
            </c:ext>
          </c:extLst>
        </c:ser>
        <c:ser>
          <c:idx val="1"/>
          <c:order val="1"/>
          <c:tx>
            <c:strRef>
              <c:f>Resumen_Comparativo!$C$33</c:f>
              <c:strCache>
                <c:ptCount val="1"/>
                <c:pt idx="0">
                  <c:v>Naive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Resumen_Comparativo!$A$34:$A$48</c:f>
              <c:strCache>
                <c:ptCount val="15"/>
                <c:pt idx="0">
                  <c:v>2025-08</c:v>
                </c:pt>
                <c:pt idx="1">
                  <c:v>2025-09</c:v>
                </c:pt>
                <c:pt idx="2">
                  <c:v>2025-10</c:v>
                </c:pt>
                <c:pt idx="3">
                  <c:v>2025-11</c:v>
                </c:pt>
                <c:pt idx="4">
                  <c:v>2025-12</c:v>
                </c:pt>
                <c:pt idx="5">
                  <c:v>2026-01</c:v>
                </c:pt>
                <c:pt idx="6">
                  <c:v>2026-02</c:v>
                </c:pt>
                <c:pt idx="7">
                  <c:v>2026-03</c:v>
                </c:pt>
                <c:pt idx="8">
                  <c:v>2026-04</c:v>
                </c:pt>
                <c:pt idx="9">
                  <c:v>2026-05</c:v>
                </c:pt>
                <c:pt idx="10">
                  <c:v>2026-06</c:v>
                </c:pt>
                <c:pt idx="11">
                  <c:v>2026-07</c:v>
                </c:pt>
                <c:pt idx="12">
                  <c:v>2026-08</c:v>
                </c:pt>
                <c:pt idx="13">
                  <c:v>2026-09</c:v>
                </c:pt>
                <c:pt idx="14">
                  <c:v>2026-10</c:v>
                </c:pt>
              </c:strCache>
            </c:strRef>
          </c:cat>
          <c:val>
            <c:numRef>
              <c:f>Resumen_Comparativo!$C$34:$C$48</c:f>
              <c:numCache>
                <c:formatCode>General</c:formatCode>
                <c:ptCount val="15"/>
                <c:pt idx="12" formatCode="#,##0.0">
                  <c:v>5205.2460000000001</c:v>
                </c:pt>
                <c:pt idx="13" formatCode="#,##0.0">
                  <c:v>5205.2460000000001</c:v>
                </c:pt>
                <c:pt idx="14" formatCode="#,##0.0">
                  <c:v>5205.2460000000001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03-604F-A84E-FC05F2A89C5D}"/>
            </c:ext>
          </c:extLst>
        </c:ser>
        <c:ser>
          <c:idx val="2"/>
          <c:order val="2"/>
          <c:tx>
            <c:strRef>
              <c:f>Resumen_Comparativo!$D$33</c:f>
              <c:strCache>
                <c:ptCount val="1"/>
                <c:pt idx="0">
                  <c:v>Naive Estacional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Resumen_Comparativo!$A$34:$A$48</c:f>
              <c:strCache>
                <c:ptCount val="15"/>
                <c:pt idx="0">
                  <c:v>2025-08</c:v>
                </c:pt>
                <c:pt idx="1">
                  <c:v>2025-09</c:v>
                </c:pt>
                <c:pt idx="2">
                  <c:v>2025-10</c:v>
                </c:pt>
                <c:pt idx="3">
                  <c:v>2025-11</c:v>
                </c:pt>
                <c:pt idx="4">
                  <c:v>2025-12</c:v>
                </c:pt>
                <c:pt idx="5">
                  <c:v>2026-01</c:v>
                </c:pt>
                <c:pt idx="6">
                  <c:v>2026-02</c:v>
                </c:pt>
                <c:pt idx="7">
                  <c:v>2026-03</c:v>
                </c:pt>
                <c:pt idx="8">
                  <c:v>2026-04</c:v>
                </c:pt>
                <c:pt idx="9">
                  <c:v>2026-05</c:v>
                </c:pt>
                <c:pt idx="10">
                  <c:v>2026-06</c:v>
                </c:pt>
                <c:pt idx="11">
                  <c:v>2026-07</c:v>
                </c:pt>
                <c:pt idx="12">
                  <c:v>2026-08</c:v>
                </c:pt>
                <c:pt idx="13">
                  <c:v>2026-09</c:v>
                </c:pt>
                <c:pt idx="14">
                  <c:v>2026-10</c:v>
                </c:pt>
              </c:strCache>
            </c:strRef>
          </c:cat>
          <c:val>
            <c:numRef>
              <c:f>Resumen_Comparativo!$D$34:$D$48</c:f>
              <c:numCache>
                <c:formatCode>General</c:formatCode>
                <c:ptCount val="15"/>
                <c:pt idx="12" formatCode="#,##0.0">
                  <c:v>4877.567</c:v>
                </c:pt>
                <c:pt idx="13" formatCode="#,##0.0">
                  <c:v>6672.5510000000004</c:v>
                </c:pt>
                <c:pt idx="14" formatCode="#,##0.0">
                  <c:v>9619.0300000000007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03-604F-A84E-FC05F2A89C5D}"/>
            </c:ext>
          </c:extLst>
        </c:ser>
        <c:ser>
          <c:idx val="3"/>
          <c:order val="3"/>
          <c:tx>
            <c:strRef>
              <c:f>Resumen_Comparativo!$E$33</c:f>
              <c:strCache>
                <c:ptCount val="1"/>
                <c:pt idx="0">
                  <c:v>Promedio Simple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Resumen_Comparativo!$A$34:$A$48</c:f>
              <c:strCache>
                <c:ptCount val="15"/>
                <c:pt idx="0">
                  <c:v>2025-08</c:v>
                </c:pt>
                <c:pt idx="1">
                  <c:v>2025-09</c:v>
                </c:pt>
                <c:pt idx="2">
                  <c:v>2025-10</c:v>
                </c:pt>
                <c:pt idx="3">
                  <c:v>2025-11</c:v>
                </c:pt>
                <c:pt idx="4">
                  <c:v>2025-12</c:v>
                </c:pt>
                <c:pt idx="5">
                  <c:v>2026-01</c:v>
                </c:pt>
                <c:pt idx="6">
                  <c:v>2026-02</c:v>
                </c:pt>
                <c:pt idx="7">
                  <c:v>2026-03</c:v>
                </c:pt>
                <c:pt idx="8">
                  <c:v>2026-04</c:v>
                </c:pt>
                <c:pt idx="9">
                  <c:v>2026-05</c:v>
                </c:pt>
                <c:pt idx="10">
                  <c:v>2026-06</c:v>
                </c:pt>
                <c:pt idx="11">
                  <c:v>2026-07</c:v>
                </c:pt>
                <c:pt idx="12">
                  <c:v>2026-08</c:v>
                </c:pt>
                <c:pt idx="13">
                  <c:v>2026-09</c:v>
                </c:pt>
                <c:pt idx="14">
                  <c:v>2026-10</c:v>
                </c:pt>
              </c:strCache>
            </c:strRef>
          </c:cat>
          <c:val>
            <c:numRef>
              <c:f>Resumen_Comparativo!$E$34:$E$48</c:f>
              <c:numCache>
                <c:formatCode>General</c:formatCode>
                <c:ptCount val="15"/>
                <c:pt idx="12" formatCode="#,##0.0">
                  <c:v>7455.0553541666677</c:v>
                </c:pt>
                <c:pt idx="13" formatCode="#,##0.0">
                  <c:v>7455.0553541666677</c:v>
                </c:pt>
                <c:pt idx="14" formatCode="#,##0.0">
                  <c:v>7455.0553541666677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603-604F-A84E-FC05F2A89C5D}"/>
            </c:ext>
          </c:extLst>
        </c:ser>
        <c:ser>
          <c:idx val="4"/>
          <c:order val="4"/>
          <c:tx>
            <c:strRef>
              <c:f>Resumen_Comparativo!$F$33</c:f>
              <c:strCache>
                <c:ptCount val="1"/>
                <c:pt idx="0">
                  <c:v>Media Movil (3)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Resumen_Comparativo!$A$34:$A$48</c:f>
              <c:strCache>
                <c:ptCount val="15"/>
                <c:pt idx="0">
                  <c:v>2025-08</c:v>
                </c:pt>
                <c:pt idx="1">
                  <c:v>2025-09</c:v>
                </c:pt>
                <c:pt idx="2">
                  <c:v>2025-10</c:v>
                </c:pt>
                <c:pt idx="3">
                  <c:v>2025-11</c:v>
                </c:pt>
                <c:pt idx="4">
                  <c:v>2025-12</c:v>
                </c:pt>
                <c:pt idx="5">
                  <c:v>2026-01</c:v>
                </c:pt>
                <c:pt idx="6">
                  <c:v>2026-02</c:v>
                </c:pt>
                <c:pt idx="7">
                  <c:v>2026-03</c:v>
                </c:pt>
                <c:pt idx="8">
                  <c:v>2026-04</c:v>
                </c:pt>
                <c:pt idx="9">
                  <c:v>2026-05</c:v>
                </c:pt>
                <c:pt idx="10">
                  <c:v>2026-06</c:v>
                </c:pt>
                <c:pt idx="11">
                  <c:v>2026-07</c:v>
                </c:pt>
                <c:pt idx="12">
                  <c:v>2026-08</c:v>
                </c:pt>
                <c:pt idx="13">
                  <c:v>2026-09</c:v>
                </c:pt>
                <c:pt idx="14">
                  <c:v>2026-10</c:v>
                </c:pt>
              </c:strCache>
            </c:strRef>
          </c:cat>
          <c:val>
            <c:numRef>
              <c:f>Resumen_Comparativo!$F$34:$F$48</c:f>
              <c:numCache>
                <c:formatCode>General</c:formatCode>
                <c:ptCount val="15"/>
                <c:pt idx="12" formatCode="#,##0.0">
                  <c:v>5192.389666666666</c:v>
                </c:pt>
                <c:pt idx="13" formatCode="#,##0.0">
                  <c:v>5192.389666666666</c:v>
                </c:pt>
                <c:pt idx="14" formatCode="#,##0.0">
                  <c:v>5192.389666666666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603-604F-A84E-FC05F2A89C5D}"/>
            </c:ext>
          </c:extLst>
        </c:ser>
        <c:ser>
          <c:idx val="5"/>
          <c:order val="5"/>
          <c:tx>
            <c:strRef>
              <c:f>Resumen_Comparativo!$G$33</c:f>
              <c:strCache>
                <c:ptCount val="1"/>
                <c:pt idx="0">
                  <c:v>Media Movil (12)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Resumen_Comparativo!$A$34:$A$48</c:f>
              <c:strCache>
                <c:ptCount val="15"/>
                <c:pt idx="0">
                  <c:v>2025-08</c:v>
                </c:pt>
                <c:pt idx="1">
                  <c:v>2025-09</c:v>
                </c:pt>
                <c:pt idx="2">
                  <c:v>2025-10</c:v>
                </c:pt>
                <c:pt idx="3">
                  <c:v>2025-11</c:v>
                </c:pt>
                <c:pt idx="4">
                  <c:v>2025-12</c:v>
                </c:pt>
                <c:pt idx="5">
                  <c:v>2026-01</c:v>
                </c:pt>
                <c:pt idx="6">
                  <c:v>2026-02</c:v>
                </c:pt>
                <c:pt idx="7">
                  <c:v>2026-03</c:v>
                </c:pt>
                <c:pt idx="8">
                  <c:v>2026-04</c:v>
                </c:pt>
                <c:pt idx="9">
                  <c:v>2026-05</c:v>
                </c:pt>
                <c:pt idx="10">
                  <c:v>2026-06</c:v>
                </c:pt>
                <c:pt idx="11">
                  <c:v>2026-07</c:v>
                </c:pt>
                <c:pt idx="12">
                  <c:v>2026-08</c:v>
                </c:pt>
                <c:pt idx="13">
                  <c:v>2026-09</c:v>
                </c:pt>
                <c:pt idx="14">
                  <c:v>2026-10</c:v>
                </c:pt>
              </c:strCache>
            </c:strRef>
          </c:cat>
          <c:val>
            <c:numRef>
              <c:f>Resumen_Comparativo!$G$34:$G$48</c:f>
              <c:numCache>
                <c:formatCode>General</c:formatCode>
                <c:ptCount val="15"/>
                <c:pt idx="12" formatCode="#,##0.0">
                  <c:v>5857.8771666666662</c:v>
                </c:pt>
                <c:pt idx="13" formatCode="#,##0.0">
                  <c:v>5857.8771666666662</c:v>
                </c:pt>
                <c:pt idx="14" formatCode="#,##0.0">
                  <c:v>5857.8771666666662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603-604F-A84E-FC05F2A89C5D}"/>
            </c:ext>
          </c:extLst>
        </c:ser>
        <c:ser>
          <c:idx val="6"/>
          <c:order val="6"/>
          <c:tx>
            <c:strRef>
              <c:f>Resumen_Comparativo!$H$33</c:f>
              <c:strCache>
                <c:ptCount val="1"/>
                <c:pt idx="0">
                  <c:v>SES (Suavizacion Exponencial Simple)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Resumen_Comparativo!$A$34:$A$48</c:f>
              <c:strCache>
                <c:ptCount val="15"/>
                <c:pt idx="0">
                  <c:v>2025-08</c:v>
                </c:pt>
                <c:pt idx="1">
                  <c:v>2025-09</c:v>
                </c:pt>
                <c:pt idx="2">
                  <c:v>2025-10</c:v>
                </c:pt>
                <c:pt idx="3">
                  <c:v>2025-11</c:v>
                </c:pt>
                <c:pt idx="4">
                  <c:v>2025-12</c:v>
                </c:pt>
                <c:pt idx="5">
                  <c:v>2026-01</c:v>
                </c:pt>
                <c:pt idx="6">
                  <c:v>2026-02</c:v>
                </c:pt>
                <c:pt idx="7">
                  <c:v>2026-03</c:v>
                </c:pt>
                <c:pt idx="8">
                  <c:v>2026-04</c:v>
                </c:pt>
                <c:pt idx="9">
                  <c:v>2026-05</c:v>
                </c:pt>
                <c:pt idx="10">
                  <c:v>2026-06</c:v>
                </c:pt>
                <c:pt idx="11">
                  <c:v>2026-07</c:v>
                </c:pt>
                <c:pt idx="12">
                  <c:v>2026-08</c:v>
                </c:pt>
                <c:pt idx="13">
                  <c:v>2026-09</c:v>
                </c:pt>
                <c:pt idx="14">
                  <c:v>2026-10</c:v>
                </c:pt>
              </c:strCache>
            </c:strRef>
          </c:cat>
          <c:val>
            <c:numRef>
              <c:f>Resumen_Comparativo!$H$34:$H$48</c:f>
              <c:numCache>
                <c:formatCode>General</c:formatCode>
                <c:ptCount val="15"/>
                <c:pt idx="12" formatCode="#,##0.0">
                  <c:v>5175.175066410382</c:v>
                </c:pt>
                <c:pt idx="13" formatCode="#,##0.0">
                  <c:v>5175.175066410382</c:v>
                </c:pt>
                <c:pt idx="14" formatCode="#,##0.0">
                  <c:v>5175.175066410382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603-604F-A84E-FC05F2A89C5D}"/>
            </c:ext>
          </c:extLst>
        </c:ser>
        <c:ser>
          <c:idx val="7"/>
          <c:order val="7"/>
          <c:tx>
            <c:strRef>
              <c:f>Resumen_Comparativo!$I$33</c:f>
              <c:strCache>
                <c:ptCount val="1"/>
                <c:pt idx="0">
                  <c:v>Holt (doble)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Resumen_Comparativo!$A$34:$A$48</c:f>
              <c:strCache>
                <c:ptCount val="15"/>
                <c:pt idx="0">
                  <c:v>2025-08</c:v>
                </c:pt>
                <c:pt idx="1">
                  <c:v>2025-09</c:v>
                </c:pt>
                <c:pt idx="2">
                  <c:v>2025-10</c:v>
                </c:pt>
                <c:pt idx="3">
                  <c:v>2025-11</c:v>
                </c:pt>
                <c:pt idx="4">
                  <c:v>2025-12</c:v>
                </c:pt>
                <c:pt idx="5">
                  <c:v>2026-01</c:v>
                </c:pt>
                <c:pt idx="6">
                  <c:v>2026-02</c:v>
                </c:pt>
                <c:pt idx="7">
                  <c:v>2026-03</c:v>
                </c:pt>
                <c:pt idx="8">
                  <c:v>2026-04</c:v>
                </c:pt>
                <c:pt idx="9">
                  <c:v>2026-05</c:v>
                </c:pt>
                <c:pt idx="10">
                  <c:v>2026-06</c:v>
                </c:pt>
                <c:pt idx="11">
                  <c:v>2026-07</c:v>
                </c:pt>
                <c:pt idx="12">
                  <c:v>2026-08</c:v>
                </c:pt>
                <c:pt idx="13">
                  <c:v>2026-09</c:v>
                </c:pt>
                <c:pt idx="14">
                  <c:v>2026-10</c:v>
                </c:pt>
              </c:strCache>
            </c:strRef>
          </c:cat>
          <c:val>
            <c:numRef>
              <c:f>Resumen_Comparativo!$I$34:$I$48</c:f>
              <c:numCache>
                <c:formatCode>General</c:formatCode>
                <c:ptCount val="15"/>
                <c:pt idx="12" formatCode="#,##0.0">
                  <c:v>4175.2201229194925</c:v>
                </c:pt>
                <c:pt idx="13" formatCode="#,##0.0">
                  <c:v>3844.3946499194926</c:v>
                </c:pt>
                <c:pt idx="14" formatCode="#,##0.0">
                  <c:v>3513.5691769194923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603-604F-A84E-FC05F2A89C5D}"/>
            </c:ext>
          </c:extLst>
        </c:ser>
        <c:ser>
          <c:idx val="8"/>
          <c:order val="8"/>
          <c:tx>
            <c:strRef>
              <c:f>Resumen_Comparativo!$J$33</c:f>
              <c:strCache>
                <c:ptCount val="1"/>
                <c:pt idx="0">
                  <c:v>Holt-Winters (triple)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Resumen_Comparativo!$A$34:$A$48</c:f>
              <c:strCache>
                <c:ptCount val="15"/>
                <c:pt idx="0">
                  <c:v>2025-08</c:v>
                </c:pt>
                <c:pt idx="1">
                  <c:v>2025-09</c:v>
                </c:pt>
                <c:pt idx="2">
                  <c:v>2025-10</c:v>
                </c:pt>
                <c:pt idx="3">
                  <c:v>2025-11</c:v>
                </c:pt>
                <c:pt idx="4">
                  <c:v>2025-12</c:v>
                </c:pt>
                <c:pt idx="5">
                  <c:v>2026-01</c:v>
                </c:pt>
                <c:pt idx="6">
                  <c:v>2026-02</c:v>
                </c:pt>
                <c:pt idx="7">
                  <c:v>2026-03</c:v>
                </c:pt>
                <c:pt idx="8">
                  <c:v>2026-04</c:v>
                </c:pt>
                <c:pt idx="9">
                  <c:v>2026-05</c:v>
                </c:pt>
                <c:pt idx="10">
                  <c:v>2026-06</c:v>
                </c:pt>
                <c:pt idx="11">
                  <c:v>2026-07</c:v>
                </c:pt>
                <c:pt idx="12">
                  <c:v>2026-08</c:v>
                </c:pt>
                <c:pt idx="13">
                  <c:v>2026-09</c:v>
                </c:pt>
                <c:pt idx="14">
                  <c:v>2026-10</c:v>
                </c:pt>
              </c:strCache>
            </c:strRef>
          </c:cat>
          <c:val>
            <c:numRef>
              <c:f>Resumen_Comparativo!$J$34:$J$48</c:f>
              <c:numCache>
                <c:formatCode>General</c:formatCode>
                <c:ptCount val="15"/>
                <c:pt idx="12" formatCode="#,##0.0">
                  <c:v>4097.8386354793984</c:v>
                </c:pt>
                <c:pt idx="13" formatCode="#,##0.0">
                  <c:v>5338.0773849679244</c:v>
                </c:pt>
                <c:pt idx="14" formatCode="#,##0.0">
                  <c:v>8211.6209294467153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603-604F-A84E-FC05F2A89C5D}"/>
            </c:ext>
          </c:extLst>
        </c:ser>
        <c:ser>
          <c:idx val="9"/>
          <c:order val="9"/>
          <c:tx>
            <c:strRef>
              <c:f>Resumen_Comparativo!$K$33</c:f>
              <c:strCache>
                <c:ptCount val="1"/>
                <c:pt idx="0">
                  <c:v>Regresion Lineal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Resumen_Comparativo!$A$34:$A$48</c:f>
              <c:strCache>
                <c:ptCount val="15"/>
                <c:pt idx="0">
                  <c:v>2025-08</c:v>
                </c:pt>
                <c:pt idx="1">
                  <c:v>2025-09</c:v>
                </c:pt>
                <c:pt idx="2">
                  <c:v>2025-10</c:v>
                </c:pt>
                <c:pt idx="3">
                  <c:v>2025-11</c:v>
                </c:pt>
                <c:pt idx="4">
                  <c:v>2025-12</c:v>
                </c:pt>
                <c:pt idx="5">
                  <c:v>2026-01</c:v>
                </c:pt>
                <c:pt idx="6">
                  <c:v>2026-02</c:v>
                </c:pt>
                <c:pt idx="7">
                  <c:v>2026-03</c:v>
                </c:pt>
                <c:pt idx="8">
                  <c:v>2026-04</c:v>
                </c:pt>
                <c:pt idx="9">
                  <c:v>2026-05</c:v>
                </c:pt>
                <c:pt idx="10">
                  <c:v>2026-06</c:v>
                </c:pt>
                <c:pt idx="11">
                  <c:v>2026-07</c:v>
                </c:pt>
                <c:pt idx="12">
                  <c:v>2026-08</c:v>
                </c:pt>
                <c:pt idx="13">
                  <c:v>2026-09</c:v>
                </c:pt>
                <c:pt idx="14">
                  <c:v>2026-10</c:v>
                </c:pt>
              </c:strCache>
            </c:strRef>
          </c:cat>
          <c:val>
            <c:numRef>
              <c:f>Resumen_Comparativo!$K$34:$K$48</c:f>
              <c:numCache>
                <c:formatCode>General</c:formatCode>
                <c:ptCount val="15"/>
                <c:pt idx="12" formatCode="#,##0.0">
                  <c:v>5215.9441999999999</c:v>
                </c:pt>
                <c:pt idx="13" formatCode="#,##0.0">
                  <c:v>6046.5583999999999</c:v>
                </c:pt>
                <c:pt idx="14" formatCode="#,##0.0">
                  <c:v>8093.7443999999996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603-604F-A84E-FC05F2A89C5D}"/>
            </c:ext>
          </c:extLst>
        </c:ser>
        <c:ser>
          <c:idx val="10"/>
          <c:order val="10"/>
          <c:tx>
            <c:strRef>
              <c:f>Resumen_Comparativo!$L$33</c:f>
              <c:strCache>
                <c:ptCount val="1"/>
                <c:pt idx="0">
                  <c:v>SARIMA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Resumen_Comparativo!$A$34:$A$48</c:f>
              <c:strCache>
                <c:ptCount val="15"/>
                <c:pt idx="0">
                  <c:v>2025-08</c:v>
                </c:pt>
                <c:pt idx="1">
                  <c:v>2025-09</c:v>
                </c:pt>
                <c:pt idx="2">
                  <c:v>2025-10</c:v>
                </c:pt>
                <c:pt idx="3">
                  <c:v>2025-11</c:v>
                </c:pt>
                <c:pt idx="4">
                  <c:v>2025-12</c:v>
                </c:pt>
                <c:pt idx="5">
                  <c:v>2026-01</c:v>
                </c:pt>
                <c:pt idx="6">
                  <c:v>2026-02</c:v>
                </c:pt>
                <c:pt idx="7">
                  <c:v>2026-03</c:v>
                </c:pt>
                <c:pt idx="8">
                  <c:v>2026-04</c:v>
                </c:pt>
                <c:pt idx="9">
                  <c:v>2026-05</c:v>
                </c:pt>
                <c:pt idx="10">
                  <c:v>2026-06</c:v>
                </c:pt>
                <c:pt idx="11">
                  <c:v>2026-07</c:v>
                </c:pt>
                <c:pt idx="12">
                  <c:v>2026-08</c:v>
                </c:pt>
                <c:pt idx="13">
                  <c:v>2026-09</c:v>
                </c:pt>
                <c:pt idx="14">
                  <c:v>2026-10</c:v>
                </c:pt>
              </c:strCache>
            </c:strRef>
          </c:cat>
          <c:val>
            <c:numRef>
              <c:f>Resumen_Comparativo!$L$34:$L$48</c:f>
              <c:numCache>
                <c:formatCode>General</c:formatCode>
                <c:ptCount val="15"/>
                <c:pt idx="12" formatCode="#,##0.0">
                  <c:v>4873.2349999999997</c:v>
                </c:pt>
                <c:pt idx="13" formatCode="#,##0.0">
                  <c:v>5613.2020000000002</c:v>
                </c:pt>
                <c:pt idx="14" formatCode="#,##0.0">
                  <c:v>7573.3239999999996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603-604F-A84E-FC05F2A89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majorGridlines/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O"/>
              <a:t>Real vs Naive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Resumen_Comparativo!$B$33</c:f>
              <c:strCache>
                <c:ptCount val="1"/>
                <c:pt idx="0">
                  <c:v>real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Resumen_Comparativo!$A$34:$A$48</c:f>
              <c:strCache>
                <c:ptCount val="15"/>
                <c:pt idx="0">
                  <c:v>2025-08</c:v>
                </c:pt>
                <c:pt idx="1">
                  <c:v>2025-09</c:v>
                </c:pt>
                <c:pt idx="2">
                  <c:v>2025-10</c:v>
                </c:pt>
                <c:pt idx="3">
                  <c:v>2025-11</c:v>
                </c:pt>
                <c:pt idx="4">
                  <c:v>2025-12</c:v>
                </c:pt>
                <c:pt idx="5">
                  <c:v>2026-01</c:v>
                </c:pt>
                <c:pt idx="6">
                  <c:v>2026-02</c:v>
                </c:pt>
                <c:pt idx="7">
                  <c:v>2026-03</c:v>
                </c:pt>
                <c:pt idx="8">
                  <c:v>2026-04</c:v>
                </c:pt>
                <c:pt idx="9">
                  <c:v>2026-05</c:v>
                </c:pt>
                <c:pt idx="10">
                  <c:v>2026-06</c:v>
                </c:pt>
                <c:pt idx="11">
                  <c:v>2026-07</c:v>
                </c:pt>
                <c:pt idx="12">
                  <c:v>2026-08</c:v>
                </c:pt>
                <c:pt idx="13">
                  <c:v>2026-09</c:v>
                </c:pt>
                <c:pt idx="14">
                  <c:v>2026-10</c:v>
                </c:pt>
              </c:strCache>
            </c:strRef>
          </c:cat>
          <c:val>
            <c:numRef>
              <c:f>Resumen_Comparativo!$B$34:$B$48</c:f>
              <c:numCache>
                <c:formatCode>#,##0.0</c:formatCode>
                <c:ptCount val="15"/>
                <c:pt idx="0">
                  <c:v>4877.567</c:v>
                </c:pt>
                <c:pt idx="1">
                  <c:v>6672.5510000000004</c:v>
                </c:pt>
                <c:pt idx="2">
                  <c:v>9619.0300000000007</c:v>
                </c:pt>
                <c:pt idx="3">
                  <c:v>7302.9219999999996</c:v>
                </c:pt>
                <c:pt idx="4">
                  <c:v>7676.57</c:v>
                </c:pt>
                <c:pt idx="5">
                  <c:v>4467.835</c:v>
                </c:pt>
                <c:pt idx="6">
                  <c:v>3492.41</c:v>
                </c:pt>
                <c:pt idx="7">
                  <c:v>5340.1480000000001</c:v>
                </c:pt>
                <c:pt idx="8">
                  <c:v>5268.3239999999996</c:v>
                </c:pt>
                <c:pt idx="9">
                  <c:v>5327.0829999999996</c:v>
                </c:pt>
                <c:pt idx="10">
                  <c:v>5044.84</c:v>
                </c:pt>
                <c:pt idx="11">
                  <c:v>5205.2460000000001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AB-C944-89B8-2D7736AE2C08}"/>
            </c:ext>
          </c:extLst>
        </c:ser>
        <c:ser>
          <c:idx val="1"/>
          <c:order val="1"/>
          <c:tx>
            <c:strRef>
              <c:f>Resumen_Comparativo!$C$33</c:f>
              <c:strCache>
                <c:ptCount val="1"/>
                <c:pt idx="0">
                  <c:v>Naive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Resumen_Comparativo!$A$34:$A$48</c:f>
              <c:strCache>
                <c:ptCount val="15"/>
                <c:pt idx="0">
                  <c:v>2025-08</c:v>
                </c:pt>
                <c:pt idx="1">
                  <c:v>2025-09</c:v>
                </c:pt>
                <c:pt idx="2">
                  <c:v>2025-10</c:v>
                </c:pt>
                <c:pt idx="3">
                  <c:v>2025-11</c:v>
                </c:pt>
                <c:pt idx="4">
                  <c:v>2025-12</c:v>
                </c:pt>
                <c:pt idx="5">
                  <c:v>2026-01</c:v>
                </c:pt>
                <c:pt idx="6">
                  <c:v>2026-02</c:v>
                </c:pt>
                <c:pt idx="7">
                  <c:v>2026-03</c:v>
                </c:pt>
                <c:pt idx="8">
                  <c:v>2026-04</c:v>
                </c:pt>
                <c:pt idx="9">
                  <c:v>2026-05</c:v>
                </c:pt>
                <c:pt idx="10">
                  <c:v>2026-06</c:v>
                </c:pt>
                <c:pt idx="11">
                  <c:v>2026-07</c:v>
                </c:pt>
                <c:pt idx="12">
                  <c:v>2026-08</c:v>
                </c:pt>
                <c:pt idx="13">
                  <c:v>2026-09</c:v>
                </c:pt>
                <c:pt idx="14">
                  <c:v>2026-10</c:v>
                </c:pt>
              </c:strCache>
            </c:strRef>
          </c:cat>
          <c:val>
            <c:numRef>
              <c:f>Resumen_Comparativo!$C$34:$C$48</c:f>
              <c:numCache>
                <c:formatCode>General</c:formatCode>
                <c:ptCount val="15"/>
                <c:pt idx="12" formatCode="#,##0.0">
                  <c:v>5205.2460000000001</c:v>
                </c:pt>
                <c:pt idx="13" formatCode="#,##0.0">
                  <c:v>5205.2460000000001</c:v>
                </c:pt>
                <c:pt idx="14" formatCode="#,##0.0">
                  <c:v>5205.2460000000001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AB-C944-89B8-2D7736AE2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Valor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O"/>
              <a:t>Real vs Naive Estacional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Resumen_Comparativo!$B$33</c:f>
              <c:strCache>
                <c:ptCount val="1"/>
                <c:pt idx="0">
                  <c:v>real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Resumen_Comparativo!$A$34:$A$48</c:f>
              <c:strCache>
                <c:ptCount val="15"/>
                <c:pt idx="0">
                  <c:v>2025-08</c:v>
                </c:pt>
                <c:pt idx="1">
                  <c:v>2025-09</c:v>
                </c:pt>
                <c:pt idx="2">
                  <c:v>2025-10</c:v>
                </c:pt>
                <c:pt idx="3">
                  <c:v>2025-11</c:v>
                </c:pt>
                <c:pt idx="4">
                  <c:v>2025-12</c:v>
                </c:pt>
                <c:pt idx="5">
                  <c:v>2026-01</c:v>
                </c:pt>
                <c:pt idx="6">
                  <c:v>2026-02</c:v>
                </c:pt>
                <c:pt idx="7">
                  <c:v>2026-03</c:v>
                </c:pt>
                <c:pt idx="8">
                  <c:v>2026-04</c:v>
                </c:pt>
                <c:pt idx="9">
                  <c:v>2026-05</c:v>
                </c:pt>
                <c:pt idx="10">
                  <c:v>2026-06</c:v>
                </c:pt>
                <c:pt idx="11">
                  <c:v>2026-07</c:v>
                </c:pt>
                <c:pt idx="12">
                  <c:v>2026-08</c:v>
                </c:pt>
                <c:pt idx="13">
                  <c:v>2026-09</c:v>
                </c:pt>
                <c:pt idx="14">
                  <c:v>2026-10</c:v>
                </c:pt>
              </c:strCache>
            </c:strRef>
          </c:cat>
          <c:val>
            <c:numRef>
              <c:f>Resumen_Comparativo!$B$34:$B$48</c:f>
              <c:numCache>
                <c:formatCode>#,##0.0</c:formatCode>
                <c:ptCount val="15"/>
                <c:pt idx="0">
                  <c:v>4877.567</c:v>
                </c:pt>
                <c:pt idx="1">
                  <c:v>6672.5510000000004</c:v>
                </c:pt>
                <c:pt idx="2">
                  <c:v>9619.0300000000007</c:v>
                </c:pt>
                <c:pt idx="3">
                  <c:v>7302.9219999999996</c:v>
                </c:pt>
                <c:pt idx="4">
                  <c:v>7676.57</c:v>
                </c:pt>
                <c:pt idx="5">
                  <c:v>4467.835</c:v>
                </c:pt>
                <c:pt idx="6">
                  <c:v>3492.41</c:v>
                </c:pt>
                <c:pt idx="7">
                  <c:v>5340.1480000000001</c:v>
                </c:pt>
                <c:pt idx="8">
                  <c:v>5268.3239999999996</c:v>
                </c:pt>
                <c:pt idx="9">
                  <c:v>5327.0829999999996</c:v>
                </c:pt>
                <c:pt idx="10">
                  <c:v>5044.84</c:v>
                </c:pt>
                <c:pt idx="11">
                  <c:v>5205.2460000000001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ED-7845-9F74-01095778BF4E}"/>
            </c:ext>
          </c:extLst>
        </c:ser>
        <c:ser>
          <c:idx val="1"/>
          <c:order val="1"/>
          <c:tx>
            <c:strRef>
              <c:f>Resumen_Comparativo!$D$33</c:f>
              <c:strCache>
                <c:ptCount val="1"/>
                <c:pt idx="0">
                  <c:v>Naive Estacional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Resumen_Comparativo!$A$34:$A$48</c:f>
              <c:strCache>
                <c:ptCount val="15"/>
                <c:pt idx="0">
                  <c:v>2025-08</c:v>
                </c:pt>
                <c:pt idx="1">
                  <c:v>2025-09</c:v>
                </c:pt>
                <c:pt idx="2">
                  <c:v>2025-10</c:v>
                </c:pt>
                <c:pt idx="3">
                  <c:v>2025-11</c:v>
                </c:pt>
                <c:pt idx="4">
                  <c:v>2025-12</c:v>
                </c:pt>
                <c:pt idx="5">
                  <c:v>2026-01</c:v>
                </c:pt>
                <c:pt idx="6">
                  <c:v>2026-02</c:v>
                </c:pt>
                <c:pt idx="7">
                  <c:v>2026-03</c:v>
                </c:pt>
                <c:pt idx="8">
                  <c:v>2026-04</c:v>
                </c:pt>
                <c:pt idx="9">
                  <c:v>2026-05</c:v>
                </c:pt>
                <c:pt idx="10">
                  <c:v>2026-06</c:v>
                </c:pt>
                <c:pt idx="11">
                  <c:v>2026-07</c:v>
                </c:pt>
                <c:pt idx="12">
                  <c:v>2026-08</c:v>
                </c:pt>
                <c:pt idx="13">
                  <c:v>2026-09</c:v>
                </c:pt>
                <c:pt idx="14">
                  <c:v>2026-10</c:v>
                </c:pt>
              </c:strCache>
            </c:strRef>
          </c:cat>
          <c:val>
            <c:numRef>
              <c:f>Resumen_Comparativo!$D$34:$D$48</c:f>
              <c:numCache>
                <c:formatCode>General</c:formatCode>
                <c:ptCount val="15"/>
                <c:pt idx="12" formatCode="#,##0.0">
                  <c:v>4877.567</c:v>
                </c:pt>
                <c:pt idx="13" formatCode="#,##0.0">
                  <c:v>6672.5510000000004</c:v>
                </c:pt>
                <c:pt idx="14" formatCode="#,##0.0">
                  <c:v>9619.0300000000007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ED-7845-9F74-01095778B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Valor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O"/>
              <a:t>Real vs Promedio Simple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Resumen_Comparativo!$B$33</c:f>
              <c:strCache>
                <c:ptCount val="1"/>
                <c:pt idx="0">
                  <c:v>real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Resumen_Comparativo!$A$34:$A$48</c:f>
              <c:strCache>
                <c:ptCount val="15"/>
                <c:pt idx="0">
                  <c:v>2025-08</c:v>
                </c:pt>
                <c:pt idx="1">
                  <c:v>2025-09</c:v>
                </c:pt>
                <c:pt idx="2">
                  <c:v>2025-10</c:v>
                </c:pt>
                <c:pt idx="3">
                  <c:v>2025-11</c:v>
                </c:pt>
                <c:pt idx="4">
                  <c:v>2025-12</c:v>
                </c:pt>
                <c:pt idx="5">
                  <c:v>2026-01</c:v>
                </c:pt>
                <c:pt idx="6">
                  <c:v>2026-02</c:v>
                </c:pt>
                <c:pt idx="7">
                  <c:v>2026-03</c:v>
                </c:pt>
                <c:pt idx="8">
                  <c:v>2026-04</c:v>
                </c:pt>
                <c:pt idx="9">
                  <c:v>2026-05</c:v>
                </c:pt>
                <c:pt idx="10">
                  <c:v>2026-06</c:v>
                </c:pt>
                <c:pt idx="11">
                  <c:v>2026-07</c:v>
                </c:pt>
                <c:pt idx="12">
                  <c:v>2026-08</c:v>
                </c:pt>
                <c:pt idx="13">
                  <c:v>2026-09</c:v>
                </c:pt>
                <c:pt idx="14">
                  <c:v>2026-10</c:v>
                </c:pt>
              </c:strCache>
            </c:strRef>
          </c:cat>
          <c:val>
            <c:numRef>
              <c:f>Resumen_Comparativo!$B$34:$B$48</c:f>
              <c:numCache>
                <c:formatCode>#,##0.0</c:formatCode>
                <c:ptCount val="15"/>
                <c:pt idx="0">
                  <c:v>4877.567</c:v>
                </c:pt>
                <c:pt idx="1">
                  <c:v>6672.5510000000004</c:v>
                </c:pt>
                <c:pt idx="2">
                  <c:v>9619.0300000000007</c:v>
                </c:pt>
                <c:pt idx="3">
                  <c:v>7302.9219999999996</c:v>
                </c:pt>
                <c:pt idx="4">
                  <c:v>7676.57</c:v>
                </c:pt>
                <c:pt idx="5">
                  <c:v>4467.835</c:v>
                </c:pt>
                <c:pt idx="6">
                  <c:v>3492.41</c:v>
                </c:pt>
                <c:pt idx="7">
                  <c:v>5340.1480000000001</c:v>
                </c:pt>
                <c:pt idx="8">
                  <c:v>5268.3239999999996</c:v>
                </c:pt>
                <c:pt idx="9">
                  <c:v>5327.0829999999996</c:v>
                </c:pt>
                <c:pt idx="10">
                  <c:v>5044.84</c:v>
                </c:pt>
                <c:pt idx="11">
                  <c:v>5205.2460000000001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CF-0848-A3E3-DA2A86F668A6}"/>
            </c:ext>
          </c:extLst>
        </c:ser>
        <c:ser>
          <c:idx val="1"/>
          <c:order val="1"/>
          <c:tx>
            <c:strRef>
              <c:f>Resumen_Comparativo!$E$33</c:f>
              <c:strCache>
                <c:ptCount val="1"/>
                <c:pt idx="0">
                  <c:v>Promedio Simple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Resumen_Comparativo!$A$34:$A$48</c:f>
              <c:strCache>
                <c:ptCount val="15"/>
                <c:pt idx="0">
                  <c:v>2025-08</c:v>
                </c:pt>
                <c:pt idx="1">
                  <c:v>2025-09</c:v>
                </c:pt>
                <c:pt idx="2">
                  <c:v>2025-10</c:v>
                </c:pt>
                <c:pt idx="3">
                  <c:v>2025-11</c:v>
                </c:pt>
                <c:pt idx="4">
                  <c:v>2025-12</c:v>
                </c:pt>
                <c:pt idx="5">
                  <c:v>2026-01</c:v>
                </c:pt>
                <c:pt idx="6">
                  <c:v>2026-02</c:v>
                </c:pt>
                <c:pt idx="7">
                  <c:v>2026-03</c:v>
                </c:pt>
                <c:pt idx="8">
                  <c:v>2026-04</c:v>
                </c:pt>
                <c:pt idx="9">
                  <c:v>2026-05</c:v>
                </c:pt>
                <c:pt idx="10">
                  <c:v>2026-06</c:v>
                </c:pt>
                <c:pt idx="11">
                  <c:v>2026-07</c:v>
                </c:pt>
                <c:pt idx="12">
                  <c:v>2026-08</c:v>
                </c:pt>
                <c:pt idx="13">
                  <c:v>2026-09</c:v>
                </c:pt>
                <c:pt idx="14">
                  <c:v>2026-10</c:v>
                </c:pt>
              </c:strCache>
            </c:strRef>
          </c:cat>
          <c:val>
            <c:numRef>
              <c:f>Resumen_Comparativo!$E$34:$E$48</c:f>
              <c:numCache>
                <c:formatCode>General</c:formatCode>
                <c:ptCount val="15"/>
                <c:pt idx="12" formatCode="#,##0.0">
                  <c:v>7455.0553541666677</c:v>
                </c:pt>
                <c:pt idx="13" formatCode="#,##0.0">
                  <c:v>7455.0553541666677</c:v>
                </c:pt>
                <c:pt idx="14" formatCode="#,##0.0">
                  <c:v>7455.0553541666677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CF-0848-A3E3-DA2A86F66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Valor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O"/>
              <a:t>Real vs Media Movil (3)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Resumen_Comparativo!$B$33</c:f>
              <c:strCache>
                <c:ptCount val="1"/>
                <c:pt idx="0">
                  <c:v>real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Resumen_Comparativo!$A$34:$A$48</c:f>
              <c:strCache>
                <c:ptCount val="15"/>
                <c:pt idx="0">
                  <c:v>2025-08</c:v>
                </c:pt>
                <c:pt idx="1">
                  <c:v>2025-09</c:v>
                </c:pt>
                <c:pt idx="2">
                  <c:v>2025-10</c:v>
                </c:pt>
                <c:pt idx="3">
                  <c:v>2025-11</c:v>
                </c:pt>
                <c:pt idx="4">
                  <c:v>2025-12</c:v>
                </c:pt>
                <c:pt idx="5">
                  <c:v>2026-01</c:v>
                </c:pt>
                <c:pt idx="6">
                  <c:v>2026-02</c:v>
                </c:pt>
                <c:pt idx="7">
                  <c:v>2026-03</c:v>
                </c:pt>
                <c:pt idx="8">
                  <c:v>2026-04</c:v>
                </c:pt>
                <c:pt idx="9">
                  <c:v>2026-05</c:v>
                </c:pt>
                <c:pt idx="10">
                  <c:v>2026-06</c:v>
                </c:pt>
                <c:pt idx="11">
                  <c:v>2026-07</c:v>
                </c:pt>
                <c:pt idx="12">
                  <c:v>2026-08</c:v>
                </c:pt>
                <c:pt idx="13">
                  <c:v>2026-09</c:v>
                </c:pt>
                <c:pt idx="14">
                  <c:v>2026-10</c:v>
                </c:pt>
              </c:strCache>
            </c:strRef>
          </c:cat>
          <c:val>
            <c:numRef>
              <c:f>Resumen_Comparativo!$B$34:$B$48</c:f>
              <c:numCache>
                <c:formatCode>#,##0.0</c:formatCode>
                <c:ptCount val="15"/>
                <c:pt idx="0">
                  <c:v>4877.567</c:v>
                </c:pt>
                <c:pt idx="1">
                  <c:v>6672.5510000000004</c:v>
                </c:pt>
                <c:pt idx="2">
                  <c:v>9619.0300000000007</c:v>
                </c:pt>
                <c:pt idx="3">
                  <c:v>7302.9219999999996</c:v>
                </c:pt>
                <c:pt idx="4">
                  <c:v>7676.57</c:v>
                </c:pt>
                <c:pt idx="5">
                  <c:v>4467.835</c:v>
                </c:pt>
                <c:pt idx="6">
                  <c:v>3492.41</c:v>
                </c:pt>
                <c:pt idx="7">
                  <c:v>5340.1480000000001</c:v>
                </c:pt>
                <c:pt idx="8">
                  <c:v>5268.3239999999996</c:v>
                </c:pt>
                <c:pt idx="9">
                  <c:v>5327.0829999999996</c:v>
                </c:pt>
                <c:pt idx="10">
                  <c:v>5044.84</c:v>
                </c:pt>
                <c:pt idx="11">
                  <c:v>5205.2460000000001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E0-9D48-9CE3-7B02F3059FE7}"/>
            </c:ext>
          </c:extLst>
        </c:ser>
        <c:ser>
          <c:idx val="1"/>
          <c:order val="1"/>
          <c:tx>
            <c:strRef>
              <c:f>Resumen_Comparativo!$F$33</c:f>
              <c:strCache>
                <c:ptCount val="1"/>
                <c:pt idx="0">
                  <c:v>Media Movil (3)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Resumen_Comparativo!$A$34:$A$48</c:f>
              <c:strCache>
                <c:ptCount val="15"/>
                <c:pt idx="0">
                  <c:v>2025-08</c:v>
                </c:pt>
                <c:pt idx="1">
                  <c:v>2025-09</c:v>
                </c:pt>
                <c:pt idx="2">
                  <c:v>2025-10</c:v>
                </c:pt>
                <c:pt idx="3">
                  <c:v>2025-11</c:v>
                </c:pt>
                <c:pt idx="4">
                  <c:v>2025-12</c:v>
                </c:pt>
                <c:pt idx="5">
                  <c:v>2026-01</c:v>
                </c:pt>
                <c:pt idx="6">
                  <c:v>2026-02</c:v>
                </c:pt>
                <c:pt idx="7">
                  <c:v>2026-03</c:v>
                </c:pt>
                <c:pt idx="8">
                  <c:v>2026-04</c:v>
                </c:pt>
                <c:pt idx="9">
                  <c:v>2026-05</c:v>
                </c:pt>
                <c:pt idx="10">
                  <c:v>2026-06</c:v>
                </c:pt>
                <c:pt idx="11">
                  <c:v>2026-07</c:v>
                </c:pt>
                <c:pt idx="12">
                  <c:v>2026-08</c:v>
                </c:pt>
                <c:pt idx="13">
                  <c:v>2026-09</c:v>
                </c:pt>
                <c:pt idx="14">
                  <c:v>2026-10</c:v>
                </c:pt>
              </c:strCache>
            </c:strRef>
          </c:cat>
          <c:val>
            <c:numRef>
              <c:f>Resumen_Comparativo!$F$34:$F$48</c:f>
              <c:numCache>
                <c:formatCode>General</c:formatCode>
                <c:ptCount val="15"/>
                <c:pt idx="12" formatCode="#,##0.0">
                  <c:v>5192.389666666666</c:v>
                </c:pt>
                <c:pt idx="13" formatCode="#,##0.0">
                  <c:v>5192.389666666666</c:v>
                </c:pt>
                <c:pt idx="14" formatCode="#,##0.0">
                  <c:v>5192.389666666666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E0-9D48-9CE3-7B02F3059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Valor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O"/>
              <a:t>Real vs Media Movil (12)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Resumen_Comparativo!$B$33</c:f>
              <c:strCache>
                <c:ptCount val="1"/>
                <c:pt idx="0">
                  <c:v>real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Resumen_Comparativo!$A$34:$A$48</c:f>
              <c:strCache>
                <c:ptCount val="15"/>
                <c:pt idx="0">
                  <c:v>2025-08</c:v>
                </c:pt>
                <c:pt idx="1">
                  <c:v>2025-09</c:v>
                </c:pt>
                <c:pt idx="2">
                  <c:v>2025-10</c:v>
                </c:pt>
                <c:pt idx="3">
                  <c:v>2025-11</c:v>
                </c:pt>
                <c:pt idx="4">
                  <c:v>2025-12</c:v>
                </c:pt>
                <c:pt idx="5">
                  <c:v>2026-01</c:v>
                </c:pt>
                <c:pt idx="6">
                  <c:v>2026-02</c:v>
                </c:pt>
                <c:pt idx="7">
                  <c:v>2026-03</c:v>
                </c:pt>
                <c:pt idx="8">
                  <c:v>2026-04</c:v>
                </c:pt>
                <c:pt idx="9">
                  <c:v>2026-05</c:v>
                </c:pt>
                <c:pt idx="10">
                  <c:v>2026-06</c:v>
                </c:pt>
                <c:pt idx="11">
                  <c:v>2026-07</c:v>
                </c:pt>
                <c:pt idx="12">
                  <c:v>2026-08</c:v>
                </c:pt>
                <c:pt idx="13">
                  <c:v>2026-09</c:v>
                </c:pt>
                <c:pt idx="14">
                  <c:v>2026-10</c:v>
                </c:pt>
              </c:strCache>
            </c:strRef>
          </c:cat>
          <c:val>
            <c:numRef>
              <c:f>Resumen_Comparativo!$B$34:$B$48</c:f>
              <c:numCache>
                <c:formatCode>#,##0.0</c:formatCode>
                <c:ptCount val="15"/>
                <c:pt idx="0">
                  <c:v>4877.567</c:v>
                </c:pt>
                <c:pt idx="1">
                  <c:v>6672.5510000000004</c:v>
                </c:pt>
                <c:pt idx="2">
                  <c:v>9619.0300000000007</c:v>
                </c:pt>
                <c:pt idx="3">
                  <c:v>7302.9219999999996</c:v>
                </c:pt>
                <c:pt idx="4">
                  <c:v>7676.57</c:v>
                </c:pt>
                <c:pt idx="5">
                  <c:v>4467.835</c:v>
                </c:pt>
                <c:pt idx="6">
                  <c:v>3492.41</c:v>
                </c:pt>
                <c:pt idx="7">
                  <c:v>5340.1480000000001</c:v>
                </c:pt>
                <c:pt idx="8">
                  <c:v>5268.3239999999996</c:v>
                </c:pt>
                <c:pt idx="9">
                  <c:v>5327.0829999999996</c:v>
                </c:pt>
                <c:pt idx="10">
                  <c:v>5044.84</c:v>
                </c:pt>
                <c:pt idx="11">
                  <c:v>5205.2460000000001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08-9A4B-9867-6AF8A5B549A0}"/>
            </c:ext>
          </c:extLst>
        </c:ser>
        <c:ser>
          <c:idx val="1"/>
          <c:order val="1"/>
          <c:tx>
            <c:strRef>
              <c:f>Resumen_Comparativo!$G$33</c:f>
              <c:strCache>
                <c:ptCount val="1"/>
                <c:pt idx="0">
                  <c:v>Media Movil (12)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Resumen_Comparativo!$A$34:$A$48</c:f>
              <c:strCache>
                <c:ptCount val="15"/>
                <c:pt idx="0">
                  <c:v>2025-08</c:v>
                </c:pt>
                <c:pt idx="1">
                  <c:v>2025-09</c:v>
                </c:pt>
                <c:pt idx="2">
                  <c:v>2025-10</c:v>
                </c:pt>
                <c:pt idx="3">
                  <c:v>2025-11</c:v>
                </c:pt>
                <c:pt idx="4">
                  <c:v>2025-12</c:v>
                </c:pt>
                <c:pt idx="5">
                  <c:v>2026-01</c:v>
                </c:pt>
                <c:pt idx="6">
                  <c:v>2026-02</c:v>
                </c:pt>
                <c:pt idx="7">
                  <c:v>2026-03</c:v>
                </c:pt>
                <c:pt idx="8">
                  <c:v>2026-04</c:v>
                </c:pt>
                <c:pt idx="9">
                  <c:v>2026-05</c:v>
                </c:pt>
                <c:pt idx="10">
                  <c:v>2026-06</c:v>
                </c:pt>
                <c:pt idx="11">
                  <c:v>2026-07</c:v>
                </c:pt>
                <c:pt idx="12">
                  <c:v>2026-08</c:v>
                </c:pt>
                <c:pt idx="13">
                  <c:v>2026-09</c:v>
                </c:pt>
                <c:pt idx="14">
                  <c:v>2026-10</c:v>
                </c:pt>
              </c:strCache>
            </c:strRef>
          </c:cat>
          <c:val>
            <c:numRef>
              <c:f>Resumen_Comparativo!$G$34:$G$48</c:f>
              <c:numCache>
                <c:formatCode>General</c:formatCode>
                <c:ptCount val="15"/>
                <c:pt idx="12" formatCode="#,##0.0">
                  <c:v>5857.8771666666662</c:v>
                </c:pt>
                <c:pt idx="13" formatCode="#,##0.0">
                  <c:v>5857.8771666666662</c:v>
                </c:pt>
                <c:pt idx="14" formatCode="#,##0.0">
                  <c:v>5857.8771666666662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08-9A4B-9867-6AF8A5B54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Valor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O"/>
              <a:t>Real vs SES (Suavizacion Exponencial Simple)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Resumen_Comparativo!$B$33</c:f>
              <c:strCache>
                <c:ptCount val="1"/>
                <c:pt idx="0">
                  <c:v>real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Resumen_Comparativo!$A$34:$A$48</c:f>
              <c:strCache>
                <c:ptCount val="15"/>
                <c:pt idx="0">
                  <c:v>2025-08</c:v>
                </c:pt>
                <c:pt idx="1">
                  <c:v>2025-09</c:v>
                </c:pt>
                <c:pt idx="2">
                  <c:v>2025-10</c:v>
                </c:pt>
                <c:pt idx="3">
                  <c:v>2025-11</c:v>
                </c:pt>
                <c:pt idx="4">
                  <c:v>2025-12</c:v>
                </c:pt>
                <c:pt idx="5">
                  <c:v>2026-01</c:v>
                </c:pt>
                <c:pt idx="6">
                  <c:v>2026-02</c:v>
                </c:pt>
                <c:pt idx="7">
                  <c:v>2026-03</c:v>
                </c:pt>
                <c:pt idx="8">
                  <c:v>2026-04</c:v>
                </c:pt>
                <c:pt idx="9">
                  <c:v>2026-05</c:v>
                </c:pt>
                <c:pt idx="10">
                  <c:v>2026-06</c:v>
                </c:pt>
                <c:pt idx="11">
                  <c:v>2026-07</c:v>
                </c:pt>
                <c:pt idx="12">
                  <c:v>2026-08</c:v>
                </c:pt>
                <c:pt idx="13">
                  <c:v>2026-09</c:v>
                </c:pt>
                <c:pt idx="14">
                  <c:v>2026-10</c:v>
                </c:pt>
              </c:strCache>
            </c:strRef>
          </c:cat>
          <c:val>
            <c:numRef>
              <c:f>Resumen_Comparativo!$B$34:$B$48</c:f>
              <c:numCache>
                <c:formatCode>#,##0.0</c:formatCode>
                <c:ptCount val="15"/>
                <c:pt idx="0">
                  <c:v>4877.567</c:v>
                </c:pt>
                <c:pt idx="1">
                  <c:v>6672.5510000000004</c:v>
                </c:pt>
                <c:pt idx="2">
                  <c:v>9619.0300000000007</c:v>
                </c:pt>
                <c:pt idx="3">
                  <c:v>7302.9219999999996</c:v>
                </c:pt>
                <c:pt idx="4">
                  <c:v>7676.57</c:v>
                </c:pt>
                <c:pt idx="5">
                  <c:v>4467.835</c:v>
                </c:pt>
                <c:pt idx="6">
                  <c:v>3492.41</c:v>
                </c:pt>
                <c:pt idx="7">
                  <c:v>5340.1480000000001</c:v>
                </c:pt>
                <c:pt idx="8">
                  <c:v>5268.3239999999996</c:v>
                </c:pt>
                <c:pt idx="9">
                  <c:v>5327.0829999999996</c:v>
                </c:pt>
                <c:pt idx="10">
                  <c:v>5044.84</c:v>
                </c:pt>
                <c:pt idx="11">
                  <c:v>5205.2460000000001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FA-DC4D-9A60-C523BEF54981}"/>
            </c:ext>
          </c:extLst>
        </c:ser>
        <c:ser>
          <c:idx val="1"/>
          <c:order val="1"/>
          <c:tx>
            <c:strRef>
              <c:f>Resumen_Comparativo!$H$33</c:f>
              <c:strCache>
                <c:ptCount val="1"/>
                <c:pt idx="0">
                  <c:v>SES (Suavizacion Exponencial Simple)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Resumen_Comparativo!$A$34:$A$48</c:f>
              <c:strCache>
                <c:ptCount val="15"/>
                <c:pt idx="0">
                  <c:v>2025-08</c:v>
                </c:pt>
                <c:pt idx="1">
                  <c:v>2025-09</c:v>
                </c:pt>
                <c:pt idx="2">
                  <c:v>2025-10</c:v>
                </c:pt>
                <c:pt idx="3">
                  <c:v>2025-11</c:v>
                </c:pt>
                <c:pt idx="4">
                  <c:v>2025-12</c:v>
                </c:pt>
                <c:pt idx="5">
                  <c:v>2026-01</c:v>
                </c:pt>
                <c:pt idx="6">
                  <c:v>2026-02</c:v>
                </c:pt>
                <c:pt idx="7">
                  <c:v>2026-03</c:v>
                </c:pt>
                <c:pt idx="8">
                  <c:v>2026-04</c:v>
                </c:pt>
                <c:pt idx="9">
                  <c:v>2026-05</c:v>
                </c:pt>
                <c:pt idx="10">
                  <c:v>2026-06</c:v>
                </c:pt>
                <c:pt idx="11">
                  <c:v>2026-07</c:v>
                </c:pt>
                <c:pt idx="12">
                  <c:v>2026-08</c:v>
                </c:pt>
                <c:pt idx="13">
                  <c:v>2026-09</c:v>
                </c:pt>
                <c:pt idx="14">
                  <c:v>2026-10</c:v>
                </c:pt>
              </c:strCache>
            </c:strRef>
          </c:cat>
          <c:val>
            <c:numRef>
              <c:f>Resumen_Comparativo!$H$34:$H$48</c:f>
              <c:numCache>
                <c:formatCode>General</c:formatCode>
                <c:ptCount val="15"/>
                <c:pt idx="12" formatCode="#,##0.0">
                  <c:v>5175.175066410382</c:v>
                </c:pt>
                <c:pt idx="13" formatCode="#,##0.0">
                  <c:v>5175.175066410382</c:v>
                </c:pt>
                <c:pt idx="14" formatCode="#,##0.0">
                  <c:v>5175.175066410382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FA-DC4D-9A60-C523BEF549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Valor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t>Real vs Holt (doble)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Resumen_Comparativo!$B$33</c:f>
              <c:strCache>
                <c:ptCount val="1"/>
                <c:pt idx="0">
                  <c:v>real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Resumen_Comparativo!$A$34:$A$48</c:f>
              <c:strCache>
                <c:ptCount val="15"/>
                <c:pt idx="0">
                  <c:v>2025-08</c:v>
                </c:pt>
                <c:pt idx="1">
                  <c:v>2025-09</c:v>
                </c:pt>
                <c:pt idx="2">
                  <c:v>2025-10</c:v>
                </c:pt>
                <c:pt idx="3">
                  <c:v>2025-11</c:v>
                </c:pt>
                <c:pt idx="4">
                  <c:v>2025-12</c:v>
                </c:pt>
                <c:pt idx="5">
                  <c:v>2026-01</c:v>
                </c:pt>
                <c:pt idx="6">
                  <c:v>2026-02</c:v>
                </c:pt>
                <c:pt idx="7">
                  <c:v>2026-03</c:v>
                </c:pt>
                <c:pt idx="8">
                  <c:v>2026-04</c:v>
                </c:pt>
                <c:pt idx="9">
                  <c:v>2026-05</c:v>
                </c:pt>
                <c:pt idx="10">
                  <c:v>2026-06</c:v>
                </c:pt>
                <c:pt idx="11">
                  <c:v>2026-07</c:v>
                </c:pt>
                <c:pt idx="12">
                  <c:v>2026-08</c:v>
                </c:pt>
                <c:pt idx="13">
                  <c:v>2026-09</c:v>
                </c:pt>
                <c:pt idx="14">
                  <c:v>2026-10</c:v>
                </c:pt>
              </c:strCache>
            </c:strRef>
          </c:cat>
          <c:val>
            <c:numRef>
              <c:f>Resumen_Comparativo!$B$34:$B$48</c:f>
              <c:numCache>
                <c:formatCode>#,##0.0</c:formatCode>
                <c:ptCount val="15"/>
                <c:pt idx="0">
                  <c:v>4877.567</c:v>
                </c:pt>
                <c:pt idx="1">
                  <c:v>6672.5510000000004</c:v>
                </c:pt>
                <c:pt idx="2">
                  <c:v>9619.0300000000007</c:v>
                </c:pt>
                <c:pt idx="3">
                  <c:v>7302.9219999999996</c:v>
                </c:pt>
                <c:pt idx="4">
                  <c:v>7676.57</c:v>
                </c:pt>
                <c:pt idx="5">
                  <c:v>4467.835</c:v>
                </c:pt>
                <c:pt idx="6">
                  <c:v>3492.41</c:v>
                </c:pt>
                <c:pt idx="7">
                  <c:v>5340.1480000000001</c:v>
                </c:pt>
                <c:pt idx="8">
                  <c:v>5268.3239999999996</c:v>
                </c:pt>
                <c:pt idx="9">
                  <c:v>5327.0829999999996</c:v>
                </c:pt>
                <c:pt idx="10">
                  <c:v>5044.84</c:v>
                </c:pt>
                <c:pt idx="11">
                  <c:v>5205.2460000000001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D1-2748-A504-7C4AC3E8E4A3}"/>
            </c:ext>
          </c:extLst>
        </c:ser>
        <c:ser>
          <c:idx val="1"/>
          <c:order val="1"/>
          <c:tx>
            <c:strRef>
              <c:f>Resumen_Comparativo!$I$33</c:f>
              <c:strCache>
                <c:ptCount val="1"/>
                <c:pt idx="0">
                  <c:v>Holt (doble)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Resumen_Comparativo!$A$34:$A$48</c:f>
              <c:strCache>
                <c:ptCount val="15"/>
                <c:pt idx="0">
                  <c:v>2025-08</c:v>
                </c:pt>
                <c:pt idx="1">
                  <c:v>2025-09</c:v>
                </c:pt>
                <c:pt idx="2">
                  <c:v>2025-10</c:v>
                </c:pt>
                <c:pt idx="3">
                  <c:v>2025-11</c:v>
                </c:pt>
                <c:pt idx="4">
                  <c:v>2025-12</c:v>
                </c:pt>
                <c:pt idx="5">
                  <c:v>2026-01</c:v>
                </c:pt>
                <c:pt idx="6">
                  <c:v>2026-02</c:v>
                </c:pt>
                <c:pt idx="7">
                  <c:v>2026-03</c:v>
                </c:pt>
                <c:pt idx="8">
                  <c:v>2026-04</c:v>
                </c:pt>
                <c:pt idx="9">
                  <c:v>2026-05</c:v>
                </c:pt>
                <c:pt idx="10">
                  <c:v>2026-06</c:v>
                </c:pt>
                <c:pt idx="11">
                  <c:v>2026-07</c:v>
                </c:pt>
                <c:pt idx="12">
                  <c:v>2026-08</c:v>
                </c:pt>
                <c:pt idx="13">
                  <c:v>2026-09</c:v>
                </c:pt>
                <c:pt idx="14">
                  <c:v>2026-10</c:v>
                </c:pt>
              </c:strCache>
            </c:strRef>
          </c:cat>
          <c:val>
            <c:numRef>
              <c:f>Resumen_Comparativo!$I$34:$I$48</c:f>
              <c:numCache>
                <c:formatCode>General</c:formatCode>
                <c:ptCount val="15"/>
                <c:pt idx="12" formatCode="#,##0.0">
                  <c:v>4175.2201229194925</c:v>
                </c:pt>
                <c:pt idx="13" formatCode="#,##0.0">
                  <c:v>3844.3946499194926</c:v>
                </c:pt>
                <c:pt idx="14" formatCode="#,##0.0">
                  <c:v>3513.5691769194923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D1-2748-A504-7C4AC3E8E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Valor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t>Real vs Holt-Winters (triple)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Resumen_Comparativo!$B$33</c:f>
              <c:strCache>
                <c:ptCount val="1"/>
                <c:pt idx="0">
                  <c:v>real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Resumen_Comparativo!$A$34:$A$48</c:f>
              <c:strCache>
                <c:ptCount val="15"/>
                <c:pt idx="0">
                  <c:v>2025-08</c:v>
                </c:pt>
                <c:pt idx="1">
                  <c:v>2025-09</c:v>
                </c:pt>
                <c:pt idx="2">
                  <c:v>2025-10</c:v>
                </c:pt>
                <c:pt idx="3">
                  <c:v>2025-11</c:v>
                </c:pt>
                <c:pt idx="4">
                  <c:v>2025-12</c:v>
                </c:pt>
                <c:pt idx="5">
                  <c:v>2026-01</c:v>
                </c:pt>
                <c:pt idx="6">
                  <c:v>2026-02</c:v>
                </c:pt>
                <c:pt idx="7">
                  <c:v>2026-03</c:v>
                </c:pt>
                <c:pt idx="8">
                  <c:v>2026-04</c:v>
                </c:pt>
                <c:pt idx="9">
                  <c:v>2026-05</c:v>
                </c:pt>
                <c:pt idx="10">
                  <c:v>2026-06</c:v>
                </c:pt>
                <c:pt idx="11">
                  <c:v>2026-07</c:v>
                </c:pt>
                <c:pt idx="12">
                  <c:v>2026-08</c:v>
                </c:pt>
                <c:pt idx="13">
                  <c:v>2026-09</c:v>
                </c:pt>
                <c:pt idx="14">
                  <c:v>2026-10</c:v>
                </c:pt>
              </c:strCache>
            </c:strRef>
          </c:cat>
          <c:val>
            <c:numRef>
              <c:f>Resumen_Comparativo!$B$34:$B$48</c:f>
              <c:numCache>
                <c:formatCode>#,##0.0</c:formatCode>
                <c:ptCount val="15"/>
                <c:pt idx="0">
                  <c:v>4877.567</c:v>
                </c:pt>
                <c:pt idx="1">
                  <c:v>6672.5510000000004</c:v>
                </c:pt>
                <c:pt idx="2">
                  <c:v>9619.0300000000007</c:v>
                </c:pt>
                <c:pt idx="3">
                  <c:v>7302.9219999999996</c:v>
                </c:pt>
                <c:pt idx="4">
                  <c:v>7676.57</c:v>
                </c:pt>
                <c:pt idx="5">
                  <c:v>4467.835</c:v>
                </c:pt>
                <c:pt idx="6">
                  <c:v>3492.41</c:v>
                </c:pt>
                <c:pt idx="7">
                  <c:v>5340.1480000000001</c:v>
                </c:pt>
                <c:pt idx="8">
                  <c:v>5268.3239999999996</c:v>
                </c:pt>
                <c:pt idx="9">
                  <c:v>5327.0829999999996</c:v>
                </c:pt>
                <c:pt idx="10">
                  <c:v>5044.84</c:v>
                </c:pt>
                <c:pt idx="11">
                  <c:v>5205.2460000000001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4B-6547-822A-176985D98500}"/>
            </c:ext>
          </c:extLst>
        </c:ser>
        <c:ser>
          <c:idx val="1"/>
          <c:order val="1"/>
          <c:tx>
            <c:strRef>
              <c:f>Resumen_Comparativo!$J$33</c:f>
              <c:strCache>
                <c:ptCount val="1"/>
                <c:pt idx="0">
                  <c:v>Holt-Winters (triple)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Resumen_Comparativo!$A$34:$A$48</c:f>
              <c:strCache>
                <c:ptCount val="15"/>
                <c:pt idx="0">
                  <c:v>2025-08</c:v>
                </c:pt>
                <c:pt idx="1">
                  <c:v>2025-09</c:v>
                </c:pt>
                <c:pt idx="2">
                  <c:v>2025-10</c:v>
                </c:pt>
                <c:pt idx="3">
                  <c:v>2025-11</c:v>
                </c:pt>
                <c:pt idx="4">
                  <c:v>2025-12</c:v>
                </c:pt>
                <c:pt idx="5">
                  <c:v>2026-01</c:v>
                </c:pt>
                <c:pt idx="6">
                  <c:v>2026-02</c:v>
                </c:pt>
                <c:pt idx="7">
                  <c:v>2026-03</c:v>
                </c:pt>
                <c:pt idx="8">
                  <c:v>2026-04</c:v>
                </c:pt>
                <c:pt idx="9">
                  <c:v>2026-05</c:v>
                </c:pt>
                <c:pt idx="10">
                  <c:v>2026-06</c:v>
                </c:pt>
                <c:pt idx="11">
                  <c:v>2026-07</c:v>
                </c:pt>
                <c:pt idx="12">
                  <c:v>2026-08</c:v>
                </c:pt>
                <c:pt idx="13">
                  <c:v>2026-09</c:v>
                </c:pt>
                <c:pt idx="14">
                  <c:v>2026-10</c:v>
                </c:pt>
              </c:strCache>
            </c:strRef>
          </c:cat>
          <c:val>
            <c:numRef>
              <c:f>Resumen_Comparativo!$J$34:$J$48</c:f>
              <c:numCache>
                <c:formatCode>General</c:formatCode>
                <c:ptCount val="15"/>
                <c:pt idx="12" formatCode="#,##0.0">
                  <c:v>4097.8386354793984</c:v>
                </c:pt>
                <c:pt idx="13" formatCode="#,##0.0">
                  <c:v>5338.0773849679244</c:v>
                </c:pt>
                <c:pt idx="14" formatCode="#,##0.0">
                  <c:v>8211.6209294467153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4B-6547-822A-176985D98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Valor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t>Real vs Regresion Lineal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Resumen_Comparativo!$B$33</c:f>
              <c:strCache>
                <c:ptCount val="1"/>
                <c:pt idx="0">
                  <c:v>real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Resumen_Comparativo!$A$34:$A$48</c:f>
              <c:strCache>
                <c:ptCount val="15"/>
                <c:pt idx="0">
                  <c:v>2025-08</c:v>
                </c:pt>
                <c:pt idx="1">
                  <c:v>2025-09</c:v>
                </c:pt>
                <c:pt idx="2">
                  <c:v>2025-10</c:v>
                </c:pt>
                <c:pt idx="3">
                  <c:v>2025-11</c:v>
                </c:pt>
                <c:pt idx="4">
                  <c:v>2025-12</c:v>
                </c:pt>
                <c:pt idx="5">
                  <c:v>2026-01</c:v>
                </c:pt>
                <c:pt idx="6">
                  <c:v>2026-02</c:v>
                </c:pt>
                <c:pt idx="7">
                  <c:v>2026-03</c:v>
                </c:pt>
                <c:pt idx="8">
                  <c:v>2026-04</c:v>
                </c:pt>
                <c:pt idx="9">
                  <c:v>2026-05</c:v>
                </c:pt>
                <c:pt idx="10">
                  <c:v>2026-06</c:v>
                </c:pt>
                <c:pt idx="11">
                  <c:v>2026-07</c:v>
                </c:pt>
                <c:pt idx="12">
                  <c:v>2026-08</c:v>
                </c:pt>
                <c:pt idx="13">
                  <c:v>2026-09</c:v>
                </c:pt>
                <c:pt idx="14">
                  <c:v>2026-10</c:v>
                </c:pt>
              </c:strCache>
            </c:strRef>
          </c:cat>
          <c:val>
            <c:numRef>
              <c:f>Resumen_Comparativo!$B$34:$B$48</c:f>
              <c:numCache>
                <c:formatCode>#,##0.0</c:formatCode>
                <c:ptCount val="15"/>
                <c:pt idx="0">
                  <c:v>4877.567</c:v>
                </c:pt>
                <c:pt idx="1">
                  <c:v>6672.5510000000004</c:v>
                </c:pt>
                <c:pt idx="2">
                  <c:v>9619.0300000000007</c:v>
                </c:pt>
                <c:pt idx="3">
                  <c:v>7302.9219999999996</c:v>
                </c:pt>
                <c:pt idx="4">
                  <c:v>7676.57</c:v>
                </c:pt>
                <c:pt idx="5">
                  <c:v>4467.835</c:v>
                </c:pt>
                <c:pt idx="6">
                  <c:v>3492.41</c:v>
                </c:pt>
                <c:pt idx="7">
                  <c:v>5340.1480000000001</c:v>
                </c:pt>
                <c:pt idx="8">
                  <c:v>5268.3239999999996</c:v>
                </c:pt>
                <c:pt idx="9">
                  <c:v>5327.0829999999996</c:v>
                </c:pt>
                <c:pt idx="10">
                  <c:v>5044.84</c:v>
                </c:pt>
                <c:pt idx="11">
                  <c:v>5205.2460000000001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93-2A4A-9197-F50E89194DB6}"/>
            </c:ext>
          </c:extLst>
        </c:ser>
        <c:ser>
          <c:idx val="1"/>
          <c:order val="1"/>
          <c:tx>
            <c:strRef>
              <c:f>Resumen_Comparativo!$K$33</c:f>
              <c:strCache>
                <c:ptCount val="1"/>
                <c:pt idx="0">
                  <c:v>Regresion Lineal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Resumen_Comparativo!$A$34:$A$48</c:f>
              <c:strCache>
                <c:ptCount val="15"/>
                <c:pt idx="0">
                  <c:v>2025-08</c:v>
                </c:pt>
                <c:pt idx="1">
                  <c:v>2025-09</c:v>
                </c:pt>
                <c:pt idx="2">
                  <c:v>2025-10</c:v>
                </c:pt>
                <c:pt idx="3">
                  <c:v>2025-11</c:v>
                </c:pt>
                <c:pt idx="4">
                  <c:v>2025-12</c:v>
                </c:pt>
                <c:pt idx="5">
                  <c:v>2026-01</c:v>
                </c:pt>
                <c:pt idx="6">
                  <c:v>2026-02</c:v>
                </c:pt>
                <c:pt idx="7">
                  <c:v>2026-03</c:v>
                </c:pt>
                <c:pt idx="8">
                  <c:v>2026-04</c:v>
                </c:pt>
                <c:pt idx="9">
                  <c:v>2026-05</c:v>
                </c:pt>
                <c:pt idx="10">
                  <c:v>2026-06</c:v>
                </c:pt>
                <c:pt idx="11">
                  <c:v>2026-07</c:v>
                </c:pt>
                <c:pt idx="12">
                  <c:v>2026-08</c:v>
                </c:pt>
                <c:pt idx="13">
                  <c:v>2026-09</c:v>
                </c:pt>
                <c:pt idx="14">
                  <c:v>2026-10</c:v>
                </c:pt>
              </c:strCache>
            </c:strRef>
          </c:cat>
          <c:val>
            <c:numRef>
              <c:f>Resumen_Comparativo!$K$34:$K$48</c:f>
              <c:numCache>
                <c:formatCode>General</c:formatCode>
                <c:ptCount val="15"/>
                <c:pt idx="12" formatCode="#,##0.0">
                  <c:v>5215.9441999999999</c:v>
                </c:pt>
                <c:pt idx="13" formatCode="#,##0.0">
                  <c:v>6046.5583999999999</c:v>
                </c:pt>
                <c:pt idx="14" formatCode="#,##0.0">
                  <c:v>8093.7443999999996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93-2A4A-9197-F50E89194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Valor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t>Real vs SARIMA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Resumen_Comparativo!$B$33</c:f>
              <c:strCache>
                <c:ptCount val="1"/>
                <c:pt idx="0">
                  <c:v>real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Resumen_Comparativo!$A$34:$A$48</c:f>
              <c:strCache>
                <c:ptCount val="15"/>
                <c:pt idx="0">
                  <c:v>2025-08</c:v>
                </c:pt>
                <c:pt idx="1">
                  <c:v>2025-09</c:v>
                </c:pt>
                <c:pt idx="2">
                  <c:v>2025-10</c:v>
                </c:pt>
                <c:pt idx="3">
                  <c:v>2025-11</c:v>
                </c:pt>
                <c:pt idx="4">
                  <c:v>2025-12</c:v>
                </c:pt>
                <c:pt idx="5">
                  <c:v>2026-01</c:v>
                </c:pt>
                <c:pt idx="6">
                  <c:v>2026-02</c:v>
                </c:pt>
                <c:pt idx="7">
                  <c:v>2026-03</c:v>
                </c:pt>
                <c:pt idx="8">
                  <c:v>2026-04</c:v>
                </c:pt>
                <c:pt idx="9">
                  <c:v>2026-05</c:v>
                </c:pt>
                <c:pt idx="10">
                  <c:v>2026-06</c:v>
                </c:pt>
                <c:pt idx="11">
                  <c:v>2026-07</c:v>
                </c:pt>
                <c:pt idx="12">
                  <c:v>2026-08</c:v>
                </c:pt>
                <c:pt idx="13">
                  <c:v>2026-09</c:v>
                </c:pt>
                <c:pt idx="14">
                  <c:v>2026-10</c:v>
                </c:pt>
              </c:strCache>
            </c:strRef>
          </c:cat>
          <c:val>
            <c:numRef>
              <c:f>Resumen_Comparativo!$B$34:$B$48</c:f>
              <c:numCache>
                <c:formatCode>#,##0.0</c:formatCode>
                <c:ptCount val="15"/>
                <c:pt idx="0">
                  <c:v>4877.567</c:v>
                </c:pt>
                <c:pt idx="1">
                  <c:v>6672.5510000000004</c:v>
                </c:pt>
                <c:pt idx="2">
                  <c:v>9619.0300000000007</c:v>
                </c:pt>
                <c:pt idx="3">
                  <c:v>7302.9219999999996</c:v>
                </c:pt>
                <c:pt idx="4">
                  <c:v>7676.57</c:v>
                </c:pt>
                <c:pt idx="5">
                  <c:v>4467.835</c:v>
                </c:pt>
                <c:pt idx="6">
                  <c:v>3492.41</c:v>
                </c:pt>
                <c:pt idx="7">
                  <c:v>5340.1480000000001</c:v>
                </c:pt>
                <c:pt idx="8">
                  <c:v>5268.3239999999996</c:v>
                </c:pt>
                <c:pt idx="9">
                  <c:v>5327.0829999999996</c:v>
                </c:pt>
                <c:pt idx="10">
                  <c:v>5044.84</c:v>
                </c:pt>
                <c:pt idx="11">
                  <c:v>5205.2460000000001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6D-294B-9C69-CC8F3DC775C3}"/>
            </c:ext>
          </c:extLst>
        </c:ser>
        <c:ser>
          <c:idx val="1"/>
          <c:order val="1"/>
          <c:tx>
            <c:strRef>
              <c:f>Resumen_Comparativo!$L$33</c:f>
              <c:strCache>
                <c:ptCount val="1"/>
                <c:pt idx="0">
                  <c:v>SARIMA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Resumen_Comparativo!$A$34:$A$48</c:f>
              <c:strCache>
                <c:ptCount val="15"/>
                <c:pt idx="0">
                  <c:v>2025-08</c:v>
                </c:pt>
                <c:pt idx="1">
                  <c:v>2025-09</c:v>
                </c:pt>
                <c:pt idx="2">
                  <c:v>2025-10</c:v>
                </c:pt>
                <c:pt idx="3">
                  <c:v>2025-11</c:v>
                </c:pt>
                <c:pt idx="4">
                  <c:v>2025-12</c:v>
                </c:pt>
                <c:pt idx="5">
                  <c:v>2026-01</c:v>
                </c:pt>
                <c:pt idx="6">
                  <c:v>2026-02</c:v>
                </c:pt>
                <c:pt idx="7">
                  <c:v>2026-03</c:v>
                </c:pt>
                <c:pt idx="8">
                  <c:v>2026-04</c:v>
                </c:pt>
                <c:pt idx="9">
                  <c:v>2026-05</c:v>
                </c:pt>
                <c:pt idx="10">
                  <c:v>2026-06</c:v>
                </c:pt>
                <c:pt idx="11">
                  <c:v>2026-07</c:v>
                </c:pt>
                <c:pt idx="12">
                  <c:v>2026-08</c:v>
                </c:pt>
                <c:pt idx="13">
                  <c:v>2026-09</c:v>
                </c:pt>
                <c:pt idx="14">
                  <c:v>2026-10</c:v>
                </c:pt>
              </c:strCache>
            </c:strRef>
          </c:cat>
          <c:val>
            <c:numRef>
              <c:f>Resumen_Comparativo!$L$34:$L$48</c:f>
              <c:numCache>
                <c:formatCode>General</c:formatCode>
                <c:ptCount val="15"/>
                <c:pt idx="12" formatCode="#,##0.0">
                  <c:v>4873.2349999999997</c:v>
                </c:pt>
                <c:pt idx="13" formatCode="#,##0.0">
                  <c:v>5613.2020000000002</c:v>
                </c:pt>
                <c:pt idx="14" formatCode="#,##0.0">
                  <c:v>7573.3239999999996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6D-294B-9C69-CC8F3DC77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Valor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2.xml"/><Relationship Id="rId3" Type="http://schemas.openxmlformats.org/officeDocument/2006/relationships/chart" Target="../charts/chart17.xml"/><Relationship Id="rId7" Type="http://schemas.openxmlformats.org/officeDocument/2006/relationships/chart" Target="../charts/chart21.xml"/><Relationship Id="rId12" Type="http://schemas.openxmlformats.org/officeDocument/2006/relationships/chart" Target="../charts/chart26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11" Type="http://schemas.openxmlformats.org/officeDocument/2006/relationships/chart" Target="../charts/chart25.xml"/><Relationship Id="rId5" Type="http://schemas.openxmlformats.org/officeDocument/2006/relationships/chart" Target="../charts/chart19.xml"/><Relationship Id="rId10" Type="http://schemas.openxmlformats.org/officeDocument/2006/relationships/chart" Target="../charts/chart24.xml"/><Relationship Id="rId4" Type="http://schemas.openxmlformats.org/officeDocument/2006/relationships/chart" Target="../charts/chart18.xml"/><Relationship Id="rId9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864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93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29</xdr:row>
      <xdr:rowOff>0</xdr:rowOff>
    </xdr:from>
    <xdr:ext cx="648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15</xdr:col>
      <xdr:colOff>0</xdr:colOff>
      <xdr:row>29</xdr:row>
      <xdr:rowOff>0</xdr:rowOff>
    </xdr:from>
    <xdr:ext cx="6480000" cy="32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93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29</xdr:row>
      <xdr:rowOff>0</xdr:rowOff>
    </xdr:from>
    <xdr:ext cx="648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16</xdr:col>
      <xdr:colOff>0</xdr:colOff>
      <xdr:row>29</xdr:row>
      <xdr:rowOff>0</xdr:rowOff>
    </xdr:from>
    <xdr:ext cx="6480000" cy="32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6</xdr:col>
      <xdr:colOff>0</xdr:colOff>
      <xdr:row>53</xdr:row>
      <xdr:rowOff>0</xdr:rowOff>
    </xdr:from>
    <xdr:ext cx="6480000" cy="324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93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29</xdr:row>
      <xdr:rowOff>0</xdr:rowOff>
    </xdr:from>
    <xdr:ext cx="648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16</xdr:col>
      <xdr:colOff>0</xdr:colOff>
      <xdr:row>29</xdr:row>
      <xdr:rowOff>0</xdr:rowOff>
    </xdr:from>
    <xdr:ext cx="6480000" cy="32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6</xdr:col>
      <xdr:colOff>0</xdr:colOff>
      <xdr:row>53</xdr:row>
      <xdr:rowOff>0</xdr:rowOff>
    </xdr:from>
    <xdr:ext cx="6480000" cy="324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93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93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792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31</xdr:row>
      <xdr:rowOff>0</xdr:rowOff>
    </xdr:from>
    <xdr:ext cx="11520000" cy="54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79</xdr:row>
      <xdr:rowOff>0</xdr:rowOff>
    </xdr:from>
    <xdr:ext cx="576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10</xdr:col>
      <xdr:colOff>0</xdr:colOff>
      <xdr:row>79</xdr:row>
      <xdr:rowOff>0</xdr:rowOff>
    </xdr:from>
    <xdr:ext cx="576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97</xdr:row>
      <xdr:rowOff>0</xdr:rowOff>
    </xdr:from>
    <xdr:ext cx="5760000" cy="288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10</xdr:col>
      <xdr:colOff>0</xdr:colOff>
      <xdr:row>97</xdr:row>
      <xdr:rowOff>0</xdr:rowOff>
    </xdr:from>
    <xdr:ext cx="5760000" cy="288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115</xdr:row>
      <xdr:rowOff>0</xdr:rowOff>
    </xdr:from>
    <xdr:ext cx="5760000" cy="288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10</xdr:col>
      <xdr:colOff>0</xdr:colOff>
      <xdr:row>115</xdr:row>
      <xdr:rowOff>0</xdr:rowOff>
    </xdr:from>
    <xdr:ext cx="5760000" cy="288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0</xdr:col>
      <xdr:colOff>0</xdr:colOff>
      <xdr:row>133</xdr:row>
      <xdr:rowOff>0</xdr:rowOff>
    </xdr:from>
    <xdr:ext cx="5760000" cy="288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10</xdr:col>
      <xdr:colOff>0</xdr:colOff>
      <xdr:row>133</xdr:row>
      <xdr:rowOff>0</xdr:rowOff>
    </xdr:from>
    <xdr:ext cx="5760000" cy="288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0</xdr:col>
      <xdr:colOff>0</xdr:colOff>
      <xdr:row>151</xdr:row>
      <xdr:rowOff>0</xdr:rowOff>
    </xdr:from>
    <xdr:ext cx="5760000" cy="288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10</xdr:col>
      <xdr:colOff>0</xdr:colOff>
      <xdr:row>151</xdr:row>
      <xdr:rowOff>0</xdr:rowOff>
    </xdr:from>
    <xdr:ext cx="5760000" cy="288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workbookViewId="0"/>
  </sheetViews>
  <sheetFormatPr baseColWidth="10" defaultColWidth="8.83203125" defaultRowHeight="15" x14ac:dyDescent="0.2"/>
  <cols>
    <col min="1" max="2" width="14" customWidth="1"/>
  </cols>
  <sheetData>
    <row r="1" spans="1:2" ht="19" x14ac:dyDescent="0.25">
      <c r="A1" s="1" t="s">
        <v>0</v>
      </c>
    </row>
    <row r="3" spans="1:2" x14ac:dyDescent="0.2">
      <c r="A3" s="2" t="s">
        <v>1</v>
      </c>
      <c r="B3" s="2" t="s">
        <v>2</v>
      </c>
    </row>
    <row r="4" spans="1:2" x14ac:dyDescent="0.2">
      <c r="A4" s="3" t="s">
        <v>3</v>
      </c>
      <c r="B4" s="4">
        <v>9630.2990000000009</v>
      </c>
    </row>
    <row r="5" spans="1:2" x14ac:dyDescent="0.2">
      <c r="A5" s="3" t="s">
        <v>4</v>
      </c>
      <c r="B5" s="4">
        <v>10251.463</v>
      </c>
    </row>
    <row r="6" spans="1:2" x14ac:dyDescent="0.2">
      <c r="A6" s="3" t="s">
        <v>5</v>
      </c>
      <c r="B6" s="4">
        <v>9106.9060000000009</v>
      </c>
    </row>
    <row r="7" spans="1:2" x14ac:dyDescent="0.2">
      <c r="A7" s="3" t="s">
        <v>6</v>
      </c>
      <c r="B7" s="4">
        <v>7350.8980000000001</v>
      </c>
    </row>
    <row r="8" spans="1:2" x14ac:dyDescent="0.2">
      <c r="A8" s="3" t="s">
        <v>7</v>
      </c>
      <c r="B8" s="4">
        <v>12285.013000000001</v>
      </c>
    </row>
    <row r="9" spans="1:2" x14ac:dyDescent="0.2">
      <c r="A9" s="3" t="s">
        <v>8</v>
      </c>
      <c r="B9" s="4">
        <v>7210.1040000000003</v>
      </c>
    </row>
    <row r="10" spans="1:2" x14ac:dyDescent="0.2">
      <c r="A10" s="3" t="s">
        <v>9</v>
      </c>
      <c r="B10" s="4">
        <v>5576.9979999999996</v>
      </c>
    </row>
    <row r="11" spans="1:2" x14ac:dyDescent="0.2">
      <c r="A11" s="3" t="s">
        <v>10</v>
      </c>
      <c r="B11" s="4">
        <v>6648.9430000000002</v>
      </c>
    </row>
    <row r="12" spans="1:2" x14ac:dyDescent="0.2">
      <c r="A12" s="3" t="s">
        <v>11</v>
      </c>
      <c r="B12" s="4">
        <v>8525.2129999999997</v>
      </c>
    </row>
    <row r="13" spans="1:2" x14ac:dyDescent="0.2">
      <c r="A13" s="3" t="s">
        <v>12</v>
      </c>
      <c r="B13" s="4">
        <v>7428.518</v>
      </c>
    </row>
    <row r="14" spans="1:2" x14ac:dyDescent="0.2">
      <c r="A14" s="3" t="s">
        <v>13</v>
      </c>
      <c r="B14" s="4">
        <v>6618.3440000000001</v>
      </c>
    </row>
    <row r="15" spans="1:2" x14ac:dyDescent="0.2">
      <c r="A15" s="3" t="s">
        <v>14</v>
      </c>
      <c r="B15" s="4">
        <v>10251.380999999999</v>
      </c>
    </row>
    <row r="16" spans="1:2" x14ac:dyDescent="0.2">
      <c r="A16" s="3" t="s">
        <v>15</v>
      </c>
      <c r="B16" s="4">
        <v>8574.4220000000005</v>
      </c>
    </row>
    <row r="17" spans="1:2" x14ac:dyDescent="0.2">
      <c r="A17" s="3" t="s">
        <v>16</v>
      </c>
      <c r="B17" s="4">
        <v>8853.1569999999992</v>
      </c>
    </row>
    <row r="18" spans="1:2" x14ac:dyDescent="0.2">
      <c r="A18" s="3" t="s">
        <v>17</v>
      </c>
      <c r="B18" s="4">
        <v>11343.447</v>
      </c>
    </row>
    <row r="19" spans="1:2" x14ac:dyDescent="0.2">
      <c r="A19" s="3" t="s">
        <v>18</v>
      </c>
      <c r="B19" s="4">
        <v>9180.7569999999996</v>
      </c>
    </row>
    <row r="20" spans="1:2" x14ac:dyDescent="0.2">
      <c r="A20" s="3" t="s">
        <v>19</v>
      </c>
      <c r="B20" s="4">
        <v>12310.300999999999</v>
      </c>
    </row>
    <row r="21" spans="1:2" x14ac:dyDescent="0.2">
      <c r="A21" s="3" t="s">
        <v>20</v>
      </c>
      <c r="B21" s="4">
        <v>4916.5020000000004</v>
      </c>
    </row>
    <row r="22" spans="1:2" x14ac:dyDescent="0.2">
      <c r="A22" s="3" t="s">
        <v>21</v>
      </c>
      <c r="B22" s="4">
        <v>5690.96</v>
      </c>
    </row>
    <row r="23" spans="1:2" x14ac:dyDescent="0.2">
      <c r="A23" s="3" t="s">
        <v>22</v>
      </c>
      <c r="B23" s="4">
        <v>6504.8370000000004</v>
      </c>
    </row>
    <row r="24" spans="1:2" x14ac:dyDescent="0.2">
      <c r="A24" s="3" t="s">
        <v>23</v>
      </c>
      <c r="B24" s="4">
        <v>6356.8980000000001</v>
      </c>
    </row>
    <row r="25" spans="1:2" x14ac:dyDescent="0.2">
      <c r="A25" s="3" t="s">
        <v>24</v>
      </c>
      <c r="B25" s="4">
        <v>7687.4089999999997</v>
      </c>
    </row>
    <row r="26" spans="1:2" x14ac:dyDescent="0.2">
      <c r="A26" s="3" t="s">
        <v>25</v>
      </c>
      <c r="B26" s="4">
        <v>6111.2430000000004</v>
      </c>
    </row>
    <row r="27" spans="1:2" x14ac:dyDescent="0.2">
      <c r="A27" s="3" t="s">
        <v>26</v>
      </c>
      <c r="B27" s="4">
        <v>11481.558000000001</v>
      </c>
    </row>
    <row r="28" spans="1:2" x14ac:dyDescent="0.2">
      <c r="A28" s="3" t="s">
        <v>27</v>
      </c>
      <c r="B28" s="4">
        <v>6375.4579999999996</v>
      </c>
    </row>
    <row r="29" spans="1:2" x14ac:dyDescent="0.2">
      <c r="A29" s="3" t="s">
        <v>28</v>
      </c>
      <c r="B29" s="4">
        <v>7003.0320000000002</v>
      </c>
    </row>
    <row r="30" spans="1:2" x14ac:dyDescent="0.2">
      <c r="A30" s="3" t="s">
        <v>29</v>
      </c>
      <c r="B30" s="4">
        <v>10899.564</v>
      </c>
    </row>
    <row r="31" spans="1:2" x14ac:dyDescent="0.2">
      <c r="A31" s="3" t="s">
        <v>30</v>
      </c>
      <c r="B31" s="4">
        <v>7461.0919999999996</v>
      </c>
    </row>
    <row r="32" spans="1:2" x14ac:dyDescent="0.2">
      <c r="A32" s="3" t="s">
        <v>31</v>
      </c>
      <c r="B32" s="4">
        <v>12917.156999999999</v>
      </c>
    </row>
    <row r="33" spans="1:2" x14ac:dyDescent="0.2">
      <c r="A33" s="3" t="s">
        <v>32</v>
      </c>
      <c r="B33" s="4">
        <v>5233.0630000000001</v>
      </c>
    </row>
    <row r="34" spans="1:2" x14ac:dyDescent="0.2">
      <c r="A34" s="3" t="s">
        <v>33</v>
      </c>
      <c r="B34" s="4">
        <v>5157.8140000000003</v>
      </c>
    </row>
    <row r="35" spans="1:2" x14ac:dyDescent="0.2">
      <c r="A35" s="3" t="s">
        <v>34</v>
      </c>
      <c r="B35" s="4">
        <v>6202.39</v>
      </c>
    </row>
    <row r="36" spans="1:2" x14ac:dyDescent="0.2">
      <c r="A36" s="3" t="s">
        <v>35</v>
      </c>
      <c r="B36" s="4">
        <v>6840.3379999999997</v>
      </c>
    </row>
    <row r="37" spans="1:2" x14ac:dyDescent="0.2">
      <c r="A37" s="3" t="s">
        <v>36</v>
      </c>
      <c r="B37" s="4">
        <v>5905.9049999999997</v>
      </c>
    </row>
    <row r="38" spans="1:2" x14ac:dyDescent="0.2">
      <c r="A38" s="3" t="s">
        <v>37</v>
      </c>
      <c r="B38" s="4">
        <v>5055.2579999999998</v>
      </c>
    </row>
    <row r="39" spans="1:2" x14ac:dyDescent="0.2">
      <c r="A39" s="3" t="s">
        <v>38</v>
      </c>
      <c r="B39" s="4">
        <v>8601.4889999999996</v>
      </c>
    </row>
    <row r="40" spans="1:2" x14ac:dyDescent="0.2">
      <c r="A40" s="3" t="s">
        <v>39</v>
      </c>
      <c r="B40" s="4">
        <v>4877.567</v>
      </c>
    </row>
    <row r="41" spans="1:2" x14ac:dyDescent="0.2">
      <c r="A41" s="3" t="s">
        <v>40</v>
      </c>
      <c r="B41" s="4">
        <v>6672.5510000000004</v>
      </c>
    </row>
    <row r="42" spans="1:2" x14ac:dyDescent="0.2">
      <c r="A42" s="3" t="s">
        <v>41</v>
      </c>
      <c r="B42" s="4">
        <v>9619.0300000000007</v>
      </c>
    </row>
    <row r="43" spans="1:2" x14ac:dyDescent="0.2">
      <c r="A43" s="3" t="s">
        <v>42</v>
      </c>
      <c r="B43" s="4">
        <v>7302.9219999999996</v>
      </c>
    </row>
    <row r="44" spans="1:2" x14ac:dyDescent="0.2">
      <c r="A44" s="3" t="s">
        <v>43</v>
      </c>
      <c r="B44" s="4">
        <v>7676.57</v>
      </c>
    </row>
    <row r="45" spans="1:2" x14ac:dyDescent="0.2">
      <c r="A45" s="3" t="s">
        <v>44</v>
      </c>
      <c r="B45" s="4">
        <v>4467.835</v>
      </c>
    </row>
    <row r="46" spans="1:2" x14ac:dyDescent="0.2">
      <c r="A46" s="3" t="s">
        <v>45</v>
      </c>
      <c r="B46" s="4">
        <v>3492.41</v>
      </c>
    </row>
    <row r="47" spans="1:2" x14ac:dyDescent="0.2">
      <c r="A47" s="3" t="s">
        <v>46</v>
      </c>
      <c r="B47" s="4">
        <v>5340.1480000000001</v>
      </c>
    </row>
    <row r="48" spans="1:2" x14ac:dyDescent="0.2">
      <c r="A48" s="3" t="s">
        <v>47</v>
      </c>
      <c r="B48" s="4">
        <v>5268.3239999999996</v>
      </c>
    </row>
    <row r="49" spans="1:2" x14ac:dyDescent="0.2">
      <c r="A49" s="3" t="s">
        <v>48</v>
      </c>
      <c r="B49" s="4">
        <v>5327.0829999999996</v>
      </c>
    </row>
    <row r="50" spans="1:2" x14ac:dyDescent="0.2">
      <c r="A50" s="3" t="s">
        <v>49</v>
      </c>
      <c r="B50" s="4">
        <v>5044.84</v>
      </c>
    </row>
    <row r="51" spans="1:2" x14ac:dyDescent="0.2">
      <c r="A51" s="3" t="s">
        <v>50</v>
      </c>
      <c r="B51" s="4">
        <v>5205.2460000000001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5"/>
  <sheetViews>
    <sheetView workbookViewId="0">
      <selection activeCell="D20" sqref="D20"/>
    </sheetView>
  </sheetViews>
  <sheetFormatPr baseColWidth="10" defaultColWidth="8.83203125" defaultRowHeight="15" x14ac:dyDescent="0.2"/>
  <cols>
    <col min="1" max="3" width="12" customWidth="1"/>
    <col min="4" max="4" width="16" customWidth="1"/>
  </cols>
  <sheetData>
    <row r="1" spans="1:4" ht="19" x14ac:dyDescent="0.25">
      <c r="A1" s="1" t="s">
        <v>51</v>
      </c>
    </row>
    <row r="2" spans="1:4" x14ac:dyDescent="0.2">
      <c r="A2" t="s">
        <v>52</v>
      </c>
    </row>
    <row r="4" spans="1:4" x14ac:dyDescent="0.2">
      <c r="A4" s="2" t="s">
        <v>1</v>
      </c>
      <c r="B4" s="2" t="s">
        <v>53</v>
      </c>
      <c r="C4" s="2" t="s">
        <v>54</v>
      </c>
      <c r="D4" s="2" t="s">
        <v>55</v>
      </c>
    </row>
    <row r="5" spans="1:4" x14ac:dyDescent="0.2">
      <c r="A5" s="3" t="s">
        <v>3</v>
      </c>
      <c r="B5" s="4">
        <v>9630.2990000000009</v>
      </c>
      <c r="C5" s="4"/>
      <c r="D5" s="4"/>
    </row>
    <row r="6" spans="1:4" x14ac:dyDescent="0.2">
      <c r="A6" s="3" t="s">
        <v>4</v>
      </c>
      <c r="B6" s="4">
        <v>10251.463</v>
      </c>
      <c r="C6" s="4">
        <f t="shared" ref="C6:C53" si="0">B5</f>
        <v>9630.2990000000009</v>
      </c>
      <c r="D6" s="4"/>
    </row>
    <row r="7" spans="1:4" x14ac:dyDescent="0.2">
      <c r="A7" s="3" t="s">
        <v>5</v>
      </c>
      <c r="B7" s="4">
        <v>9106.9060000000009</v>
      </c>
      <c r="C7" s="4">
        <f t="shared" si="0"/>
        <v>10251.463</v>
      </c>
      <c r="D7" s="4"/>
    </row>
    <row r="8" spans="1:4" x14ac:dyDescent="0.2">
      <c r="A8" s="3" t="s">
        <v>6</v>
      </c>
      <c r="B8" s="4">
        <v>7350.8980000000001</v>
      </c>
      <c r="C8" s="4">
        <f t="shared" si="0"/>
        <v>9106.9060000000009</v>
      </c>
      <c r="D8" s="4"/>
    </row>
    <row r="9" spans="1:4" x14ac:dyDescent="0.2">
      <c r="A9" s="3" t="s">
        <v>7</v>
      </c>
      <c r="B9" s="4">
        <v>12285.013000000001</v>
      </c>
      <c r="C9" s="4">
        <f t="shared" si="0"/>
        <v>7350.8980000000001</v>
      </c>
      <c r="D9" s="4"/>
    </row>
    <row r="10" spans="1:4" x14ac:dyDescent="0.2">
      <c r="A10" s="3" t="s">
        <v>8</v>
      </c>
      <c r="B10" s="4">
        <v>7210.1040000000003</v>
      </c>
      <c r="C10" s="4">
        <f t="shared" si="0"/>
        <v>12285.013000000001</v>
      </c>
      <c r="D10" s="4"/>
    </row>
    <row r="11" spans="1:4" x14ac:dyDescent="0.2">
      <c r="A11" s="3" t="s">
        <v>9</v>
      </c>
      <c r="B11" s="4">
        <v>5576.9979999999996</v>
      </c>
      <c r="C11" s="4">
        <f t="shared" si="0"/>
        <v>7210.1040000000003</v>
      </c>
      <c r="D11" s="4"/>
    </row>
    <row r="12" spans="1:4" x14ac:dyDescent="0.2">
      <c r="A12" s="3" t="s">
        <v>10</v>
      </c>
      <c r="B12" s="4">
        <v>6648.9430000000002</v>
      </c>
      <c r="C12" s="4">
        <f t="shared" si="0"/>
        <v>5576.9979999999996</v>
      </c>
      <c r="D12" s="4"/>
    </row>
    <row r="13" spans="1:4" x14ac:dyDescent="0.2">
      <c r="A13" s="3" t="s">
        <v>11</v>
      </c>
      <c r="B13" s="4">
        <v>8525.2129999999997</v>
      </c>
      <c r="C13" s="4">
        <f t="shared" si="0"/>
        <v>6648.9430000000002</v>
      </c>
      <c r="D13" s="4"/>
    </row>
    <row r="14" spans="1:4" x14ac:dyDescent="0.2">
      <c r="A14" s="3" t="s">
        <v>12</v>
      </c>
      <c r="B14" s="4">
        <v>7428.518</v>
      </c>
      <c r="C14" s="4">
        <f t="shared" si="0"/>
        <v>8525.2129999999997</v>
      </c>
      <c r="D14" s="4"/>
    </row>
    <row r="15" spans="1:4" x14ac:dyDescent="0.2">
      <c r="A15" s="3" t="s">
        <v>13</v>
      </c>
      <c r="B15" s="4">
        <v>6618.3440000000001</v>
      </c>
      <c r="C15" s="4">
        <f t="shared" si="0"/>
        <v>7428.518</v>
      </c>
      <c r="D15" s="4"/>
    </row>
    <row r="16" spans="1:4" x14ac:dyDescent="0.2">
      <c r="A16" s="3" t="s">
        <v>14</v>
      </c>
      <c r="B16" s="4">
        <v>10251.380999999999</v>
      </c>
      <c r="C16" s="4">
        <f t="shared" si="0"/>
        <v>6618.3440000000001</v>
      </c>
      <c r="D16" s="4"/>
    </row>
    <row r="17" spans="1:4" x14ac:dyDescent="0.2">
      <c r="A17" s="3" t="s">
        <v>15</v>
      </c>
      <c r="B17" s="4">
        <v>8574.4220000000005</v>
      </c>
      <c r="C17" s="4">
        <f t="shared" si="0"/>
        <v>10251.380999999999</v>
      </c>
      <c r="D17" s="4">
        <f t="shared" ref="D17:D55" si="1">B5</f>
        <v>9630.2990000000009</v>
      </c>
    </row>
    <row r="18" spans="1:4" x14ac:dyDescent="0.2">
      <c r="A18" s="3" t="s">
        <v>16</v>
      </c>
      <c r="B18" s="4">
        <v>8853.1569999999992</v>
      </c>
      <c r="C18" s="4">
        <f t="shared" si="0"/>
        <v>8574.4220000000005</v>
      </c>
      <c r="D18" s="4">
        <f t="shared" si="1"/>
        <v>10251.463</v>
      </c>
    </row>
    <row r="19" spans="1:4" x14ac:dyDescent="0.2">
      <c r="A19" s="3" t="s">
        <v>17</v>
      </c>
      <c r="B19" s="4">
        <v>11343.447</v>
      </c>
      <c r="C19" s="4">
        <f t="shared" si="0"/>
        <v>8853.1569999999992</v>
      </c>
      <c r="D19" s="4">
        <f t="shared" si="1"/>
        <v>9106.9060000000009</v>
      </c>
    </row>
    <row r="20" spans="1:4" x14ac:dyDescent="0.2">
      <c r="A20" s="3" t="s">
        <v>18</v>
      </c>
      <c r="B20" s="4">
        <v>9180.7569999999996</v>
      </c>
      <c r="C20" s="4">
        <f t="shared" si="0"/>
        <v>11343.447</v>
      </c>
      <c r="D20" s="4">
        <f t="shared" si="1"/>
        <v>7350.8980000000001</v>
      </c>
    </row>
    <row r="21" spans="1:4" x14ac:dyDescent="0.2">
      <c r="A21" s="3" t="s">
        <v>19</v>
      </c>
      <c r="B21" s="4">
        <v>12310.300999999999</v>
      </c>
      <c r="C21" s="4">
        <f t="shared" si="0"/>
        <v>9180.7569999999996</v>
      </c>
      <c r="D21" s="4">
        <f t="shared" si="1"/>
        <v>12285.013000000001</v>
      </c>
    </row>
    <row r="22" spans="1:4" x14ac:dyDescent="0.2">
      <c r="A22" s="3" t="s">
        <v>20</v>
      </c>
      <c r="B22" s="4">
        <v>4916.5020000000004</v>
      </c>
      <c r="C22" s="4">
        <f t="shared" si="0"/>
        <v>12310.300999999999</v>
      </c>
      <c r="D22" s="4">
        <f t="shared" si="1"/>
        <v>7210.1040000000003</v>
      </c>
    </row>
    <row r="23" spans="1:4" x14ac:dyDescent="0.2">
      <c r="A23" s="3" t="s">
        <v>21</v>
      </c>
      <c r="B23" s="4">
        <v>5690.96</v>
      </c>
      <c r="C23" s="4">
        <f t="shared" si="0"/>
        <v>4916.5020000000004</v>
      </c>
      <c r="D23" s="4">
        <f t="shared" si="1"/>
        <v>5576.9979999999996</v>
      </c>
    </row>
    <row r="24" spans="1:4" x14ac:dyDescent="0.2">
      <c r="A24" s="3" t="s">
        <v>22</v>
      </c>
      <c r="B24" s="4">
        <v>6504.8370000000004</v>
      </c>
      <c r="C24" s="4">
        <f t="shared" si="0"/>
        <v>5690.96</v>
      </c>
      <c r="D24" s="4">
        <f t="shared" si="1"/>
        <v>6648.9430000000002</v>
      </c>
    </row>
    <row r="25" spans="1:4" x14ac:dyDescent="0.2">
      <c r="A25" s="3" t="s">
        <v>23</v>
      </c>
      <c r="B25" s="4">
        <v>6356.8980000000001</v>
      </c>
      <c r="C25" s="4">
        <f t="shared" si="0"/>
        <v>6504.8370000000004</v>
      </c>
      <c r="D25" s="4">
        <f t="shared" si="1"/>
        <v>8525.2129999999997</v>
      </c>
    </row>
    <row r="26" spans="1:4" x14ac:dyDescent="0.2">
      <c r="A26" s="3" t="s">
        <v>24</v>
      </c>
      <c r="B26" s="4">
        <v>7687.4089999999997</v>
      </c>
      <c r="C26" s="4">
        <f t="shared" si="0"/>
        <v>6356.8980000000001</v>
      </c>
      <c r="D26" s="4">
        <f t="shared" si="1"/>
        <v>7428.518</v>
      </c>
    </row>
    <row r="27" spans="1:4" x14ac:dyDescent="0.2">
      <c r="A27" s="3" t="s">
        <v>25</v>
      </c>
      <c r="B27" s="4">
        <v>6111.2430000000004</v>
      </c>
      <c r="C27" s="4">
        <f t="shared" si="0"/>
        <v>7687.4089999999997</v>
      </c>
      <c r="D27" s="4">
        <f t="shared" si="1"/>
        <v>6618.3440000000001</v>
      </c>
    </row>
    <row r="28" spans="1:4" x14ac:dyDescent="0.2">
      <c r="A28" s="3" t="s">
        <v>26</v>
      </c>
      <c r="B28" s="4">
        <v>11481.558000000001</v>
      </c>
      <c r="C28" s="4">
        <f t="shared" si="0"/>
        <v>6111.2430000000004</v>
      </c>
      <c r="D28" s="4">
        <f t="shared" si="1"/>
        <v>10251.380999999999</v>
      </c>
    </row>
    <row r="29" spans="1:4" x14ac:dyDescent="0.2">
      <c r="A29" s="3" t="s">
        <v>27</v>
      </c>
      <c r="B29" s="4">
        <v>6375.4579999999996</v>
      </c>
      <c r="C29" s="4">
        <f t="shared" si="0"/>
        <v>11481.558000000001</v>
      </c>
      <c r="D29" s="4">
        <f t="shared" si="1"/>
        <v>8574.4220000000005</v>
      </c>
    </row>
    <row r="30" spans="1:4" x14ac:dyDescent="0.2">
      <c r="A30" s="3" t="s">
        <v>28</v>
      </c>
      <c r="B30" s="4">
        <v>7003.0320000000002</v>
      </c>
      <c r="C30" s="4">
        <f t="shared" si="0"/>
        <v>6375.4579999999996</v>
      </c>
      <c r="D30" s="4">
        <f t="shared" si="1"/>
        <v>8853.1569999999992</v>
      </c>
    </row>
    <row r="31" spans="1:4" x14ac:dyDescent="0.2">
      <c r="A31" s="3" t="s">
        <v>29</v>
      </c>
      <c r="B31" s="4">
        <v>10899.564</v>
      </c>
      <c r="C31" s="4">
        <f t="shared" si="0"/>
        <v>7003.0320000000002</v>
      </c>
      <c r="D31" s="4">
        <f t="shared" si="1"/>
        <v>11343.447</v>
      </c>
    </row>
    <row r="32" spans="1:4" x14ac:dyDescent="0.2">
      <c r="A32" s="3" t="s">
        <v>30</v>
      </c>
      <c r="B32" s="4">
        <v>7461.0919999999996</v>
      </c>
      <c r="C32" s="4">
        <f t="shared" si="0"/>
        <v>10899.564</v>
      </c>
      <c r="D32" s="4">
        <f t="shared" si="1"/>
        <v>9180.7569999999996</v>
      </c>
    </row>
    <row r="33" spans="1:4" x14ac:dyDescent="0.2">
      <c r="A33" s="3" t="s">
        <v>31</v>
      </c>
      <c r="B33" s="4">
        <v>12917.156999999999</v>
      </c>
      <c r="C33" s="4">
        <f t="shared" si="0"/>
        <v>7461.0919999999996</v>
      </c>
      <c r="D33" s="4">
        <f t="shared" si="1"/>
        <v>12310.300999999999</v>
      </c>
    </row>
    <row r="34" spans="1:4" x14ac:dyDescent="0.2">
      <c r="A34" s="3" t="s">
        <v>32</v>
      </c>
      <c r="B34" s="4">
        <v>5233.0630000000001</v>
      </c>
      <c r="C34" s="4">
        <f t="shared" si="0"/>
        <v>12917.156999999999</v>
      </c>
      <c r="D34" s="4">
        <f t="shared" si="1"/>
        <v>4916.5020000000004</v>
      </c>
    </row>
    <row r="35" spans="1:4" x14ac:dyDescent="0.2">
      <c r="A35" s="3" t="s">
        <v>33</v>
      </c>
      <c r="B35" s="4">
        <v>5157.8140000000003</v>
      </c>
      <c r="C35" s="4">
        <f t="shared" si="0"/>
        <v>5233.0630000000001</v>
      </c>
      <c r="D35" s="4">
        <f t="shared" si="1"/>
        <v>5690.96</v>
      </c>
    </row>
    <row r="36" spans="1:4" x14ac:dyDescent="0.2">
      <c r="A36" s="3" t="s">
        <v>34</v>
      </c>
      <c r="B36" s="4">
        <v>6202.39</v>
      </c>
      <c r="C36" s="4">
        <f t="shared" si="0"/>
        <v>5157.8140000000003</v>
      </c>
      <c r="D36" s="4">
        <f t="shared" si="1"/>
        <v>6504.8370000000004</v>
      </c>
    </row>
    <row r="37" spans="1:4" x14ac:dyDescent="0.2">
      <c r="A37" s="3" t="s">
        <v>35</v>
      </c>
      <c r="B37" s="4">
        <v>6840.3379999999997</v>
      </c>
      <c r="C37" s="4">
        <f t="shared" si="0"/>
        <v>6202.39</v>
      </c>
      <c r="D37" s="4">
        <f t="shared" si="1"/>
        <v>6356.8980000000001</v>
      </c>
    </row>
    <row r="38" spans="1:4" x14ac:dyDescent="0.2">
      <c r="A38" s="3" t="s">
        <v>36</v>
      </c>
      <c r="B38" s="4">
        <v>5905.9049999999997</v>
      </c>
      <c r="C38" s="4">
        <f t="shared" si="0"/>
        <v>6840.3379999999997</v>
      </c>
      <c r="D38" s="4">
        <f t="shared" si="1"/>
        <v>7687.4089999999997</v>
      </c>
    </row>
    <row r="39" spans="1:4" x14ac:dyDescent="0.2">
      <c r="A39" s="3" t="s">
        <v>37</v>
      </c>
      <c r="B39" s="4">
        <v>5055.2579999999998</v>
      </c>
      <c r="C39" s="4">
        <f t="shared" si="0"/>
        <v>5905.9049999999997</v>
      </c>
      <c r="D39" s="4">
        <f t="shared" si="1"/>
        <v>6111.2430000000004</v>
      </c>
    </row>
    <row r="40" spans="1:4" x14ac:dyDescent="0.2">
      <c r="A40" s="3" t="s">
        <v>38</v>
      </c>
      <c r="B40" s="4">
        <v>8601.4889999999996</v>
      </c>
      <c r="C40" s="4">
        <f t="shared" si="0"/>
        <v>5055.2579999999998</v>
      </c>
      <c r="D40" s="4">
        <f t="shared" si="1"/>
        <v>11481.558000000001</v>
      </c>
    </row>
    <row r="41" spans="1:4" x14ac:dyDescent="0.2">
      <c r="A41" s="3" t="s">
        <v>39</v>
      </c>
      <c r="B41" s="4">
        <v>4877.567</v>
      </c>
      <c r="C41" s="4">
        <f t="shared" si="0"/>
        <v>8601.4889999999996</v>
      </c>
      <c r="D41" s="4">
        <f t="shared" si="1"/>
        <v>6375.4579999999996</v>
      </c>
    </row>
    <row r="42" spans="1:4" x14ac:dyDescent="0.2">
      <c r="A42" s="3" t="s">
        <v>40</v>
      </c>
      <c r="B42" s="4">
        <v>6672.5510000000004</v>
      </c>
      <c r="C42" s="4">
        <f t="shared" si="0"/>
        <v>4877.567</v>
      </c>
      <c r="D42" s="4">
        <f t="shared" si="1"/>
        <v>7003.0320000000002</v>
      </c>
    </row>
    <row r="43" spans="1:4" x14ac:dyDescent="0.2">
      <c r="A43" s="3" t="s">
        <v>41</v>
      </c>
      <c r="B43" s="4">
        <v>9619.0300000000007</v>
      </c>
      <c r="C43" s="4">
        <f t="shared" si="0"/>
        <v>6672.5510000000004</v>
      </c>
      <c r="D43" s="4">
        <f t="shared" si="1"/>
        <v>10899.564</v>
      </c>
    </row>
    <row r="44" spans="1:4" x14ac:dyDescent="0.2">
      <c r="A44" s="3" t="s">
        <v>42</v>
      </c>
      <c r="B44" s="4">
        <v>7302.9219999999996</v>
      </c>
      <c r="C44" s="4">
        <f t="shared" si="0"/>
        <v>9619.0300000000007</v>
      </c>
      <c r="D44" s="4">
        <f t="shared" si="1"/>
        <v>7461.0919999999996</v>
      </c>
    </row>
    <row r="45" spans="1:4" x14ac:dyDescent="0.2">
      <c r="A45" s="3" t="s">
        <v>43</v>
      </c>
      <c r="B45" s="4">
        <v>7676.57</v>
      </c>
      <c r="C45" s="4">
        <f t="shared" si="0"/>
        <v>7302.9219999999996</v>
      </c>
      <c r="D45" s="4">
        <f t="shared" si="1"/>
        <v>12917.156999999999</v>
      </c>
    </row>
    <row r="46" spans="1:4" x14ac:dyDescent="0.2">
      <c r="A46" s="3" t="s">
        <v>44</v>
      </c>
      <c r="B46" s="4">
        <v>4467.835</v>
      </c>
      <c r="C46" s="4">
        <f t="shared" si="0"/>
        <v>7676.57</v>
      </c>
      <c r="D46" s="4">
        <f t="shared" si="1"/>
        <v>5233.0630000000001</v>
      </c>
    </row>
    <row r="47" spans="1:4" x14ac:dyDescent="0.2">
      <c r="A47" s="3" t="s">
        <v>45</v>
      </c>
      <c r="B47" s="4">
        <v>3492.41</v>
      </c>
      <c r="C47" s="4">
        <f t="shared" si="0"/>
        <v>4467.835</v>
      </c>
      <c r="D47" s="4">
        <f t="shared" si="1"/>
        <v>5157.8140000000003</v>
      </c>
    </row>
    <row r="48" spans="1:4" x14ac:dyDescent="0.2">
      <c r="A48" s="3" t="s">
        <v>46</v>
      </c>
      <c r="B48" s="4">
        <v>5340.1480000000001</v>
      </c>
      <c r="C48" s="4">
        <f t="shared" si="0"/>
        <v>3492.41</v>
      </c>
      <c r="D48" s="4">
        <f t="shared" si="1"/>
        <v>6202.39</v>
      </c>
    </row>
    <row r="49" spans="1:4" x14ac:dyDescent="0.2">
      <c r="A49" s="3" t="s">
        <v>47</v>
      </c>
      <c r="B49" s="4">
        <v>5268.3239999999996</v>
      </c>
      <c r="C49" s="4">
        <f t="shared" si="0"/>
        <v>5340.1480000000001</v>
      </c>
      <c r="D49" s="4">
        <f t="shared" si="1"/>
        <v>6840.3379999999997</v>
      </c>
    </row>
    <row r="50" spans="1:4" x14ac:dyDescent="0.2">
      <c r="A50" s="3" t="s">
        <v>48</v>
      </c>
      <c r="B50" s="4">
        <v>5327.0829999999996</v>
      </c>
      <c r="C50" s="4">
        <f t="shared" si="0"/>
        <v>5268.3239999999996</v>
      </c>
      <c r="D50" s="4">
        <f t="shared" si="1"/>
        <v>5905.9049999999997</v>
      </c>
    </row>
    <row r="51" spans="1:4" x14ac:dyDescent="0.2">
      <c r="A51" s="3" t="s">
        <v>49</v>
      </c>
      <c r="B51" s="4">
        <v>5044.84</v>
      </c>
      <c r="C51" s="4">
        <f t="shared" si="0"/>
        <v>5327.0829999999996</v>
      </c>
      <c r="D51" s="4">
        <f t="shared" si="1"/>
        <v>5055.2579999999998</v>
      </c>
    </row>
    <row r="52" spans="1:4" x14ac:dyDescent="0.2">
      <c r="A52" s="3" t="s">
        <v>50</v>
      </c>
      <c r="B52" s="4">
        <v>5205.2460000000001</v>
      </c>
      <c r="C52" s="4">
        <f t="shared" si="0"/>
        <v>5044.84</v>
      </c>
      <c r="D52" s="4">
        <f t="shared" si="1"/>
        <v>8601.4889999999996</v>
      </c>
    </row>
    <row r="53" spans="1:4" x14ac:dyDescent="0.2">
      <c r="A53" s="3" t="s">
        <v>56</v>
      </c>
      <c r="B53" s="4"/>
      <c r="C53" s="4">
        <f t="shared" si="0"/>
        <v>5205.2460000000001</v>
      </c>
      <c r="D53" s="4">
        <f t="shared" si="1"/>
        <v>4877.567</v>
      </c>
    </row>
    <row r="54" spans="1:4" x14ac:dyDescent="0.2">
      <c r="A54" s="3" t="s">
        <v>57</v>
      </c>
      <c r="B54" s="4"/>
      <c r="C54" s="4">
        <f>B52</f>
        <v>5205.2460000000001</v>
      </c>
      <c r="D54" s="4">
        <f t="shared" si="1"/>
        <v>6672.5510000000004</v>
      </c>
    </row>
    <row r="55" spans="1:4" x14ac:dyDescent="0.2">
      <c r="A55" s="3" t="s">
        <v>58</v>
      </c>
      <c r="B55" s="4"/>
      <c r="C55" s="4">
        <f>B52</f>
        <v>5205.2460000000001</v>
      </c>
      <c r="D55" s="4">
        <f t="shared" si="1"/>
        <v>9619.0300000000007</v>
      </c>
    </row>
  </sheetData>
  <pageMargins left="0.75" right="0.75" top="1" bottom="1" header="0.5" footer="0.5"/>
  <ignoredErrors>
    <ignoredError sqref="C5:D55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5"/>
  <sheetViews>
    <sheetView tabSelected="1" workbookViewId="0">
      <selection activeCell="G26" sqref="G26"/>
    </sheetView>
  </sheetViews>
  <sheetFormatPr baseColWidth="10" defaultColWidth="8.83203125" defaultRowHeight="15" x14ac:dyDescent="0.2"/>
  <cols>
    <col min="1" max="2" width="12" customWidth="1"/>
    <col min="3" max="3" width="16" customWidth="1"/>
    <col min="4" max="5" width="12" customWidth="1"/>
  </cols>
  <sheetData>
    <row r="1" spans="1:5" ht="19" x14ac:dyDescent="0.25">
      <c r="A1" s="1" t="s">
        <v>59</v>
      </c>
    </row>
    <row r="2" spans="1:5" x14ac:dyDescent="0.2">
      <c r="A2" t="s">
        <v>60</v>
      </c>
    </row>
    <row r="4" spans="1:5" x14ac:dyDescent="0.2">
      <c r="A4" s="2" t="s">
        <v>1</v>
      </c>
      <c r="B4" s="2" t="s">
        <v>53</v>
      </c>
      <c r="C4" s="2" t="s">
        <v>61</v>
      </c>
      <c r="D4" s="2" t="s">
        <v>62</v>
      </c>
      <c r="E4" s="2" t="s">
        <v>63</v>
      </c>
    </row>
    <row r="5" spans="1:5" x14ac:dyDescent="0.2">
      <c r="A5" s="3" t="s">
        <v>3</v>
      </c>
      <c r="B5" s="4">
        <v>9630.2990000000009</v>
      </c>
      <c r="C5" s="4"/>
      <c r="D5" s="4"/>
      <c r="E5" s="4"/>
    </row>
    <row r="6" spans="1:5" x14ac:dyDescent="0.2">
      <c r="A6" s="3" t="s">
        <v>4</v>
      </c>
      <c r="B6" s="4">
        <v>10251.463</v>
      </c>
      <c r="C6" s="4">
        <f>AVERAGE($B$5:B5)</f>
        <v>9630.2990000000009</v>
      </c>
      <c r="D6" s="4"/>
      <c r="E6" s="4"/>
    </row>
    <row r="7" spans="1:5" x14ac:dyDescent="0.2">
      <c r="A7" s="3" t="s">
        <v>5</v>
      </c>
      <c r="B7" s="4">
        <v>9106.9060000000009</v>
      </c>
      <c r="C7" s="4">
        <f>AVERAGE($B$5:B6)</f>
        <v>9940.8810000000012</v>
      </c>
      <c r="D7" s="4"/>
      <c r="E7" s="4"/>
    </row>
    <row r="8" spans="1:5" x14ac:dyDescent="0.2">
      <c r="A8" s="3" t="s">
        <v>6</v>
      </c>
      <c r="B8" s="4">
        <v>7350.8980000000001</v>
      </c>
      <c r="C8" s="4">
        <f>AVERAGE($B$5:B7)</f>
        <v>9662.8893333333344</v>
      </c>
      <c r="D8" s="4">
        <f t="shared" ref="D8:D53" si="0">AVERAGE(B5:B7)</f>
        <v>9662.8893333333344</v>
      </c>
      <c r="E8" s="4"/>
    </row>
    <row r="9" spans="1:5" x14ac:dyDescent="0.2">
      <c r="A9" s="3" t="s">
        <v>7</v>
      </c>
      <c r="B9" s="4">
        <v>12285.013000000001</v>
      </c>
      <c r="C9" s="4">
        <f>AVERAGE($B$5:B8)</f>
        <v>9084.8915000000015</v>
      </c>
      <c r="D9" s="4">
        <f t="shared" si="0"/>
        <v>8903.0889999999999</v>
      </c>
      <c r="E9" s="4"/>
    </row>
    <row r="10" spans="1:5" x14ac:dyDescent="0.2">
      <c r="A10" s="3" t="s">
        <v>8</v>
      </c>
      <c r="B10" s="4">
        <v>7210.1040000000003</v>
      </c>
      <c r="C10" s="4">
        <f>AVERAGE($B$5:B9)</f>
        <v>9724.9158000000007</v>
      </c>
      <c r="D10" s="4">
        <f t="shared" si="0"/>
        <v>9580.9390000000003</v>
      </c>
      <c r="E10" s="4"/>
    </row>
    <row r="11" spans="1:5" x14ac:dyDescent="0.2">
      <c r="A11" s="3" t="s">
        <v>9</v>
      </c>
      <c r="B11" s="4">
        <v>5576.9979999999996</v>
      </c>
      <c r="C11" s="4">
        <f>AVERAGE($B$5:B10)</f>
        <v>9305.7805000000008</v>
      </c>
      <c r="D11" s="4">
        <f t="shared" si="0"/>
        <v>8948.6716666666671</v>
      </c>
      <c r="E11" s="4"/>
    </row>
    <row r="12" spans="1:5" x14ac:dyDescent="0.2">
      <c r="A12" s="3" t="s">
        <v>10</v>
      </c>
      <c r="B12" s="4">
        <v>6648.9430000000002</v>
      </c>
      <c r="C12" s="4">
        <f>AVERAGE($B$5:B11)</f>
        <v>8773.097285714286</v>
      </c>
      <c r="D12" s="4">
        <f t="shared" si="0"/>
        <v>8357.3716666666678</v>
      </c>
      <c r="E12" s="4"/>
    </row>
    <row r="13" spans="1:5" x14ac:dyDescent="0.2">
      <c r="A13" s="3" t="s">
        <v>11</v>
      </c>
      <c r="B13" s="4">
        <v>8525.2129999999997</v>
      </c>
      <c r="C13" s="4">
        <f>AVERAGE($B$5:B12)</f>
        <v>8507.5780000000013</v>
      </c>
      <c r="D13" s="4">
        <f t="shared" si="0"/>
        <v>6478.6816666666664</v>
      </c>
      <c r="E13" s="4"/>
    </row>
    <row r="14" spans="1:5" x14ac:dyDescent="0.2">
      <c r="A14" s="3" t="s">
        <v>12</v>
      </c>
      <c r="B14" s="4">
        <v>7428.518</v>
      </c>
      <c r="C14" s="4">
        <f>AVERAGE($B$5:B13)</f>
        <v>8509.537444444446</v>
      </c>
      <c r="D14" s="4">
        <f t="shared" si="0"/>
        <v>6917.0513333333329</v>
      </c>
      <c r="E14" s="4"/>
    </row>
    <row r="15" spans="1:5" x14ac:dyDescent="0.2">
      <c r="A15" s="3" t="s">
        <v>13</v>
      </c>
      <c r="B15" s="4">
        <v>6618.3440000000001</v>
      </c>
      <c r="C15" s="4">
        <f>AVERAGE($B$5:B14)</f>
        <v>8401.4355000000014</v>
      </c>
      <c r="D15" s="4">
        <f t="shared" si="0"/>
        <v>7534.2246666666661</v>
      </c>
      <c r="E15" s="4"/>
    </row>
    <row r="16" spans="1:5" x14ac:dyDescent="0.2">
      <c r="A16" s="3" t="s">
        <v>14</v>
      </c>
      <c r="B16" s="4">
        <v>10251.380999999999</v>
      </c>
      <c r="C16" s="4">
        <f>AVERAGE($B$5:B15)</f>
        <v>8239.3362727272743</v>
      </c>
      <c r="D16" s="4">
        <f t="shared" si="0"/>
        <v>7524.0250000000005</v>
      </c>
      <c r="E16" s="4"/>
    </row>
    <row r="17" spans="1:5" x14ac:dyDescent="0.2">
      <c r="A17" s="3" t="s">
        <v>15</v>
      </c>
      <c r="B17" s="4">
        <v>8574.4220000000005</v>
      </c>
      <c r="C17" s="4">
        <f>AVERAGE($B$5:B16)</f>
        <v>8407.0066666666662</v>
      </c>
      <c r="D17" s="4">
        <f t="shared" si="0"/>
        <v>8099.4143333333341</v>
      </c>
      <c r="E17" s="4">
        <f t="shared" ref="E17:E53" si="1">AVERAGE(B5:B16)</f>
        <v>8407.0066666666662</v>
      </c>
    </row>
    <row r="18" spans="1:5" x14ac:dyDescent="0.2">
      <c r="A18" s="3" t="s">
        <v>16</v>
      </c>
      <c r="B18" s="4">
        <v>8853.1569999999992</v>
      </c>
      <c r="C18" s="4">
        <f>AVERAGE($B$5:B17)</f>
        <v>8419.88476923077</v>
      </c>
      <c r="D18" s="4">
        <f t="shared" si="0"/>
        <v>8481.382333333333</v>
      </c>
      <c r="E18" s="4">
        <f t="shared" si="1"/>
        <v>8319.0169166666656</v>
      </c>
    </row>
    <row r="19" spans="1:5" x14ac:dyDescent="0.2">
      <c r="A19" s="3" t="s">
        <v>17</v>
      </c>
      <c r="B19" s="4">
        <v>11343.447</v>
      </c>
      <c r="C19" s="4">
        <f>AVERAGE($B$5:B18)</f>
        <v>8450.8327857142867</v>
      </c>
      <c r="D19" s="4">
        <f t="shared" si="0"/>
        <v>9226.32</v>
      </c>
      <c r="E19" s="4">
        <f t="shared" si="1"/>
        <v>8202.4914166666658</v>
      </c>
    </row>
    <row r="20" spans="1:5" x14ac:dyDescent="0.2">
      <c r="A20" s="3" t="s">
        <v>18</v>
      </c>
      <c r="B20" s="4">
        <v>9180.7569999999996</v>
      </c>
      <c r="C20" s="4">
        <f>AVERAGE($B$5:B19)</f>
        <v>8643.6737333333349</v>
      </c>
      <c r="D20" s="4">
        <f t="shared" si="0"/>
        <v>9590.3419999999987</v>
      </c>
      <c r="E20" s="4">
        <f t="shared" si="1"/>
        <v>8388.8698333333323</v>
      </c>
    </row>
    <row r="21" spans="1:5" x14ac:dyDescent="0.2">
      <c r="A21" s="3" t="s">
        <v>19</v>
      </c>
      <c r="B21" s="4">
        <v>12310.300999999999</v>
      </c>
      <c r="C21" s="4">
        <f>AVERAGE($B$5:B20)</f>
        <v>8677.2414375000008</v>
      </c>
      <c r="D21" s="4">
        <f t="shared" si="0"/>
        <v>9792.4536666666663</v>
      </c>
      <c r="E21" s="4">
        <f t="shared" si="1"/>
        <v>8541.3580833333326</v>
      </c>
    </row>
    <row r="22" spans="1:5" x14ac:dyDescent="0.2">
      <c r="A22" s="3" t="s">
        <v>20</v>
      </c>
      <c r="B22" s="4">
        <v>4916.5020000000004</v>
      </c>
      <c r="C22" s="4">
        <f>AVERAGE($B$5:B21)</f>
        <v>8890.9508235294124</v>
      </c>
      <c r="D22" s="4">
        <f t="shared" si="0"/>
        <v>10944.834999999999</v>
      </c>
      <c r="E22" s="4">
        <f t="shared" si="1"/>
        <v>8543.465416666666</v>
      </c>
    </row>
    <row r="23" spans="1:5" x14ac:dyDescent="0.2">
      <c r="A23" s="3" t="s">
        <v>21</v>
      </c>
      <c r="B23" s="4">
        <v>5690.96</v>
      </c>
      <c r="C23" s="4">
        <f>AVERAGE($B$5:B22)</f>
        <v>8670.1481111111134</v>
      </c>
      <c r="D23" s="4">
        <f t="shared" si="0"/>
        <v>8802.5199999999986</v>
      </c>
      <c r="E23" s="4">
        <f t="shared" si="1"/>
        <v>8352.3319166666679</v>
      </c>
    </row>
    <row r="24" spans="1:5" x14ac:dyDescent="0.2">
      <c r="A24" s="3" t="s">
        <v>22</v>
      </c>
      <c r="B24" s="4">
        <v>6504.8370000000004</v>
      </c>
      <c r="C24" s="4">
        <f>AVERAGE($B$5:B23)</f>
        <v>8513.3487368421065</v>
      </c>
      <c r="D24" s="4">
        <f t="shared" si="0"/>
        <v>7639.2543333333333</v>
      </c>
      <c r="E24" s="4">
        <f t="shared" si="1"/>
        <v>8361.8287499999988</v>
      </c>
    </row>
    <row r="25" spans="1:5" x14ac:dyDescent="0.2">
      <c r="A25" s="3" t="s">
        <v>23</v>
      </c>
      <c r="B25" s="4">
        <v>6356.8980000000001</v>
      </c>
      <c r="C25" s="4">
        <f>AVERAGE($B$5:B24)</f>
        <v>8412.9231500000005</v>
      </c>
      <c r="D25" s="4">
        <f t="shared" si="0"/>
        <v>5704.0996666666661</v>
      </c>
      <c r="E25" s="4">
        <f t="shared" si="1"/>
        <v>8349.8199166666691</v>
      </c>
    </row>
    <row r="26" spans="1:5" x14ac:dyDescent="0.2">
      <c r="A26" s="3" t="s">
        <v>24</v>
      </c>
      <c r="B26" s="4">
        <v>7687.4089999999997</v>
      </c>
      <c r="C26" s="4">
        <f>AVERAGE($B$5:B25)</f>
        <v>8315.0171904761901</v>
      </c>
      <c r="D26" s="4">
        <f t="shared" si="0"/>
        <v>6184.2316666666666</v>
      </c>
      <c r="E26" s="4">
        <f t="shared" si="1"/>
        <v>8169.1270000000004</v>
      </c>
    </row>
    <row r="27" spans="1:5" x14ac:dyDescent="0.2">
      <c r="A27" s="3" t="s">
        <v>25</v>
      </c>
      <c r="B27" s="4">
        <v>6111.2430000000004</v>
      </c>
      <c r="C27" s="4">
        <f>AVERAGE($B$5:B26)</f>
        <v>8286.4895454545458</v>
      </c>
      <c r="D27" s="4">
        <f t="shared" si="0"/>
        <v>6849.7146666666667</v>
      </c>
      <c r="E27" s="4">
        <f t="shared" si="1"/>
        <v>8190.7012499999992</v>
      </c>
    </row>
    <row r="28" spans="1:5" x14ac:dyDescent="0.2">
      <c r="A28" s="3" t="s">
        <v>26</v>
      </c>
      <c r="B28" s="4">
        <v>11481.558000000001</v>
      </c>
      <c r="C28" s="4">
        <f>AVERAGE($B$5:B27)</f>
        <v>8191.9136086956523</v>
      </c>
      <c r="D28" s="4">
        <f t="shared" si="0"/>
        <v>6718.5166666666673</v>
      </c>
      <c r="E28" s="4">
        <f t="shared" si="1"/>
        <v>8148.4428333333335</v>
      </c>
    </row>
    <row r="29" spans="1:5" x14ac:dyDescent="0.2">
      <c r="A29" s="3" t="s">
        <v>27</v>
      </c>
      <c r="B29" s="4">
        <v>6375.4579999999996</v>
      </c>
      <c r="C29" s="4">
        <f>AVERAGE($B$5:B28)</f>
        <v>8328.9821250000005</v>
      </c>
      <c r="D29" s="4">
        <f t="shared" si="0"/>
        <v>8426.7366666666658</v>
      </c>
      <c r="E29" s="4">
        <f t="shared" si="1"/>
        <v>8250.9575833333347</v>
      </c>
    </row>
    <row r="30" spans="1:5" x14ac:dyDescent="0.2">
      <c r="A30" s="3" t="s">
        <v>28</v>
      </c>
      <c r="B30" s="4">
        <v>7003.0320000000002</v>
      </c>
      <c r="C30" s="4">
        <f>AVERAGE($B$5:B29)</f>
        <v>8250.8411599999999</v>
      </c>
      <c r="D30" s="4">
        <f t="shared" si="0"/>
        <v>7989.4196666666658</v>
      </c>
      <c r="E30" s="4">
        <f t="shared" si="1"/>
        <v>8067.7105833333335</v>
      </c>
    </row>
    <row r="31" spans="1:5" x14ac:dyDescent="0.2">
      <c r="A31" s="3" t="s">
        <v>29</v>
      </c>
      <c r="B31" s="4">
        <v>10899.564</v>
      </c>
      <c r="C31" s="4">
        <f>AVERAGE($B$5:B30)</f>
        <v>8202.8485000000001</v>
      </c>
      <c r="D31" s="4">
        <f t="shared" si="0"/>
        <v>8286.6826666666657</v>
      </c>
      <c r="E31" s="4">
        <f t="shared" si="1"/>
        <v>7913.5335000000005</v>
      </c>
    </row>
    <row r="32" spans="1:5" x14ac:dyDescent="0.2">
      <c r="A32" s="3" t="s">
        <v>30</v>
      </c>
      <c r="B32" s="4">
        <v>7461.0919999999996</v>
      </c>
      <c r="C32" s="4">
        <f>AVERAGE($B$5:B31)</f>
        <v>8302.7268518518522</v>
      </c>
      <c r="D32" s="4">
        <f t="shared" si="0"/>
        <v>8092.684666666667</v>
      </c>
      <c r="E32" s="4">
        <f t="shared" si="1"/>
        <v>7876.5432499999997</v>
      </c>
    </row>
    <row r="33" spans="1:5" x14ac:dyDescent="0.2">
      <c r="A33" s="3" t="s">
        <v>31</v>
      </c>
      <c r="B33" s="4">
        <v>12917.156999999999</v>
      </c>
      <c r="C33" s="4">
        <f>AVERAGE($B$5:B32)</f>
        <v>8272.6684642857163</v>
      </c>
      <c r="D33" s="4">
        <f t="shared" si="0"/>
        <v>8454.5626666666667</v>
      </c>
      <c r="E33" s="4">
        <f t="shared" si="1"/>
        <v>7733.2378333333336</v>
      </c>
    </row>
    <row r="34" spans="1:5" x14ac:dyDescent="0.2">
      <c r="A34" s="3" t="s">
        <v>32</v>
      </c>
      <c r="B34" s="4">
        <v>5233.0630000000001</v>
      </c>
      <c r="C34" s="4">
        <f>AVERAGE($B$5:B33)</f>
        <v>8432.8232413793121</v>
      </c>
      <c r="D34" s="4">
        <f t="shared" si="0"/>
        <v>10425.937666666667</v>
      </c>
      <c r="E34" s="4">
        <f t="shared" si="1"/>
        <v>7783.8091666666687</v>
      </c>
    </row>
    <row r="35" spans="1:5" x14ac:dyDescent="0.2">
      <c r="A35" s="3" t="s">
        <v>33</v>
      </c>
      <c r="B35" s="4">
        <v>5157.8140000000003</v>
      </c>
      <c r="C35" s="4">
        <f>AVERAGE($B$5:B34)</f>
        <v>8326.1645666666682</v>
      </c>
      <c r="D35" s="4">
        <f t="shared" si="0"/>
        <v>8537.1039999999994</v>
      </c>
      <c r="E35" s="4">
        <f t="shared" si="1"/>
        <v>7810.1892500000004</v>
      </c>
    </row>
    <row r="36" spans="1:5" x14ac:dyDescent="0.2">
      <c r="A36" s="3" t="s">
        <v>34</v>
      </c>
      <c r="B36" s="4">
        <v>6202.39</v>
      </c>
      <c r="C36" s="4">
        <f>AVERAGE($B$5:B35)</f>
        <v>8223.9597096774214</v>
      </c>
      <c r="D36" s="4">
        <f t="shared" si="0"/>
        <v>7769.3446666666669</v>
      </c>
      <c r="E36" s="4">
        <f t="shared" si="1"/>
        <v>7765.7604166666652</v>
      </c>
    </row>
    <row r="37" spans="1:5" x14ac:dyDescent="0.2">
      <c r="A37" s="3" t="s">
        <v>35</v>
      </c>
      <c r="B37" s="4">
        <v>6840.3379999999997</v>
      </c>
      <c r="C37" s="4">
        <f>AVERAGE($B$5:B36)</f>
        <v>8160.7856562500019</v>
      </c>
      <c r="D37" s="4">
        <f t="shared" si="0"/>
        <v>5531.0889999999999</v>
      </c>
      <c r="E37" s="4">
        <f t="shared" si="1"/>
        <v>7740.5564999999988</v>
      </c>
    </row>
    <row r="38" spans="1:5" x14ac:dyDescent="0.2">
      <c r="A38" s="3" t="s">
        <v>36</v>
      </c>
      <c r="B38" s="4">
        <v>5905.9049999999997</v>
      </c>
      <c r="C38" s="4">
        <f>AVERAGE($B$5:B37)</f>
        <v>8120.7720909090922</v>
      </c>
      <c r="D38" s="4">
        <f t="shared" si="0"/>
        <v>6066.8473333333341</v>
      </c>
      <c r="E38" s="4">
        <f t="shared" si="1"/>
        <v>7780.8431666666656</v>
      </c>
    </row>
    <row r="39" spans="1:5" x14ac:dyDescent="0.2">
      <c r="A39" s="3" t="s">
        <v>37</v>
      </c>
      <c r="B39" s="4">
        <v>5055.2579999999998</v>
      </c>
      <c r="C39" s="4">
        <f>AVERAGE($B$5:B38)</f>
        <v>8055.6289411764728</v>
      </c>
      <c r="D39" s="4">
        <f t="shared" si="0"/>
        <v>6316.2109999999993</v>
      </c>
      <c r="E39" s="4">
        <f t="shared" si="1"/>
        <v>7632.3844999999992</v>
      </c>
    </row>
    <row r="40" spans="1:5" x14ac:dyDescent="0.2">
      <c r="A40" s="3" t="s">
        <v>38</v>
      </c>
      <c r="B40" s="4">
        <v>8601.4889999999996</v>
      </c>
      <c r="C40" s="4">
        <f>AVERAGE($B$5:B39)</f>
        <v>7969.9040571428586</v>
      </c>
      <c r="D40" s="4">
        <f t="shared" si="0"/>
        <v>5933.8336666666655</v>
      </c>
      <c r="E40" s="4">
        <f t="shared" si="1"/>
        <v>7544.3857500000004</v>
      </c>
    </row>
    <row r="41" spans="1:5" x14ac:dyDescent="0.2">
      <c r="A41" s="3" t="s">
        <v>39</v>
      </c>
      <c r="B41" s="4">
        <v>4877.567</v>
      </c>
      <c r="C41" s="4">
        <f>AVERAGE($B$5:B40)</f>
        <v>7987.4480833333346</v>
      </c>
      <c r="D41" s="4">
        <f t="shared" si="0"/>
        <v>6520.8840000000009</v>
      </c>
      <c r="E41" s="4">
        <f t="shared" si="1"/>
        <v>7304.38</v>
      </c>
    </row>
    <row r="42" spans="1:5" x14ac:dyDescent="0.2">
      <c r="A42" s="3" t="s">
        <v>40</v>
      </c>
      <c r="B42" s="4">
        <v>6672.5510000000004</v>
      </c>
      <c r="C42" s="4">
        <f>AVERAGE($B$5:B41)</f>
        <v>7903.3972432432438</v>
      </c>
      <c r="D42" s="4">
        <f t="shared" si="0"/>
        <v>6178.1046666666662</v>
      </c>
      <c r="E42" s="4">
        <f t="shared" si="1"/>
        <v>7179.5557499999995</v>
      </c>
    </row>
    <row r="43" spans="1:5" x14ac:dyDescent="0.2">
      <c r="A43" s="3" t="s">
        <v>41</v>
      </c>
      <c r="B43" s="4">
        <v>9619.0300000000007</v>
      </c>
      <c r="C43" s="4">
        <f>AVERAGE($B$5:B42)</f>
        <v>7871.0065526315793</v>
      </c>
      <c r="D43" s="4">
        <f t="shared" si="0"/>
        <v>6717.2023333333336</v>
      </c>
      <c r="E43" s="4">
        <f t="shared" si="1"/>
        <v>7152.0156666666662</v>
      </c>
    </row>
    <row r="44" spans="1:5" x14ac:dyDescent="0.2">
      <c r="A44" s="3" t="s">
        <v>42</v>
      </c>
      <c r="B44" s="4">
        <v>7302.9219999999996</v>
      </c>
      <c r="C44" s="4">
        <f>AVERAGE($B$5:B43)</f>
        <v>7915.8276666666679</v>
      </c>
      <c r="D44" s="4">
        <f t="shared" si="0"/>
        <v>7056.3826666666673</v>
      </c>
      <c r="E44" s="4">
        <f t="shared" si="1"/>
        <v>7045.3044999999993</v>
      </c>
    </row>
    <row r="45" spans="1:5" x14ac:dyDescent="0.2">
      <c r="A45" s="3" t="s">
        <v>43</v>
      </c>
      <c r="B45" s="4">
        <v>7676.57</v>
      </c>
      <c r="C45" s="4">
        <f>AVERAGE($B$5:B44)</f>
        <v>7900.5050250000013</v>
      </c>
      <c r="D45" s="4">
        <f t="shared" si="0"/>
        <v>7864.8343333333332</v>
      </c>
      <c r="E45" s="4">
        <f t="shared" si="1"/>
        <v>7032.1236666666673</v>
      </c>
    </row>
    <row r="46" spans="1:5" x14ac:dyDescent="0.2">
      <c r="A46" s="3" t="s">
        <v>44</v>
      </c>
      <c r="B46" s="4">
        <v>4467.835</v>
      </c>
      <c r="C46" s="4">
        <f>AVERAGE($B$5:B45)</f>
        <v>7895.0431951219525</v>
      </c>
      <c r="D46" s="4">
        <f t="shared" si="0"/>
        <v>8199.507333333333</v>
      </c>
      <c r="E46" s="4">
        <f t="shared" si="1"/>
        <v>6595.4080833333328</v>
      </c>
    </row>
    <row r="47" spans="1:5" x14ac:dyDescent="0.2">
      <c r="A47" s="3" t="s">
        <v>45</v>
      </c>
      <c r="B47" s="4">
        <v>3492.41</v>
      </c>
      <c r="C47" s="4">
        <f>AVERAGE($B$5:B46)</f>
        <v>7813.443000000002</v>
      </c>
      <c r="D47" s="4">
        <f t="shared" si="0"/>
        <v>6482.4423333333325</v>
      </c>
      <c r="E47" s="4">
        <f t="shared" si="1"/>
        <v>6531.6390833333344</v>
      </c>
    </row>
    <row r="48" spans="1:5" x14ac:dyDescent="0.2">
      <c r="A48" s="3" t="s">
        <v>46</v>
      </c>
      <c r="B48" s="4">
        <v>5340.1480000000001</v>
      </c>
      <c r="C48" s="4">
        <f>AVERAGE($B$5:B47)</f>
        <v>7712.9538604651179</v>
      </c>
      <c r="D48" s="4">
        <f t="shared" si="0"/>
        <v>5212.2716666666665</v>
      </c>
      <c r="E48" s="4">
        <f t="shared" si="1"/>
        <v>6392.8554166666663</v>
      </c>
    </row>
    <row r="49" spans="1:5" x14ac:dyDescent="0.2">
      <c r="A49" s="3" t="s">
        <v>47</v>
      </c>
      <c r="B49" s="4">
        <v>5268.3239999999996</v>
      </c>
      <c r="C49" s="4">
        <f>AVERAGE($B$5:B48)</f>
        <v>7659.0264545454556</v>
      </c>
      <c r="D49" s="4">
        <f t="shared" si="0"/>
        <v>4433.4643333333333</v>
      </c>
      <c r="E49" s="4">
        <f t="shared" si="1"/>
        <v>6321.0019166666671</v>
      </c>
    </row>
    <row r="50" spans="1:5" x14ac:dyDescent="0.2">
      <c r="A50" s="3" t="s">
        <v>48</v>
      </c>
      <c r="B50" s="4">
        <v>5327.0829999999996</v>
      </c>
      <c r="C50" s="4">
        <f>AVERAGE($B$5:B49)</f>
        <v>7605.8997333333346</v>
      </c>
      <c r="D50" s="4">
        <f t="shared" si="0"/>
        <v>4700.2940000000008</v>
      </c>
      <c r="E50" s="4">
        <f t="shared" si="1"/>
        <v>6190.0007499999992</v>
      </c>
    </row>
    <row r="51" spans="1:5" x14ac:dyDescent="0.2">
      <c r="A51" s="3" t="s">
        <v>49</v>
      </c>
      <c r="B51" s="4">
        <v>5044.84</v>
      </c>
      <c r="C51" s="4">
        <f>AVERAGE($B$5:B50)</f>
        <v>7556.3602391304357</v>
      </c>
      <c r="D51" s="4">
        <f t="shared" si="0"/>
        <v>5311.8516666666665</v>
      </c>
      <c r="E51" s="4">
        <f t="shared" si="1"/>
        <v>6141.7655833333329</v>
      </c>
    </row>
    <row r="52" spans="1:5" x14ac:dyDescent="0.2">
      <c r="A52" s="3" t="s">
        <v>50</v>
      </c>
      <c r="B52" s="4">
        <v>5205.2460000000001</v>
      </c>
      <c r="C52" s="4">
        <f>AVERAGE($B$5:B51)</f>
        <v>7502.9236382978743</v>
      </c>
      <c r="D52" s="4">
        <f t="shared" si="0"/>
        <v>5213.4156666666668</v>
      </c>
      <c r="E52" s="4">
        <f t="shared" si="1"/>
        <v>6140.8974166666667</v>
      </c>
    </row>
    <row r="53" spans="1:5" x14ac:dyDescent="0.2">
      <c r="A53" s="3" t="s">
        <v>56</v>
      </c>
      <c r="B53" s="4"/>
      <c r="C53" s="4">
        <f>AVERAGE($B$5:$B52)</f>
        <v>7455.0553541666677</v>
      </c>
      <c r="D53" s="4">
        <f t="shared" si="0"/>
        <v>5192.389666666666</v>
      </c>
      <c r="E53" s="4">
        <f t="shared" si="1"/>
        <v>5857.8771666666662</v>
      </c>
    </row>
    <row r="54" spans="1:5" x14ac:dyDescent="0.2">
      <c r="A54" s="3" t="s">
        <v>57</v>
      </c>
      <c r="B54" s="4"/>
      <c r="C54" s="4">
        <f>AVERAGE($B$5:$B52)</f>
        <v>7455.0553541666677</v>
      </c>
      <c r="D54" s="4">
        <f>AVERAGE(B50:B52)</f>
        <v>5192.389666666666</v>
      </c>
      <c r="E54" s="4">
        <f>AVERAGE(B41:B52)</f>
        <v>5857.8771666666662</v>
      </c>
    </row>
    <row r="55" spans="1:5" x14ac:dyDescent="0.2">
      <c r="A55" s="3" t="s">
        <v>58</v>
      </c>
      <c r="B55" s="4"/>
      <c r="C55" s="4">
        <f>AVERAGE($B$5:$B52)</f>
        <v>7455.0553541666677</v>
      </c>
      <c r="D55" s="4">
        <f>AVERAGE(B50:B52)</f>
        <v>5192.389666666666</v>
      </c>
      <c r="E55" s="4">
        <f>AVERAGE(B41:B52)</f>
        <v>5857.8771666666662</v>
      </c>
    </row>
  </sheetData>
  <pageMargins left="0.75" right="0.75" top="1" bottom="1" header="0.5" footer="0.5"/>
  <ignoredErrors>
    <ignoredError sqref="C5:E55" formulaRange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45"/>
  <sheetViews>
    <sheetView topLeftCell="B28" workbookViewId="0">
      <selection activeCell="E33" sqref="E33"/>
    </sheetView>
  </sheetViews>
  <sheetFormatPr baseColWidth="10" defaultColWidth="8.83203125" defaultRowHeight="15" x14ac:dyDescent="0.2"/>
  <cols>
    <col min="1" max="4" width="12" customWidth="1"/>
    <col min="5" max="5" width="14" customWidth="1"/>
  </cols>
  <sheetData>
    <row r="1" spans="1:5" ht="19" x14ac:dyDescent="0.25">
      <c r="A1" s="1" t="s">
        <v>64</v>
      </c>
    </row>
    <row r="2" spans="1:5" x14ac:dyDescent="0.2">
      <c r="A2" t="s">
        <v>65</v>
      </c>
    </row>
    <row r="4" spans="1:5" x14ac:dyDescent="0.2">
      <c r="A4" s="2" t="s">
        <v>1</v>
      </c>
      <c r="B4" s="2" t="s">
        <v>53</v>
      </c>
      <c r="C4" s="2" t="s">
        <v>66</v>
      </c>
      <c r="D4" s="2" t="s">
        <v>67</v>
      </c>
      <c r="E4" s="2" t="s">
        <v>68</v>
      </c>
    </row>
    <row r="5" spans="1:5" x14ac:dyDescent="0.2">
      <c r="A5" s="3" t="s">
        <v>3</v>
      </c>
      <c r="B5" s="4">
        <v>9630.2990000000009</v>
      </c>
      <c r="C5" s="4">
        <f t="shared" ref="C5:C36" si="0">E95</f>
        <v>10220.9756</v>
      </c>
      <c r="D5" s="4">
        <f t="shared" ref="D5:D52" si="1">F95+G95</f>
        <v>9890.150126999999</v>
      </c>
      <c r="E5" s="4">
        <f t="shared" ref="E5:E52" si="2">H95+I95+J95</f>
        <v>7482.7451539999993</v>
      </c>
    </row>
    <row r="6" spans="1:5" x14ac:dyDescent="0.2">
      <c r="A6" s="3" t="s">
        <v>4</v>
      </c>
      <c r="B6" s="4">
        <v>10251.463</v>
      </c>
      <c r="C6" s="4">
        <f t="shared" si="0"/>
        <v>9925.6373000000003</v>
      </c>
      <c r="D6" s="4">
        <f t="shared" si="1"/>
        <v>9481.3693158999977</v>
      </c>
      <c r="E6" s="4">
        <f t="shared" si="2"/>
        <v>8655.7814000599974</v>
      </c>
    </row>
    <row r="7" spans="1:5" x14ac:dyDescent="0.2">
      <c r="A7" s="3" t="s">
        <v>5</v>
      </c>
      <c r="B7" s="4">
        <v>9106.9060000000009</v>
      </c>
      <c r="C7" s="4">
        <f t="shared" si="0"/>
        <v>10088.550149999999</v>
      </c>
      <c r="D7" s="4">
        <f t="shared" si="1"/>
        <v>9381.5719481299966</v>
      </c>
      <c r="E7" s="4">
        <f t="shared" si="2"/>
        <v>12016.538529513396</v>
      </c>
    </row>
    <row r="8" spans="1:5" x14ac:dyDescent="0.2">
      <c r="A8" s="3" t="s">
        <v>6</v>
      </c>
      <c r="B8" s="4">
        <v>7350.8980000000001</v>
      </c>
      <c r="C8" s="4">
        <f t="shared" si="0"/>
        <v>9597.7280749999991</v>
      </c>
      <c r="D8" s="4">
        <f t="shared" si="1"/>
        <v>8968.3466906909962</v>
      </c>
      <c r="E8" s="4">
        <f t="shared" si="2"/>
        <v>9158.4864767263243</v>
      </c>
    </row>
    <row r="9" spans="1:5" x14ac:dyDescent="0.2">
      <c r="A9" s="3" t="s">
        <v>7</v>
      </c>
      <c r="B9" s="4">
        <v>12285.013000000001</v>
      </c>
      <c r="C9" s="4">
        <f t="shared" si="0"/>
        <v>8474.3130375000001</v>
      </c>
      <c r="D9" s="4">
        <f t="shared" si="1"/>
        <v>8152.2866104836985</v>
      </c>
      <c r="E9" s="4">
        <f t="shared" si="2"/>
        <v>11994.691596450695</v>
      </c>
    </row>
    <row r="10" spans="1:5" x14ac:dyDescent="0.2">
      <c r="A10" s="3" t="s">
        <v>8</v>
      </c>
      <c r="B10" s="4">
        <v>7210.1040000000003</v>
      </c>
      <c r="C10" s="4">
        <f t="shared" si="0"/>
        <v>10379.663018750001</v>
      </c>
      <c r="D10" s="4">
        <f t="shared" si="1"/>
        <v>9061.2790543385872</v>
      </c>
      <c r="E10" s="4">
        <f t="shared" si="2"/>
        <v>6002.5278632381232</v>
      </c>
    </row>
    <row r="11" spans="1:5" x14ac:dyDescent="0.2">
      <c r="A11" s="3" t="s">
        <v>9</v>
      </c>
      <c r="B11" s="4">
        <v>5576.9979999999996</v>
      </c>
      <c r="C11" s="4">
        <f t="shared" si="0"/>
        <v>8794.8835093750004</v>
      </c>
      <c r="D11" s="4">
        <f t="shared" si="1"/>
        <v>8175.1010650370108</v>
      </c>
      <c r="E11" s="4">
        <f t="shared" si="2"/>
        <v>6006.9448087144256</v>
      </c>
    </row>
    <row r="12" spans="1:5" x14ac:dyDescent="0.2">
      <c r="A12" s="3" t="s">
        <v>10</v>
      </c>
      <c r="B12" s="4">
        <v>6648.9430000000002</v>
      </c>
      <c r="C12" s="4">
        <f t="shared" si="0"/>
        <v>7185.9407546875</v>
      </c>
      <c r="D12" s="4">
        <f t="shared" si="1"/>
        <v>7064.8446725259073</v>
      </c>
      <c r="E12" s="4">
        <f t="shared" si="2"/>
        <v>7046.6503955559529</v>
      </c>
    </row>
    <row r="13" spans="1:5" x14ac:dyDescent="0.2">
      <c r="A13" s="3" t="s">
        <v>11</v>
      </c>
      <c r="B13" s="4">
        <v>8525.2129999999997</v>
      </c>
      <c r="C13" s="4">
        <f t="shared" si="0"/>
        <v>6917.4418773437501</v>
      </c>
      <c r="D13" s="4">
        <f t="shared" si="1"/>
        <v>6609.2486977681347</v>
      </c>
      <c r="E13" s="4">
        <f t="shared" si="2"/>
        <v>7824.4401817577682</v>
      </c>
    </row>
    <row r="14" spans="1:5" x14ac:dyDescent="0.2">
      <c r="A14" s="3" t="s">
        <v>12</v>
      </c>
      <c r="B14" s="4">
        <v>7428.518</v>
      </c>
      <c r="C14" s="4">
        <f t="shared" si="0"/>
        <v>7721.3274386718749</v>
      </c>
      <c r="D14" s="4">
        <f t="shared" si="1"/>
        <v>6853.2125154376945</v>
      </c>
      <c r="E14" s="4">
        <f t="shared" si="2"/>
        <v>7647.7462735218251</v>
      </c>
    </row>
    <row r="15" spans="1:5" x14ac:dyDescent="0.2">
      <c r="A15" s="3" t="s">
        <v>13</v>
      </c>
      <c r="B15" s="4">
        <v>6618.3440000000001</v>
      </c>
      <c r="C15" s="4">
        <f t="shared" si="0"/>
        <v>7574.9227193359375</v>
      </c>
      <c r="D15" s="4">
        <f t="shared" si="1"/>
        <v>6694.9786878063851</v>
      </c>
      <c r="E15" s="4">
        <f t="shared" si="2"/>
        <v>6602.5222923742585</v>
      </c>
    </row>
    <row r="16" spans="1:5" x14ac:dyDescent="0.2">
      <c r="A16" s="3" t="s">
        <v>14</v>
      </c>
      <c r="B16" s="4">
        <v>10251.380999999999</v>
      </c>
      <c r="C16" s="4">
        <f t="shared" si="0"/>
        <v>7096.6333596679688</v>
      </c>
      <c r="D16" s="4">
        <f t="shared" si="1"/>
        <v>6341.1628084644699</v>
      </c>
      <c r="E16" s="4">
        <f t="shared" si="2"/>
        <v>10880.572263417705</v>
      </c>
    </row>
    <row r="17" spans="1:5" x14ac:dyDescent="0.2">
      <c r="A17" s="3" t="s">
        <v>15</v>
      </c>
      <c r="B17" s="4">
        <v>8574.4220000000005</v>
      </c>
      <c r="C17" s="4">
        <f t="shared" si="0"/>
        <v>8674.007179833985</v>
      </c>
      <c r="D17" s="4">
        <f t="shared" si="1"/>
        <v>7183.4027929251288</v>
      </c>
      <c r="E17" s="4">
        <f t="shared" si="2"/>
        <v>8441.0310727226315</v>
      </c>
    </row>
    <row r="18" spans="1:5" x14ac:dyDescent="0.2">
      <c r="A18" s="3" t="s">
        <v>16</v>
      </c>
      <c r="B18" s="4">
        <v>8853.1569999999992</v>
      </c>
      <c r="C18" s="4">
        <f t="shared" si="0"/>
        <v>8624.2145899169918</v>
      </c>
      <c r="D18" s="4">
        <f t="shared" si="1"/>
        <v>7269.8830820475896</v>
      </c>
      <c r="E18" s="4">
        <f t="shared" si="2"/>
        <v>9112.2176023398388</v>
      </c>
    </row>
    <row r="19" spans="1:5" x14ac:dyDescent="0.2">
      <c r="A19" s="3" t="s">
        <v>17</v>
      </c>
      <c r="B19" s="4">
        <v>11343.447</v>
      </c>
      <c r="C19" s="4">
        <f t="shared" si="0"/>
        <v>8738.6857949584955</v>
      </c>
      <c r="D19" s="4">
        <f t="shared" si="1"/>
        <v>7414.039784433312</v>
      </c>
      <c r="E19" s="4">
        <f t="shared" si="2"/>
        <v>9991.7987232752275</v>
      </c>
    </row>
    <row r="20" spans="1:5" x14ac:dyDescent="0.2">
      <c r="A20" s="3" t="s">
        <v>18</v>
      </c>
      <c r="B20" s="4">
        <v>9180.7569999999996</v>
      </c>
      <c r="C20" s="4">
        <f t="shared" si="0"/>
        <v>10041.066397479248</v>
      </c>
      <c r="D20" s="4">
        <f t="shared" si="1"/>
        <v>8262.0364761033161</v>
      </c>
      <c r="E20" s="4">
        <f t="shared" si="2"/>
        <v>8110.4648620045609</v>
      </c>
    </row>
    <row r="21" spans="1:5" x14ac:dyDescent="0.2">
      <c r="A21" s="3" t="s">
        <v>19</v>
      </c>
      <c r="B21" s="4">
        <v>12310.300999999999</v>
      </c>
      <c r="C21" s="4">
        <f t="shared" si="0"/>
        <v>9610.9116987396228</v>
      </c>
      <c r="D21" s="4">
        <f t="shared" si="1"/>
        <v>8206.8271602723198</v>
      </c>
      <c r="E21" s="4">
        <f t="shared" si="2"/>
        <v>12311.759873985193</v>
      </c>
    </row>
    <row r="22" spans="1:5" x14ac:dyDescent="0.2">
      <c r="A22" s="3" t="s">
        <v>20</v>
      </c>
      <c r="B22" s="4">
        <v>4916.5020000000004</v>
      </c>
      <c r="C22" s="4">
        <f t="shared" si="0"/>
        <v>10960.606349369811</v>
      </c>
      <c r="D22" s="4">
        <f t="shared" si="1"/>
        <v>9107.0438391906227</v>
      </c>
      <c r="E22" s="4">
        <f t="shared" si="2"/>
        <v>6774.4745674963797</v>
      </c>
    </row>
    <row r="23" spans="1:5" x14ac:dyDescent="0.2">
      <c r="A23" s="3" t="s">
        <v>21</v>
      </c>
      <c r="B23" s="4">
        <v>5690.96</v>
      </c>
      <c r="C23" s="4">
        <f t="shared" si="0"/>
        <v>7938.5541746849058</v>
      </c>
      <c r="D23" s="4">
        <f t="shared" si="1"/>
        <v>7519.0558144334354</v>
      </c>
      <c r="E23" s="4">
        <f t="shared" si="2"/>
        <v>5648.3487706370488</v>
      </c>
    </row>
    <row r="24" spans="1:5" x14ac:dyDescent="0.2">
      <c r="A24" s="3" t="s">
        <v>22</v>
      </c>
      <c r="B24" s="4">
        <v>6504.8370000000004</v>
      </c>
      <c r="C24" s="4">
        <f t="shared" si="0"/>
        <v>6814.7570873424529</v>
      </c>
      <c r="D24" s="4">
        <f t="shared" si="1"/>
        <v>6639.8015971034047</v>
      </c>
      <c r="E24" s="4">
        <f t="shared" si="2"/>
        <v>6750.929049074668</v>
      </c>
    </row>
    <row r="25" spans="1:5" x14ac:dyDescent="0.2">
      <c r="A25" s="3" t="s">
        <v>23</v>
      </c>
      <c r="B25" s="4">
        <v>6356.8980000000001</v>
      </c>
      <c r="C25" s="4">
        <f t="shared" si="0"/>
        <v>6659.7970436712267</v>
      </c>
      <c r="D25" s="4">
        <f t="shared" si="1"/>
        <v>6268.4867449723833</v>
      </c>
      <c r="E25" s="4">
        <f t="shared" si="2"/>
        <v>8094.1358114976347</v>
      </c>
    </row>
    <row r="26" spans="1:5" x14ac:dyDescent="0.2">
      <c r="A26" s="3" t="s">
        <v>24</v>
      </c>
      <c r="B26" s="4">
        <v>7687.4089999999997</v>
      </c>
      <c r="C26" s="4">
        <f t="shared" si="0"/>
        <v>6508.3475218356134</v>
      </c>
      <c r="D26" s="4">
        <f t="shared" si="1"/>
        <v>5964.1846484806674</v>
      </c>
      <c r="E26" s="4">
        <f t="shared" si="2"/>
        <v>7190.2755227822072</v>
      </c>
    </row>
    <row r="27" spans="1:5" x14ac:dyDescent="0.2">
      <c r="A27" s="3" t="s">
        <v>25</v>
      </c>
      <c r="B27" s="4">
        <v>6111.2430000000004</v>
      </c>
      <c r="C27" s="4">
        <f t="shared" si="0"/>
        <v>7097.878260917807</v>
      </c>
      <c r="D27" s="4">
        <f t="shared" si="1"/>
        <v>6150.3264809364673</v>
      </c>
      <c r="E27" s="4">
        <f t="shared" si="2"/>
        <v>6318.0115531663123</v>
      </c>
    </row>
    <row r="28" spans="1:5" x14ac:dyDescent="0.2">
      <c r="A28" s="3" t="s">
        <v>26</v>
      </c>
      <c r="B28" s="4">
        <v>11481.558000000001</v>
      </c>
      <c r="C28" s="4">
        <f t="shared" si="0"/>
        <v>6604.5606304589037</v>
      </c>
      <c r="D28" s="4">
        <f t="shared" si="1"/>
        <v>5807.7759636555274</v>
      </c>
      <c r="E28" s="4">
        <f t="shared" si="2"/>
        <v>10232.868955884836</v>
      </c>
    </row>
    <row r="29" spans="1:5" x14ac:dyDescent="0.2">
      <c r="A29" s="3" t="s">
        <v>27</v>
      </c>
      <c r="B29" s="4">
        <v>6375.4579999999996</v>
      </c>
      <c r="C29" s="4">
        <f t="shared" si="0"/>
        <v>9043.0593152294532</v>
      </c>
      <c r="D29" s="4">
        <f t="shared" si="1"/>
        <v>7179.0851015588696</v>
      </c>
      <c r="E29" s="4">
        <f t="shared" si="2"/>
        <v>8362.7586376419222</v>
      </c>
    </row>
    <row r="30" spans="1:5" x14ac:dyDescent="0.2">
      <c r="A30" s="3" t="s">
        <v>28</v>
      </c>
      <c r="B30" s="4">
        <v>7003.0320000000002</v>
      </c>
      <c r="C30" s="4">
        <f t="shared" si="0"/>
        <v>7709.258657614726</v>
      </c>
      <c r="D30" s="4">
        <f t="shared" si="1"/>
        <v>6607.1714980912084</v>
      </c>
      <c r="E30" s="4">
        <f t="shared" si="2"/>
        <v>8604.7950766607355</v>
      </c>
    </row>
    <row r="31" spans="1:5" x14ac:dyDescent="0.2">
      <c r="A31" s="3" t="s">
        <v>29</v>
      </c>
      <c r="B31" s="4">
        <v>10899.564</v>
      </c>
      <c r="C31" s="4">
        <f t="shared" si="0"/>
        <v>7356.1453288073626</v>
      </c>
      <c r="D31" s="4">
        <f t="shared" si="1"/>
        <v>6395.104175663846</v>
      </c>
      <c r="E31" s="4">
        <f t="shared" si="2"/>
        <v>10121.178195655273</v>
      </c>
    </row>
    <row r="32" spans="1:5" x14ac:dyDescent="0.2">
      <c r="A32" s="3" t="s">
        <v>30</v>
      </c>
      <c r="B32" s="4">
        <v>7461.0919999999996</v>
      </c>
      <c r="C32" s="4">
        <f t="shared" si="0"/>
        <v>9127.8546644036815</v>
      </c>
      <c r="D32" s="4">
        <f t="shared" si="1"/>
        <v>7415.6166499646924</v>
      </c>
      <c r="E32" s="4">
        <f t="shared" si="2"/>
        <v>8001.8251990170684</v>
      </c>
    </row>
    <row r="33" spans="1:5" x14ac:dyDescent="0.2">
      <c r="A33" s="3" t="s">
        <v>31</v>
      </c>
      <c r="B33" s="4">
        <v>12917.156999999999</v>
      </c>
      <c r="C33" s="4">
        <f t="shared" si="0"/>
        <v>8294.4733322018401</v>
      </c>
      <c r="D33" s="4">
        <f t="shared" si="1"/>
        <v>7098.4337819752845</v>
      </c>
      <c r="E33" s="4">
        <f t="shared" si="2"/>
        <v>11450.017099171142</v>
      </c>
    </row>
    <row r="34" spans="1:5" x14ac:dyDescent="0.2">
      <c r="A34" s="3" t="s">
        <v>32</v>
      </c>
      <c r="B34" s="4">
        <v>5233.0630000000001</v>
      </c>
      <c r="C34" s="4">
        <f t="shared" si="0"/>
        <v>10605.81516610092</v>
      </c>
      <c r="D34" s="4">
        <f t="shared" si="1"/>
        <v>8513.2252743826975</v>
      </c>
      <c r="E34" s="4">
        <f t="shared" si="2"/>
        <v>5089.895739021289</v>
      </c>
    </row>
    <row r="35" spans="1:5" x14ac:dyDescent="0.2">
      <c r="A35" s="3" t="s">
        <v>33</v>
      </c>
      <c r="B35" s="4">
        <v>5157.8140000000003</v>
      </c>
      <c r="C35" s="4">
        <f t="shared" si="0"/>
        <v>7919.4390830504599</v>
      </c>
      <c r="D35" s="4">
        <f t="shared" si="1"/>
        <v>7198.3511190678873</v>
      </c>
      <c r="E35" s="4">
        <f t="shared" si="2"/>
        <v>5092.748137337031</v>
      </c>
    </row>
    <row r="36" spans="1:5" x14ac:dyDescent="0.2">
      <c r="A36" s="3" t="s">
        <v>34</v>
      </c>
      <c r="B36" s="4">
        <v>6202.39</v>
      </c>
      <c r="C36" s="4">
        <f t="shared" si="0"/>
        <v>6538.6265415252301</v>
      </c>
      <c r="D36" s="4">
        <f t="shared" si="1"/>
        <v>6255.3645103475201</v>
      </c>
      <c r="E36" s="4">
        <f t="shared" si="2"/>
        <v>6032.0191001167404</v>
      </c>
    </row>
    <row r="37" spans="1:5" x14ac:dyDescent="0.2">
      <c r="A37" s="3" t="s">
        <v>35</v>
      </c>
      <c r="B37" s="4">
        <v>6840.3379999999997</v>
      </c>
      <c r="C37" s="4">
        <f t="shared" ref="C37:C68" si="3">E127</f>
        <v>6370.5082707626152</v>
      </c>
      <c r="D37" s="4">
        <f t="shared" si="1"/>
        <v>5908.6466842432646</v>
      </c>
      <c r="E37" s="4">
        <f t="shared" si="2"/>
        <v>6654.260765944493</v>
      </c>
    </row>
    <row r="38" spans="1:5" x14ac:dyDescent="0.2">
      <c r="A38" s="3" t="s">
        <v>36</v>
      </c>
      <c r="B38" s="4">
        <v>5905.9049999999997</v>
      </c>
      <c r="C38" s="4">
        <f t="shared" si="3"/>
        <v>6605.4231353813075</v>
      </c>
      <c r="D38" s="4">
        <f t="shared" si="1"/>
        <v>5857.328605970285</v>
      </c>
      <c r="E38" s="4">
        <f t="shared" si="2"/>
        <v>7062.1122663181013</v>
      </c>
    </row>
    <row r="39" spans="1:5" x14ac:dyDescent="0.2">
      <c r="A39" s="3" t="s">
        <v>37</v>
      </c>
      <c r="B39" s="4">
        <v>5055.2579999999998</v>
      </c>
      <c r="C39" s="4">
        <f t="shared" si="3"/>
        <v>6255.6640676906536</v>
      </c>
      <c r="D39" s="4">
        <f t="shared" si="1"/>
        <v>5541.0760511791996</v>
      </c>
      <c r="E39" s="4">
        <f t="shared" si="2"/>
        <v>5658.2244398972161</v>
      </c>
    </row>
    <row r="40" spans="1:5" x14ac:dyDescent="0.2">
      <c r="A40" s="3" t="s">
        <v>38</v>
      </c>
      <c r="B40" s="4">
        <v>8601.4889999999996</v>
      </c>
      <c r="C40" s="4">
        <f t="shared" si="3"/>
        <v>5655.4610338453267</v>
      </c>
      <c r="D40" s="4">
        <f t="shared" si="1"/>
        <v>5064.5051628254396</v>
      </c>
      <c r="E40" s="4">
        <f t="shared" si="2"/>
        <v>10242.890106456729</v>
      </c>
    </row>
    <row r="41" spans="1:5" x14ac:dyDescent="0.2">
      <c r="A41" s="3" t="s">
        <v>39</v>
      </c>
      <c r="B41" s="4">
        <v>4877.567</v>
      </c>
      <c r="C41" s="4">
        <f t="shared" si="3"/>
        <v>7128.4750169226627</v>
      </c>
      <c r="D41" s="4">
        <f t="shared" si="1"/>
        <v>5794.7748409778078</v>
      </c>
      <c r="E41" s="4">
        <f t="shared" si="2"/>
        <v>6418.5742846457042</v>
      </c>
    </row>
    <row r="42" spans="1:5" x14ac:dyDescent="0.2">
      <c r="A42" s="3" t="s">
        <v>40</v>
      </c>
      <c r="B42" s="4">
        <v>6672.5510000000004</v>
      </c>
      <c r="C42" s="4">
        <f t="shared" si="3"/>
        <v>6003.0210084613318</v>
      </c>
      <c r="D42" s="4">
        <f t="shared" si="1"/>
        <v>5188.7870156844656</v>
      </c>
      <c r="E42" s="4">
        <f t="shared" si="2"/>
        <v>6855.2701253523192</v>
      </c>
    </row>
    <row r="43" spans="1:5" x14ac:dyDescent="0.2">
      <c r="A43" s="3" t="s">
        <v>41</v>
      </c>
      <c r="B43" s="4">
        <v>9619.0300000000007</v>
      </c>
      <c r="C43" s="4">
        <f t="shared" si="3"/>
        <v>6337.7860042306656</v>
      </c>
      <c r="D43" s="4">
        <f t="shared" si="1"/>
        <v>5303.0907379791252</v>
      </c>
      <c r="E43" s="4">
        <f t="shared" si="2"/>
        <v>9675.0838053910993</v>
      </c>
    </row>
    <row r="44" spans="1:5" x14ac:dyDescent="0.2">
      <c r="A44" s="3" t="s">
        <v>42</v>
      </c>
      <c r="B44" s="4">
        <v>7302.9219999999996</v>
      </c>
      <c r="C44" s="4">
        <f t="shared" si="3"/>
        <v>7978.4080021153331</v>
      </c>
      <c r="D44" s="4">
        <f t="shared" si="1"/>
        <v>6267.0470435853877</v>
      </c>
      <c r="E44" s="4">
        <f t="shared" si="2"/>
        <v>6775.8346754117229</v>
      </c>
    </row>
    <row r="45" spans="1:5" x14ac:dyDescent="0.2">
      <c r="A45" s="3" t="s">
        <v>43</v>
      </c>
      <c r="B45" s="4">
        <v>7676.57</v>
      </c>
      <c r="C45" s="4">
        <f t="shared" si="3"/>
        <v>7640.6650010576668</v>
      </c>
      <c r="D45" s="4">
        <f t="shared" si="1"/>
        <v>6246.9840575097705</v>
      </c>
      <c r="E45" s="4">
        <f t="shared" si="2"/>
        <v>11308.530712398659</v>
      </c>
    </row>
    <row r="46" spans="1:5" x14ac:dyDescent="0.2">
      <c r="A46" s="3" t="s">
        <v>44</v>
      </c>
      <c r="B46" s="4">
        <v>4467.835</v>
      </c>
      <c r="C46" s="4">
        <f t="shared" si="3"/>
        <v>7658.6175005288333</v>
      </c>
      <c r="D46" s="4">
        <f t="shared" si="1"/>
        <v>6345.0343672568388</v>
      </c>
      <c r="E46" s="4">
        <f t="shared" si="2"/>
        <v>3699.3074994180706</v>
      </c>
    </row>
    <row r="47" spans="1:5" x14ac:dyDescent="0.2">
      <c r="A47" s="3" t="s">
        <v>45</v>
      </c>
      <c r="B47" s="4">
        <v>3492.41</v>
      </c>
      <c r="C47" s="4">
        <f t="shared" si="3"/>
        <v>6063.2262502644171</v>
      </c>
      <c r="D47" s="4">
        <f t="shared" si="1"/>
        <v>5451.0490840797875</v>
      </c>
      <c r="E47" s="4">
        <f t="shared" si="2"/>
        <v>3654.6933533493843</v>
      </c>
    </row>
    <row r="48" spans="1:5" x14ac:dyDescent="0.2">
      <c r="A48" s="3" t="s">
        <v>46</v>
      </c>
      <c r="B48" s="4">
        <v>5340.1480000000001</v>
      </c>
      <c r="C48" s="4">
        <f t="shared" si="3"/>
        <v>4777.8181251322085</v>
      </c>
      <c r="D48" s="4">
        <f t="shared" si="1"/>
        <v>4532.6318858558507</v>
      </c>
      <c r="E48" s="4">
        <f t="shared" si="2"/>
        <v>4550.6565517910012</v>
      </c>
    </row>
    <row r="49" spans="1:5" x14ac:dyDescent="0.2">
      <c r="A49" s="3" t="s">
        <v>47</v>
      </c>
      <c r="B49" s="4">
        <v>5268.3239999999996</v>
      </c>
      <c r="C49" s="4">
        <f t="shared" si="3"/>
        <v>5058.9830625661043</v>
      </c>
      <c r="D49" s="4">
        <f t="shared" si="1"/>
        <v>4444.0612470990955</v>
      </c>
      <c r="E49" s="4">
        <f t="shared" si="2"/>
        <v>5175.6292836737075</v>
      </c>
    </row>
    <row r="50" spans="1:5" x14ac:dyDescent="0.2">
      <c r="A50" s="3" t="s">
        <v>48</v>
      </c>
      <c r="B50" s="4">
        <v>5327.0829999999996</v>
      </c>
      <c r="C50" s="4">
        <f t="shared" si="3"/>
        <v>5163.653531283052</v>
      </c>
      <c r="D50" s="4">
        <f t="shared" si="1"/>
        <v>4360.5145999693659</v>
      </c>
      <c r="E50" s="4">
        <f t="shared" si="2"/>
        <v>4835.0323010465545</v>
      </c>
    </row>
    <row r="51" spans="1:5" x14ac:dyDescent="0.2">
      <c r="A51" s="3" t="s">
        <v>49</v>
      </c>
      <c r="B51" s="4">
        <v>5044.84</v>
      </c>
      <c r="C51" s="4">
        <f t="shared" si="3"/>
        <v>5245.3682656415258</v>
      </c>
      <c r="D51" s="4">
        <f t="shared" si="1"/>
        <v>4319.6596469785554</v>
      </c>
      <c r="E51" s="4">
        <f t="shared" si="2"/>
        <v>3821.105282974946</v>
      </c>
    </row>
    <row r="52" spans="1:5" x14ac:dyDescent="0.2">
      <c r="A52" s="3" t="s">
        <v>50</v>
      </c>
      <c r="B52" s="4">
        <v>5205.2460000000001</v>
      </c>
      <c r="C52" s="4">
        <f t="shared" si="3"/>
        <v>5145.104132820763</v>
      </c>
      <c r="D52" s="4">
        <f t="shared" si="1"/>
        <v>4206.3882798849891</v>
      </c>
      <c r="E52" s="4">
        <f t="shared" si="2"/>
        <v>8036.0053421278299</v>
      </c>
    </row>
    <row r="53" spans="1:5" x14ac:dyDescent="0.2">
      <c r="A53" s="3" t="s">
        <v>56</v>
      </c>
      <c r="B53" s="4"/>
      <c r="C53" s="4">
        <f t="shared" si="3"/>
        <v>5175.175066410382</v>
      </c>
      <c r="D53" s="4">
        <f>F143+1*G143</f>
        <v>4175.2201229194925</v>
      </c>
      <c r="E53" s="4">
        <f>H143+1*I143+J143</f>
        <v>4097.8386354793984</v>
      </c>
    </row>
    <row r="54" spans="1:5" x14ac:dyDescent="0.2">
      <c r="A54" s="3" t="s">
        <v>57</v>
      </c>
      <c r="B54" s="4"/>
      <c r="C54" s="4">
        <f>E143</f>
        <v>5175.175066410382</v>
      </c>
      <c r="D54" s="4">
        <f>F143+2*G143</f>
        <v>3844.3946499194926</v>
      </c>
      <c r="E54" s="4">
        <f>H143+2*I143+J144</f>
        <v>5338.0773849679244</v>
      </c>
    </row>
    <row r="55" spans="1:5" x14ac:dyDescent="0.2">
      <c r="A55" s="3" t="s">
        <v>58</v>
      </c>
      <c r="B55" s="4"/>
      <c r="C55" s="4">
        <f>E143</f>
        <v>5175.175066410382</v>
      </c>
      <c r="D55" s="4">
        <f>F143+3*G143</f>
        <v>3513.5691769194923</v>
      </c>
      <c r="E55" s="4">
        <f>H143+3*I143+J145</f>
        <v>8211.6209294467153</v>
      </c>
    </row>
    <row r="80" spans="1:1" x14ac:dyDescent="0.2">
      <c r="A80" s="5" t="s">
        <v>69</v>
      </c>
    </row>
    <row r="81" spans="1:10" x14ac:dyDescent="0.2">
      <c r="A81" t="s">
        <v>70</v>
      </c>
      <c r="B81">
        <v>0.5</v>
      </c>
    </row>
    <row r="82" spans="1:10" x14ac:dyDescent="0.2">
      <c r="A82" t="s">
        <v>71</v>
      </c>
      <c r="B82">
        <v>10220.9756</v>
      </c>
    </row>
    <row r="83" spans="1:10" x14ac:dyDescent="0.2">
      <c r="A83" t="s">
        <v>72</v>
      </c>
      <c r="B83">
        <v>0.3</v>
      </c>
    </row>
    <row r="84" spans="1:10" x14ac:dyDescent="0.2">
      <c r="A84" t="s">
        <v>73</v>
      </c>
      <c r="B84">
        <v>0</v>
      </c>
    </row>
    <row r="85" spans="1:10" x14ac:dyDescent="0.2">
      <c r="A85" t="s">
        <v>74</v>
      </c>
      <c r="B85">
        <v>10220.9756</v>
      </c>
    </row>
    <row r="86" spans="1:10" x14ac:dyDescent="0.2">
      <c r="A86" t="s">
        <v>75</v>
      </c>
      <c r="B86">
        <v>-330.82547299999999</v>
      </c>
    </row>
    <row r="87" spans="1:10" x14ac:dyDescent="0.2">
      <c r="A87" t="s">
        <v>76</v>
      </c>
      <c r="B87">
        <v>0.1</v>
      </c>
    </row>
    <row r="88" spans="1:10" x14ac:dyDescent="0.2">
      <c r="A88" t="s">
        <v>77</v>
      </c>
      <c r="B88">
        <v>0.1</v>
      </c>
    </row>
    <row r="89" spans="1:10" x14ac:dyDescent="0.2">
      <c r="A89" t="s">
        <v>78</v>
      </c>
      <c r="B89">
        <v>0.5</v>
      </c>
    </row>
    <row r="90" spans="1:10" x14ac:dyDescent="0.2">
      <c r="A90" t="s">
        <v>79</v>
      </c>
      <c r="B90">
        <v>8411.8742999999995</v>
      </c>
    </row>
    <row r="91" spans="1:10" x14ac:dyDescent="0.2">
      <c r="A91" t="s">
        <v>80</v>
      </c>
      <c r="B91">
        <v>-10.755996</v>
      </c>
    </row>
    <row r="94" spans="1:10" x14ac:dyDescent="0.2">
      <c r="A94" s="5" t="s">
        <v>81</v>
      </c>
      <c r="D94" s="5" t="s">
        <v>82</v>
      </c>
    </row>
    <row r="95" spans="1:10" x14ac:dyDescent="0.2">
      <c r="A95" s="5">
        <v>1</v>
      </c>
      <c r="B95" s="6">
        <v>-918.37315000000001</v>
      </c>
      <c r="D95" s="5">
        <v>0</v>
      </c>
      <c r="E95" s="6">
        <f>$B$82</f>
        <v>10220.9756</v>
      </c>
      <c r="F95" s="6">
        <f>$B$85</f>
        <v>10220.9756</v>
      </c>
      <c r="G95" s="6">
        <f>$B$86</f>
        <v>-330.82547299999999</v>
      </c>
      <c r="H95" s="6">
        <f>$B$90</f>
        <v>8411.8742999999995</v>
      </c>
      <c r="I95" s="6">
        <f>$B$91</f>
        <v>-10.755996</v>
      </c>
      <c r="J95" s="6">
        <f t="shared" ref="J95:J106" si="4">B95</f>
        <v>-918.37315000000001</v>
      </c>
    </row>
    <row r="96" spans="1:10" x14ac:dyDescent="0.2">
      <c r="A96">
        <v>2</v>
      </c>
      <c r="B96" s="7">
        <v>29.188168999999998</v>
      </c>
      <c r="D96">
        <v>1</v>
      </c>
      <c r="E96" s="7">
        <f t="shared" ref="E96:E143" si="5">$B$81*B5+(1-$B$81)*E95</f>
        <v>9925.6373000000003</v>
      </c>
      <c r="F96" s="7">
        <f t="shared" ref="F96:F143" si="6">$B$83*B5+(1-$B$83)*(F95+G95)</f>
        <v>9812.1947888999985</v>
      </c>
      <c r="G96" s="7">
        <f t="shared" ref="G96:G143" si="7">$B$84*(F96-F95)+(1-$B$84)*G95</f>
        <v>-330.82547299999999</v>
      </c>
      <c r="H96" s="7">
        <f t="shared" ref="H96:H143" si="8">$B$87*(B5-J95)+(1-$B$87)*(H95+I95)</f>
        <v>8615.8736885999988</v>
      </c>
      <c r="I96" s="7">
        <f t="shared" ref="I96:I143" si="9">$B$88*(H96-H95)+(1-$B$88)*I95</f>
        <v>10.719542459999932</v>
      </c>
      <c r="J96" s="7">
        <f t="shared" si="4"/>
        <v>29.188168999999998</v>
      </c>
    </row>
    <row r="97" spans="1:10" x14ac:dyDescent="0.2">
      <c r="A97">
        <v>3</v>
      </c>
      <c r="B97" s="7">
        <v>3203.7007800000001</v>
      </c>
      <c r="D97">
        <v>2</v>
      </c>
      <c r="E97" s="7">
        <f t="shared" si="5"/>
        <v>10088.550149999999</v>
      </c>
      <c r="F97" s="7">
        <f t="shared" si="6"/>
        <v>9712.3974211299974</v>
      </c>
      <c r="G97" s="7">
        <f t="shared" si="7"/>
        <v>-330.82547299999999</v>
      </c>
      <c r="H97" s="7">
        <f t="shared" si="8"/>
        <v>8786.1613910539982</v>
      </c>
      <c r="I97" s="7">
        <f t="shared" si="9"/>
        <v>26.676358459399875</v>
      </c>
      <c r="J97" s="7">
        <f t="shared" si="4"/>
        <v>3203.7007800000001</v>
      </c>
    </row>
    <row r="98" spans="1:10" x14ac:dyDescent="0.2">
      <c r="A98">
        <v>4</v>
      </c>
      <c r="B98" s="7">
        <v>639.03194699999995</v>
      </c>
      <c r="D98">
        <v>3</v>
      </c>
      <c r="E98" s="7">
        <f t="shared" si="5"/>
        <v>9597.7280749999991</v>
      </c>
      <c r="F98" s="7">
        <f t="shared" si="6"/>
        <v>9299.172163690997</v>
      </c>
      <c r="G98" s="7">
        <f t="shared" si="7"/>
        <v>-330.82547299999999</v>
      </c>
      <c r="H98" s="7">
        <f t="shared" si="8"/>
        <v>8521.874496562059</v>
      </c>
      <c r="I98" s="7">
        <f t="shared" si="9"/>
        <v>-2.41996683573403</v>
      </c>
      <c r="J98" s="7">
        <f t="shared" si="4"/>
        <v>639.03194699999995</v>
      </c>
    </row>
    <row r="99" spans="1:10" x14ac:dyDescent="0.2">
      <c r="A99">
        <v>5</v>
      </c>
      <c r="B99" s="7">
        <v>3676.4917660000001</v>
      </c>
      <c r="D99">
        <v>4</v>
      </c>
      <c r="E99" s="7">
        <f t="shared" si="5"/>
        <v>8474.3130375000001</v>
      </c>
      <c r="F99" s="7">
        <f t="shared" si="6"/>
        <v>8483.1120834836984</v>
      </c>
      <c r="G99" s="7">
        <f t="shared" si="7"/>
        <v>-330.82547299999999</v>
      </c>
      <c r="H99" s="7">
        <f t="shared" si="8"/>
        <v>8338.6956820536925</v>
      </c>
      <c r="I99" s="7">
        <f t="shared" si="9"/>
        <v>-20.495851602997273</v>
      </c>
      <c r="J99" s="7">
        <f t="shared" si="4"/>
        <v>3676.4917660000001</v>
      </c>
    </row>
    <row r="100" spans="1:10" x14ac:dyDescent="0.2">
      <c r="A100">
        <v>6</v>
      </c>
      <c r="B100" s="7">
        <v>-2327.1114699999998</v>
      </c>
      <c r="D100">
        <v>5</v>
      </c>
      <c r="E100" s="7">
        <f t="shared" si="5"/>
        <v>10379.663018750001</v>
      </c>
      <c r="F100" s="7">
        <f t="shared" si="6"/>
        <v>9392.104527338588</v>
      </c>
      <c r="G100" s="7">
        <f t="shared" si="7"/>
        <v>-330.82547299999999</v>
      </c>
      <c r="H100" s="7">
        <f t="shared" si="8"/>
        <v>8347.2319708056275</v>
      </c>
      <c r="I100" s="7">
        <f t="shared" si="9"/>
        <v>-17.592637567504045</v>
      </c>
      <c r="J100" s="7">
        <f t="shared" si="4"/>
        <v>-2327.1114699999998</v>
      </c>
    </row>
    <row r="101" spans="1:10" x14ac:dyDescent="0.2">
      <c r="A101">
        <v>7</v>
      </c>
      <c r="B101" s="7">
        <v>-2437.935262</v>
      </c>
      <c r="D101">
        <v>6</v>
      </c>
      <c r="E101" s="7">
        <f t="shared" si="5"/>
        <v>8794.8835093750004</v>
      </c>
      <c r="F101" s="7">
        <f t="shared" si="6"/>
        <v>8505.9265380370107</v>
      </c>
      <c r="G101" s="7">
        <f t="shared" si="7"/>
        <v>-330.82547299999999</v>
      </c>
      <c r="H101" s="7">
        <f t="shared" si="8"/>
        <v>8450.3969469143103</v>
      </c>
      <c r="I101" s="7">
        <f t="shared" si="9"/>
        <v>-5.5168761998853597</v>
      </c>
      <c r="J101" s="7">
        <f t="shared" si="4"/>
        <v>-2437.935262</v>
      </c>
    </row>
    <row r="102" spans="1:10" x14ac:dyDescent="0.2">
      <c r="A102">
        <v>8</v>
      </c>
      <c r="B102" s="7">
        <v>-1345.4186500000001</v>
      </c>
      <c r="D102">
        <v>7</v>
      </c>
      <c r="E102" s="7">
        <f t="shared" si="5"/>
        <v>7185.9407546875</v>
      </c>
      <c r="F102" s="7">
        <f t="shared" si="6"/>
        <v>7395.6701455259072</v>
      </c>
      <c r="G102" s="7">
        <f t="shared" si="7"/>
        <v>-330.82547299999999</v>
      </c>
      <c r="H102" s="7">
        <f t="shared" si="8"/>
        <v>8401.8853898429825</v>
      </c>
      <c r="I102" s="7">
        <f t="shared" si="9"/>
        <v>-9.816344287029608</v>
      </c>
      <c r="J102" s="7">
        <f t="shared" si="4"/>
        <v>-1345.4186500000001</v>
      </c>
    </row>
    <row r="103" spans="1:10" x14ac:dyDescent="0.2">
      <c r="A103">
        <v>9</v>
      </c>
      <c r="B103" s="7">
        <v>-514.064706</v>
      </c>
      <c r="D103">
        <v>8</v>
      </c>
      <c r="E103" s="7">
        <f t="shared" si="5"/>
        <v>6917.4418773437501</v>
      </c>
      <c r="F103" s="7">
        <f t="shared" si="6"/>
        <v>6940.0741707681345</v>
      </c>
      <c r="G103" s="7">
        <f t="shared" si="7"/>
        <v>-330.82547299999999</v>
      </c>
      <c r="H103" s="7">
        <f t="shared" si="8"/>
        <v>8352.2983060003571</v>
      </c>
      <c r="I103" s="7">
        <f t="shared" si="9"/>
        <v>-13.793418242589183</v>
      </c>
      <c r="J103" s="7">
        <f t="shared" si="4"/>
        <v>-514.064706</v>
      </c>
    </row>
    <row r="104" spans="1:10" x14ac:dyDescent="0.2">
      <c r="A104">
        <v>10</v>
      </c>
      <c r="B104" s="7">
        <v>-754.050206</v>
      </c>
      <c r="D104">
        <v>9</v>
      </c>
      <c r="E104" s="7">
        <f t="shared" si="5"/>
        <v>7721.3274386718749</v>
      </c>
      <c r="F104" s="7">
        <f t="shared" si="6"/>
        <v>7184.0379884376944</v>
      </c>
      <c r="G104" s="7">
        <f t="shared" si="7"/>
        <v>-330.82547299999999</v>
      </c>
      <c r="H104" s="7">
        <f t="shared" si="8"/>
        <v>8408.5821695819923</v>
      </c>
      <c r="I104" s="7">
        <f t="shared" si="9"/>
        <v>-6.7856900601667496</v>
      </c>
      <c r="J104" s="7">
        <f t="shared" si="4"/>
        <v>-754.050206</v>
      </c>
    </row>
    <row r="105" spans="1:10" x14ac:dyDescent="0.2">
      <c r="A105">
        <v>11</v>
      </c>
      <c r="B105" s="7">
        <v>-1768.3733870000001</v>
      </c>
      <c r="D105">
        <v>10</v>
      </c>
      <c r="E105" s="7">
        <f t="shared" si="5"/>
        <v>7574.9227193359375</v>
      </c>
      <c r="F105" s="7">
        <f t="shared" si="6"/>
        <v>7025.804160806385</v>
      </c>
      <c r="G105" s="7">
        <f t="shared" si="7"/>
        <v>-330.82547299999999</v>
      </c>
      <c r="H105" s="7">
        <f t="shared" si="8"/>
        <v>8379.8736521696428</v>
      </c>
      <c r="I105" s="7">
        <f t="shared" si="9"/>
        <v>-8.9779727953850212</v>
      </c>
      <c r="J105" s="7">
        <f t="shared" si="4"/>
        <v>-1768.3733870000001</v>
      </c>
    </row>
    <row r="106" spans="1:10" x14ac:dyDescent="0.2">
      <c r="A106">
        <v>12</v>
      </c>
      <c r="B106" s="7">
        <v>2516.9141690000001</v>
      </c>
      <c r="D106">
        <v>11</v>
      </c>
      <c r="E106" s="7">
        <f t="shared" si="5"/>
        <v>7096.6333596679688</v>
      </c>
      <c r="F106" s="7">
        <f t="shared" si="6"/>
        <v>6671.9882814644698</v>
      </c>
      <c r="G106" s="7">
        <f t="shared" si="7"/>
        <v>-330.82547299999999</v>
      </c>
      <c r="H106" s="7">
        <f t="shared" si="8"/>
        <v>8372.4778501368328</v>
      </c>
      <c r="I106" s="7">
        <f t="shared" si="9"/>
        <v>-8.8197557191275227</v>
      </c>
      <c r="J106" s="7">
        <f t="shared" si="4"/>
        <v>2516.9141690000001</v>
      </c>
    </row>
    <row r="107" spans="1:10" x14ac:dyDescent="0.2">
      <c r="B107" s="7"/>
      <c r="D107">
        <v>12</v>
      </c>
      <c r="E107" s="7">
        <f t="shared" si="5"/>
        <v>8674.007179833985</v>
      </c>
      <c r="F107" s="7">
        <f t="shared" si="6"/>
        <v>7514.2282659251287</v>
      </c>
      <c r="G107" s="7">
        <f t="shared" si="7"/>
        <v>-330.82547299999999</v>
      </c>
      <c r="H107" s="7">
        <f t="shared" si="8"/>
        <v>8300.7389680759352</v>
      </c>
      <c r="I107" s="7">
        <f t="shared" si="9"/>
        <v>-15.11166835330453</v>
      </c>
      <c r="J107" s="7">
        <f t="shared" ref="J107:J145" si="10">$B$89*(B5-H95-I95)+(1-$B$89)*J95</f>
        <v>155.40377300000074</v>
      </c>
    </row>
    <row r="108" spans="1:10" x14ac:dyDescent="0.2">
      <c r="B108" s="7"/>
      <c r="D108">
        <v>13</v>
      </c>
      <c r="E108" s="7">
        <f t="shared" si="5"/>
        <v>8624.2145899169918</v>
      </c>
      <c r="F108" s="7">
        <f t="shared" si="6"/>
        <v>7600.7085550475895</v>
      </c>
      <c r="G108" s="7">
        <f t="shared" si="7"/>
        <v>-330.82547299999999</v>
      </c>
      <c r="H108" s="7">
        <f t="shared" si="8"/>
        <v>8298.9663924503693</v>
      </c>
      <c r="I108" s="7">
        <f t="shared" si="9"/>
        <v>-13.777759080530664</v>
      </c>
      <c r="J108" s="7">
        <f t="shared" si="10"/>
        <v>827.02896897000051</v>
      </c>
    </row>
    <row r="109" spans="1:10" x14ac:dyDescent="0.2">
      <c r="B109" s="7"/>
      <c r="D109">
        <v>14</v>
      </c>
      <c r="E109" s="7">
        <f t="shared" si="5"/>
        <v>8738.6857949584955</v>
      </c>
      <c r="F109" s="7">
        <f t="shared" si="6"/>
        <v>7744.8652574333119</v>
      </c>
      <c r="G109" s="7">
        <f t="shared" si="7"/>
        <v>-330.82547299999999</v>
      </c>
      <c r="H109" s="7">
        <f t="shared" si="8"/>
        <v>8259.2825731358553</v>
      </c>
      <c r="I109" s="7">
        <f t="shared" si="9"/>
        <v>-16.368365103929001</v>
      </c>
      <c r="J109" s="7">
        <f t="shared" si="10"/>
        <v>1748.8845152433014</v>
      </c>
    </row>
    <row r="110" spans="1:10" x14ac:dyDescent="0.2">
      <c r="B110" s="7"/>
      <c r="D110">
        <v>15</v>
      </c>
      <c r="E110" s="7">
        <f t="shared" si="5"/>
        <v>10041.066397479248</v>
      </c>
      <c r="F110" s="7">
        <f t="shared" si="6"/>
        <v>8592.8619491033169</v>
      </c>
      <c r="G110" s="7">
        <f t="shared" si="7"/>
        <v>-330.82547299999999</v>
      </c>
      <c r="H110" s="7">
        <f t="shared" si="8"/>
        <v>8378.0790357044043</v>
      </c>
      <c r="I110" s="7">
        <f t="shared" si="9"/>
        <v>-2.8518823366811965</v>
      </c>
      <c r="J110" s="7">
        <f t="shared" si="10"/>
        <v>-264.76229136316249</v>
      </c>
    </row>
    <row r="111" spans="1:10" x14ac:dyDescent="0.2">
      <c r="B111" s="7"/>
      <c r="D111">
        <v>16</v>
      </c>
      <c r="E111" s="7">
        <f t="shared" si="5"/>
        <v>9610.9116987396228</v>
      </c>
      <c r="F111" s="7">
        <f t="shared" si="6"/>
        <v>8537.6526332723206</v>
      </c>
      <c r="G111" s="7">
        <f t="shared" si="7"/>
        <v>-330.82547299999999</v>
      </c>
      <c r="H111" s="7">
        <f t="shared" si="8"/>
        <v>8482.2563671672669</v>
      </c>
      <c r="I111" s="7">
        <f t="shared" si="9"/>
        <v>7.8510390432731878</v>
      </c>
      <c r="J111" s="7">
        <f t="shared" si="10"/>
        <v>3821.6524677746529</v>
      </c>
    </row>
    <row r="112" spans="1:10" x14ac:dyDescent="0.2">
      <c r="B112" s="7"/>
      <c r="D112">
        <v>17</v>
      </c>
      <c r="E112" s="7">
        <f t="shared" si="5"/>
        <v>10960.606349369811</v>
      </c>
      <c r="F112" s="7">
        <f t="shared" si="6"/>
        <v>9437.8693121906235</v>
      </c>
      <c r="G112" s="7">
        <f t="shared" si="7"/>
        <v>-330.82547299999999</v>
      </c>
      <c r="H112" s="7">
        <f t="shared" si="8"/>
        <v>8489.9615188120206</v>
      </c>
      <c r="I112" s="7">
        <f t="shared" si="9"/>
        <v>7.8364503034212341</v>
      </c>
      <c r="J112" s="7">
        <f t="shared" si="10"/>
        <v>-1723.3234016190615</v>
      </c>
    </row>
    <row r="113" spans="2:10" x14ac:dyDescent="0.2">
      <c r="B113" s="7"/>
      <c r="D113">
        <v>18</v>
      </c>
      <c r="E113" s="7">
        <f t="shared" si="5"/>
        <v>7938.5541746849058</v>
      </c>
      <c r="F113" s="7">
        <f t="shared" si="6"/>
        <v>7849.8812874334353</v>
      </c>
      <c r="G113" s="7">
        <f t="shared" si="7"/>
        <v>-330.82547299999999</v>
      </c>
      <c r="H113" s="7">
        <f t="shared" si="8"/>
        <v>8312.0007123658033</v>
      </c>
      <c r="I113" s="7">
        <f t="shared" si="9"/>
        <v>-10.743275371542614</v>
      </c>
      <c r="J113" s="7">
        <f t="shared" si="10"/>
        <v>-2652.9086663572125</v>
      </c>
    </row>
    <row r="114" spans="2:10" x14ac:dyDescent="0.2">
      <c r="B114" s="7"/>
      <c r="D114">
        <v>19</v>
      </c>
      <c r="E114" s="7">
        <f t="shared" si="5"/>
        <v>6814.7570873424529</v>
      </c>
      <c r="F114" s="7">
        <f t="shared" si="6"/>
        <v>6970.6270701034045</v>
      </c>
      <c r="G114" s="7">
        <f t="shared" si="7"/>
        <v>-330.82547299999999</v>
      </c>
      <c r="H114" s="7">
        <f t="shared" si="8"/>
        <v>8305.5185599305569</v>
      </c>
      <c r="I114" s="7">
        <f t="shared" si="9"/>
        <v>-10.317163077912999</v>
      </c>
      <c r="J114" s="7">
        <f t="shared" si="10"/>
        <v>-1544.2723477779764</v>
      </c>
    </row>
    <row r="115" spans="2:10" x14ac:dyDescent="0.2">
      <c r="B115" s="7"/>
      <c r="D115">
        <v>20</v>
      </c>
      <c r="E115" s="7">
        <f t="shared" si="5"/>
        <v>6659.7970436712267</v>
      </c>
      <c r="F115" s="7">
        <f t="shared" si="6"/>
        <v>6599.3122179723832</v>
      </c>
      <c r="G115" s="7">
        <f t="shared" si="7"/>
        <v>-330.82547299999999</v>
      </c>
      <c r="H115" s="7">
        <f t="shared" si="8"/>
        <v>8270.5921919451775</v>
      </c>
      <c r="I115" s="7">
        <f t="shared" si="9"/>
        <v>-12.778083568659634</v>
      </c>
      <c r="J115" s="7">
        <f t="shared" si="10"/>
        <v>-163.67829687888411</v>
      </c>
    </row>
    <row r="116" spans="2:10" x14ac:dyDescent="0.2">
      <c r="B116" s="7"/>
      <c r="D116">
        <v>21</v>
      </c>
      <c r="E116" s="7">
        <f t="shared" si="5"/>
        <v>6508.3475218356134</v>
      </c>
      <c r="F116" s="7">
        <f t="shared" si="6"/>
        <v>6295.0101214806673</v>
      </c>
      <c r="G116" s="7">
        <f t="shared" si="7"/>
        <v>-330.82547299999999</v>
      </c>
      <c r="H116" s="7">
        <f t="shared" si="8"/>
        <v>8084.0903272267551</v>
      </c>
      <c r="I116" s="7">
        <f t="shared" si="9"/>
        <v>-30.150461683635914</v>
      </c>
      <c r="J116" s="7">
        <f t="shared" si="10"/>
        <v>-863.66434276091275</v>
      </c>
    </row>
    <row r="117" spans="2:10" x14ac:dyDescent="0.2">
      <c r="B117" s="7"/>
      <c r="D117">
        <v>22</v>
      </c>
      <c r="E117" s="7">
        <f t="shared" si="5"/>
        <v>7097.878260917807</v>
      </c>
      <c r="F117" s="7">
        <f t="shared" si="6"/>
        <v>6481.1519539364672</v>
      </c>
      <c r="G117" s="7">
        <f t="shared" si="7"/>
        <v>-330.82547299999999</v>
      </c>
      <c r="H117" s="7">
        <f t="shared" si="8"/>
        <v>8103.653213264899</v>
      </c>
      <c r="I117" s="7">
        <f t="shared" si="9"/>
        <v>-25.179126911457931</v>
      </c>
      <c r="J117" s="7">
        <f t="shared" si="10"/>
        <v>-1760.4625331871289</v>
      </c>
    </row>
    <row r="118" spans="2:10" x14ac:dyDescent="0.2">
      <c r="B118" s="7"/>
      <c r="D118">
        <v>23</v>
      </c>
      <c r="E118" s="7">
        <f t="shared" si="5"/>
        <v>6604.5606304589037</v>
      </c>
      <c r="F118" s="7">
        <f t="shared" si="6"/>
        <v>6138.6014366555273</v>
      </c>
      <c r="G118" s="7">
        <f t="shared" si="7"/>
        <v>-330.82547299999999</v>
      </c>
      <c r="H118" s="7">
        <f t="shared" si="8"/>
        <v>8057.7972310368104</v>
      </c>
      <c r="I118" s="7">
        <f t="shared" si="9"/>
        <v>-27.246812443120998</v>
      </c>
      <c r="J118" s="7">
        <f t="shared" si="10"/>
        <v>2202.3185372911471</v>
      </c>
    </row>
    <row r="119" spans="2:10" x14ac:dyDescent="0.2">
      <c r="B119" s="7"/>
      <c r="D119">
        <v>24</v>
      </c>
      <c r="E119" s="7">
        <f t="shared" si="5"/>
        <v>9043.0593152294532</v>
      </c>
      <c r="F119" s="7">
        <f t="shared" si="6"/>
        <v>7509.9105745588695</v>
      </c>
      <c r="G119" s="7">
        <f t="shared" si="7"/>
        <v>-330.82547299999999</v>
      </c>
      <c r="H119" s="7">
        <f t="shared" si="8"/>
        <v>8155.4193230052069</v>
      </c>
      <c r="I119" s="7">
        <f t="shared" si="9"/>
        <v>-14.759922001969251</v>
      </c>
      <c r="J119" s="7">
        <f t="shared" si="10"/>
        <v>222.09923663868528</v>
      </c>
    </row>
    <row r="120" spans="2:10" x14ac:dyDescent="0.2">
      <c r="B120" s="7"/>
      <c r="D120">
        <v>25</v>
      </c>
      <c r="E120" s="7">
        <f t="shared" si="5"/>
        <v>7709.258657614726</v>
      </c>
      <c r="F120" s="7">
        <f t="shared" si="6"/>
        <v>6937.9969710912083</v>
      </c>
      <c r="G120" s="7">
        <f t="shared" si="7"/>
        <v>-330.82547299999999</v>
      </c>
      <c r="H120" s="7">
        <f t="shared" si="8"/>
        <v>7941.9293372390448</v>
      </c>
      <c r="I120" s="7">
        <f t="shared" si="9"/>
        <v>-34.632928378388542</v>
      </c>
      <c r="J120" s="7">
        <f t="shared" si="10"/>
        <v>697.49866780008051</v>
      </c>
    </row>
    <row r="121" spans="2:10" x14ac:dyDescent="0.2">
      <c r="B121" s="7"/>
      <c r="D121">
        <v>26</v>
      </c>
      <c r="E121" s="7">
        <f t="shared" si="5"/>
        <v>7356.1453288073626</v>
      </c>
      <c r="F121" s="7">
        <f t="shared" si="6"/>
        <v>6725.9296486638459</v>
      </c>
      <c r="G121" s="7">
        <f t="shared" si="7"/>
        <v>-330.82547299999999</v>
      </c>
      <c r="H121" s="7">
        <f t="shared" si="8"/>
        <v>7747.1201011945823</v>
      </c>
      <c r="I121" s="7">
        <f t="shared" si="9"/>
        <v>-50.650559144995938</v>
      </c>
      <c r="J121" s="7">
        <f t="shared" si="10"/>
        <v>2424.7086536056877</v>
      </c>
    </row>
    <row r="122" spans="2:10" x14ac:dyDescent="0.2">
      <c r="B122" s="7"/>
      <c r="D122">
        <v>27</v>
      </c>
      <c r="E122" s="7">
        <f t="shared" si="5"/>
        <v>9127.8546644036815</v>
      </c>
      <c r="F122" s="7">
        <f t="shared" si="6"/>
        <v>7746.4421229646923</v>
      </c>
      <c r="G122" s="7">
        <f t="shared" si="7"/>
        <v>-330.82547299999999</v>
      </c>
      <c r="H122" s="7">
        <f t="shared" si="8"/>
        <v>7774.3081224840598</v>
      </c>
      <c r="I122" s="7">
        <f t="shared" si="9"/>
        <v>-42.866701101548585</v>
      </c>
      <c r="J122" s="7">
        <f t="shared" si="10"/>
        <v>270.38377763455702</v>
      </c>
    </row>
    <row r="123" spans="2:10" x14ac:dyDescent="0.2">
      <c r="B123" s="7"/>
      <c r="D123">
        <v>28</v>
      </c>
      <c r="E123" s="7">
        <f t="shared" si="5"/>
        <v>8294.4733322018401</v>
      </c>
      <c r="F123" s="7">
        <f t="shared" si="6"/>
        <v>7429.2592549752844</v>
      </c>
      <c r="G123" s="7">
        <f t="shared" si="7"/>
        <v>-330.82547299999999</v>
      </c>
      <c r="H123" s="7">
        <f t="shared" si="8"/>
        <v>7677.3681014808044</v>
      </c>
      <c r="I123" s="7">
        <f t="shared" si="9"/>
        <v>-48.274033091719268</v>
      </c>
      <c r="J123" s="7">
        <f t="shared" si="10"/>
        <v>3820.9230307820562</v>
      </c>
    </row>
    <row r="124" spans="2:10" x14ac:dyDescent="0.2">
      <c r="B124" s="7"/>
      <c r="D124">
        <v>29</v>
      </c>
      <c r="E124" s="7">
        <f t="shared" si="5"/>
        <v>10605.81516610092</v>
      </c>
      <c r="F124" s="7">
        <f t="shared" si="6"/>
        <v>8844.0507473826983</v>
      </c>
      <c r="G124" s="7">
        <f t="shared" si="7"/>
        <v>-330.82547299999999</v>
      </c>
      <c r="H124" s="7">
        <f t="shared" si="8"/>
        <v>7775.808058471971</v>
      </c>
      <c r="I124" s="7">
        <f t="shared" si="9"/>
        <v>-33.602634083430679</v>
      </c>
      <c r="J124" s="7">
        <f t="shared" si="10"/>
        <v>-2652.3096853672514</v>
      </c>
    </row>
    <row r="125" spans="2:10" x14ac:dyDescent="0.2">
      <c r="B125" s="7"/>
      <c r="D125">
        <v>30</v>
      </c>
      <c r="E125" s="7">
        <f t="shared" si="5"/>
        <v>7919.4390830504599</v>
      </c>
      <c r="F125" s="7">
        <f t="shared" si="6"/>
        <v>7529.1765920678872</v>
      </c>
      <c r="G125" s="7">
        <f t="shared" si="7"/>
        <v>-330.82547299999999</v>
      </c>
      <c r="H125" s="7">
        <f t="shared" si="8"/>
        <v>7756.5221504864112</v>
      </c>
      <c r="I125" s="7">
        <f t="shared" si="9"/>
        <v>-32.170961473643594</v>
      </c>
      <c r="J125" s="7">
        <f t="shared" si="10"/>
        <v>-2631.6030516757364</v>
      </c>
    </row>
    <row r="126" spans="2:10" x14ac:dyDescent="0.2">
      <c r="B126" s="7"/>
      <c r="D126">
        <v>31</v>
      </c>
      <c r="E126" s="7">
        <f t="shared" si="5"/>
        <v>6538.6265415252301</v>
      </c>
      <c r="F126" s="7">
        <f t="shared" si="6"/>
        <v>6586.18998334752</v>
      </c>
      <c r="G126" s="7">
        <f t="shared" si="7"/>
        <v>-330.82547299999999</v>
      </c>
      <c r="H126" s="7">
        <f t="shared" si="8"/>
        <v>7730.8577752790643</v>
      </c>
      <c r="I126" s="7">
        <f t="shared" si="9"/>
        <v>-31.520302847013923</v>
      </c>
      <c r="J126" s="7">
        <f t="shared" si="10"/>
        <v>-1667.3183723153099</v>
      </c>
    </row>
    <row r="127" spans="2:10" x14ac:dyDescent="0.2">
      <c r="B127" s="7"/>
      <c r="D127">
        <v>32</v>
      </c>
      <c r="E127" s="7">
        <f t="shared" si="5"/>
        <v>6370.5082707626152</v>
      </c>
      <c r="F127" s="7">
        <f t="shared" si="6"/>
        <v>6239.4721572432645</v>
      </c>
      <c r="G127" s="7">
        <f t="shared" si="7"/>
        <v>-330.82547299999999</v>
      </c>
      <c r="H127" s="7">
        <f t="shared" si="8"/>
        <v>7716.3745624203757</v>
      </c>
      <c r="I127" s="7">
        <f t="shared" si="9"/>
        <v>-29.816593848181391</v>
      </c>
      <c r="J127" s="7">
        <f t="shared" si="10"/>
        <v>-1032.2972026277009</v>
      </c>
    </row>
    <row r="128" spans="2:10" x14ac:dyDescent="0.2">
      <c r="B128" s="7"/>
      <c r="D128">
        <v>33</v>
      </c>
      <c r="E128" s="7">
        <f t="shared" si="5"/>
        <v>6605.4231353813075</v>
      </c>
      <c r="F128" s="7">
        <f t="shared" si="6"/>
        <v>6188.1540789702849</v>
      </c>
      <c r="G128" s="7">
        <f t="shared" si="7"/>
        <v>-330.82547299999999</v>
      </c>
      <c r="H128" s="7">
        <f t="shared" si="8"/>
        <v>7705.1656919777442</v>
      </c>
      <c r="I128" s="7">
        <f t="shared" si="9"/>
        <v>-27.9558215076264</v>
      </c>
      <c r="J128" s="7">
        <f t="shared" si="10"/>
        <v>-615.09760415201617</v>
      </c>
    </row>
    <row r="129" spans="2:10" x14ac:dyDescent="0.2">
      <c r="B129" s="7"/>
      <c r="D129">
        <v>34</v>
      </c>
      <c r="E129" s="7">
        <f t="shared" si="5"/>
        <v>6255.6640676906536</v>
      </c>
      <c r="F129" s="7">
        <f t="shared" si="6"/>
        <v>5871.9015241791994</v>
      </c>
      <c r="G129" s="7">
        <f t="shared" si="7"/>
        <v>-330.82547299999999</v>
      </c>
      <c r="H129" s="7">
        <f t="shared" si="8"/>
        <v>7561.5891438383078</v>
      </c>
      <c r="I129" s="7">
        <f t="shared" si="9"/>
        <v>-39.517894170807409</v>
      </c>
      <c r="J129" s="7">
        <f t="shared" si="10"/>
        <v>-1863.8468097702848</v>
      </c>
    </row>
    <row r="130" spans="2:10" x14ac:dyDescent="0.2">
      <c r="B130" s="7"/>
      <c r="D130">
        <v>35</v>
      </c>
      <c r="E130" s="7">
        <f t="shared" si="5"/>
        <v>5655.4610338453267</v>
      </c>
      <c r="F130" s="7">
        <f t="shared" si="6"/>
        <v>5395.3306358254395</v>
      </c>
      <c r="G130" s="7">
        <f t="shared" si="7"/>
        <v>-330.82547299999999</v>
      </c>
      <c r="H130" s="7">
        <f t="shared" si="8"/>
        <v>7461.7746056777796</v>
      </c>
      <c r="I130" s="7">
        <f t="shared" si="9"/>
        <v>-45.54755856977949</v>
      </c>
      <c r="J130" s="7">
        <f t="shared" si="10"/>
        <v>2826.6630593487293</v>
      </c>
    </row>
    <row r="131" spans="2:10" x14ac:dyDescent="0.2">
      <c r="B131" s="7"/>
      <c r="D131">
        <v>36</v>
      </c>
      <c r="E131" s="7">
        <f t="shared" si="5"/>
        <v>7128.4750169226627</v>
      </c>
      <c r="F131" s="7">
        <f t="shared" si="6"/>
        <v>6125.6003139778077</v>
      </c>
      <c r="G131" s="7">
        <f t="shared" si="7"/>
        <v>-330.82547299999999</v>
      </c>
      <c r="H131" s="7">
        <f t="shared" si="8"/>
        <v>7252.0869364623277</v>
      </c>
      <c r="I131" s="7">
        <f t="shared" si="9"/>
        <v>-61.961569634346738</v>
      </c>
      <c r="J131" s="7">
        <f t="shared" si="10"/>
        <v>-771.55108218227633</v>
      </c>
    </row>
    <row r="132" spans="2:10" x14ac:dyDescent="0.2">
      <c r="B132" s="7"/>
      <c r="D132">
        <v>37</v>
      </c>
      <c r="E132" s="7">
        <f t="shared" si="5"/>
        <v>6003.0210084613318</v>
      </c>
      <c r="F132" s="7">
        <f t="shared" si="6"/>
        <v>5519.6124886844655</v>
      </c>
      <c r="G132" s="7">
        <f t="shared" si="7"/>
        <v>-330.82547299999999</v>
      </c>
      <c r="H132" s="7">
        <f t="shared" si="8"/>
        <v>7036.0246383634103</v>
      </c>
      <c r="I132" s="7">
        <f t="shared" si="9"/>
        <v>-77.3716424808038</v>
      </c>
      <c r="J132" s="7">
        <f t="shared" si="10"/>
        <v>-103.38287053028779</v>
      </c>
    </row>
    <row r="133" spans="2:10" x14ac:dyDescent="0.2">
      <c r="B133" s="7"/>
      <c r="D133">
        <v>38</v>
      </c>
      <c r="E133" s="7">
        <f t="shared" si="5"/>
        <v>6337.7860042306656</v>
      </c>
      <c r="F133" s="7">
        <f t="shared" si="6"/>
        <v>5633.916210979125</v>
      </c>
      <c r="G133" s="7">
        <f t="shared" si="7"/>
        <v>-330.82547299999999</v>
      </c>
      <c r="H133" s="7">
        <f t="shared" si="8"/>
        <v>6940.3810833473754</v>
      </c>
      <c r="I133" s="7">
        <f t="shared" si="9"/>
        <v>-79.198833734326925</v>
      </c>
      <c r="J133" s="7">
        <f t="shared" si="10"/>
        <v>2813.9015557780508</v>
      </c>
    </row>
    <row r="134" spans="2:10" x14ac:dyDescent="0.2">
      <c r="B134" s="7"/>
      <c r="D134">
        <v>39</v>
      </c>
      <c r="E134" s="7">
        <f t="shared" si="5"/>
        <v>7978.4080021153331</v>
      </c>
      <c r="F134" s="7">
        <f t="shared" si="6"/>
        <v>6597.8725165853875</v>
      </c>
      <c r="G134" s="7">
        <f t="shared" si="7"/>
        <v>-330.82547299999999</v>
      </c>
      <c r="H134" s="7">
        <f t="shared" si="8"/>
        <v>6855.5768690739387</v>
      </c>
      <c r="I134" s="7">
        <f t="shared" si="9"/>
        <v>-79.759371788237885</v>
      </c>
      <c r="J134" s="7">
        <f t="shared" si="10"/>
        <v>1.7178126022713514E-2</v>
      </c>
    </row>
    <row r="135" spans="2:10" x14ac:dyDescent="0.2">
      <c r="B135" s="7"/>
      <c r="D135">
        <v>40</v>
      </c>
      <c r="E135" s="7">
        <f t="shared" si="5"/>
        <v>7640.6650010576668</v>
      </c>
      <c r="F135" s="7">
        <f t="shared" si="6"/>
        <v>6577.8095305097704</v>
      </c>
      <c r="G135" s="7">
        <f t="shared" si="7"/>
        <v>-330.82547299999999</v>
      </c>
      <c r="H135" s="7">
        <f t="shared" si="8"/>
        <v>6828.5262297445288</v>
      </c>
      <c r="I135" s="7">
        <f t="shared" si="9"/>
        <v>-74.488498542355089</v>
      </c>
      <c r="J135" s="7">
        <f t="shared" si="10"/>
        <v>4554.4929811964848</v>
      </c>
    </row>
    <row r="136" spans="2:10" x14ac:dyDescent="0.2">
      <c r="B136" s="7"/>
      <c r="D136">
        <v>41</v>
      </c>
      <c r="E136" s="7">
        <f t="shared" si="5"/>
        <v>7658.6175005288333</v>
      </c>
      <c r="F136" s="7">
        <f t="shared" si="6"/>
        <v>6675.8598402568387</v>
      </c>
      <c r="G136" s="7">
        <f t="shared" si="7"/>
        <v>-330.82547299999999</v>
      </c>
      <c r="H136" s="7">
        <f t="shared" si="8"/>
        <v>6390.8416599623079</v>
      </c>
      <c r="I136" s="7">
        <f t="shared" si="9"/>
        <v>-110.80810566634167</v>
      </c>
      <c r="J136" s="7">
        <f t="shared" si="10"/>
        <v>-2580.7260548778959</v>
      </c>
    </row>
    <row r="137" spans="2:10" x14ac:dyDescent="0.2">
      <c r="B137" s="7"/>
      <c r="D137">
        <v>42</v>
      </c>
      <c r="E137" s="7">
        <f t="shared" si="5"/>
        <v>6063.2262502644171</v>
      </c>
      <c r="F137" s="7">
        <f t="shared" si="6"/>
        <v>5781.8745570797873</v>
      </c>
      <c r="G137" s="7">
        <f t="shared" si="7"/>
        <v>-330.82547299999999</v>
      </c>
      <c r="H137" s="7">
        <f t="shared" si="8"/>
        <v>6356.8863043541587</v>
      </c>
      <c r="I137" s="7">
        <f t="shared" si="9"/>
        <v>-103.12283066052242</v>
      </c>
      <c r="J137" s="7">
        <f t="shared" si="10"/>
        <v>-2599.0701203442518</v>
      </c>
    </row>
    <row r="138" spans="2:10" x14ac:dyDescent="0.2">
      <c r="B138" s="7"/>
      <c r="D138">
        <v>43</v>
      </c>
      <c r="E138" s="7">
        <f t="shared" si="5"/>
        <v>4777.8181251322085</v>
      </c>
      <c r="F138" s="7">
        <f t="shared" si="6"/>
        <v>4863.4573588558505</v>
      </c>
      <c r="G138" s="7">
        <f t="shared" si="7"/>
        <v>-330.82547299999999</v>
      </c>
      <c r="H138" s="7">
        <f t="shared" si="8"/>
        <v>6237.5351383586976</v>
      </c>
      <c r="I138" s="7">
        <f t="shared" si="9"/>
        <v>-104.74566419401629</v>
      </c>
      <c r="J138" s="7">
        <f t="shared" si="10"/>
        <v>-1582.13292237368</v>
      </c>
    </row>
    <row r="139" spans="2:10" x14ac:dyDescent="0.2">
      <c r="B139" s="7"/>
      <c r="D139">
        <v>44</v>
      </c>
      <c r="E139" s="7">
        <f t="shared" si="5"/>
        <v>5058.9830625661043</v>
      </c>
      <c r="F139" s="7">
        <f t="shared" si="6"/>
        <v>4774.8867200990953</v>
      </c>
      <c r="G139" s="7">
        <f t="shared" si="7"/>
        <v>-330.82547299999999</v>
      </c>
      <c r="H139" s="7">
        <f t="shared" si="8"/>
        <v>6211.7386189855815</v>
      </c>
      <c r="I139" s="7">
        <f t="shared" si="9"/>
        <v>-96.850749711926269</v>
      </c>
      <c r="J139" s="7">
        <f t="shared" si="10"/>
        <v>-939.25858559994776</v>
      </c>
    </row>
    <row r="140" spans="2:10" x14ac:dyDescent="0.2">
      <c r="B140" s="7"/>
      <c r="D140">
        <v>45</v>
      </c>
      <c r="E140" s="7">
        <f t="shared" si="5"/>
        <v>5163.653531283052</v>
      </c>
      <c r="F140" s="7">
        <f t="shared" si="6"/>
        <v>4691.3400729693658</v>
      </c>
      <c r="G140" s="7">
        <f t="shared" si="7"/>
        <v>-330.82547299999999</v>
      </c>
      <c r="H140" s="7">
        <f t="shared" si="8"/>
        <v>6124.1573409062848</v>
      </c>
      <c r="I140" s="7">
        <f t="shared" si="9"/>
        <v>-95.923802548663318</v>
      </c>
      <c r="J140" s="7">
        <f t="shared" si="10"/>
        <v>-1193.2012373110672</v>
      </c>
    </row>
    <row r="141" spans="2:10" x14ac:dyDescent="0.2">
      <c r="B141" s="7"/>
      <c r="D141">
        <v>46</v>
      </c>
      <c r="E141" s="7">
        <f t="shared" si="5"/>
        <v>5245.3682656415258</v>
      </c>
      <c r="F141" s="7">
        <f t="shared" si="6"/>
        <v>4650.4851199785553</v>
      </c>
      <c r="G141" s="7">
        <f t="shared" si="7"/>
        <v>-330.82547299999999</v>
      </c>
      <c r="H141" s="7">
        <f t="shared" si="8"/>
        <v>6077.4386082529672</v>
      </c>
      <c r="I141" s="7">
        <f t="shared" si="9"/>
        <v>-91.003295559128745</v>
      </c>
      <c r="J141" s="7">
        <f t="shared" si="10"/>
        <v>-2165.3300297188925</v>
      </c>
    </row>
    <row r="142" spans="2:10" x14ac:dyDescent="0.2">
      <c r="B142" s="7"/>
      <c r="D142">
        <v>47</v>
      </c>
      <c r="E142" s="7">
        <f t="shared" si="5"/>
        <v>5145.104132820763</v>
      </c>
      <c r="F142" s="7">
        <f t="shared" si="6"/>
        <v>4537.2137528849889</v>
      </c>
      <c r="G142" s="7">
        <f t="shared" si="7"/>
        <v>-330.82547299999999</v>
      </c>
      <c r="H142" s="7">
        <f t="shared" si="8"/>
        <v>6108.808784396344</v>
      </c>
      <c r="I142" s="7">
        <f t="shared" si="9"/>
        <v>-78.765948388878186</v>
      </c>
      <c r="J142" s="7">
        <f t="shared" si="10"/>
        <v>2005.9625061203644</v>
      </c>
    </row>
    <row r="143" spans="2:10" x14ac:dyDescent="0.2">
      <c r="B143" s="7"/>
      <c r="D143">
        <v>48</v>
      </c>
      <c r="E143" s="7">
        <f t="shared" si="5"/>
        <v>5175.175066410382</v>
      </c>
      <c r="F143" s="7">
        <f t="shared" si="6"/>
        <v>4506.0455959194924</v>
      </c>
      <c r="G143" s="7">
        <f t="shared" si="7"/>
        <v>-330.82547299999999</v>
      </c>
      <c r="H143" s="7">
        <f t="shared" si="8"/>
        <v>5746.9669017946835</v>
      </c>
      <c r="I143" s="7">
        <f t="shared" si="9"/>
        <v>-107.07354181015643</v>
      </c>
      <c r="J143" s="7">
        <f t="shared" si="10"/>
        <v>-1542.0547245051287</v>
      </c>
    </row>
    <row r="144" spans="2:10" x14ac:dyDescent="0.2">
      <c r="B144" s="7"/>
      <c r="D144">
        <v>49</v>
      </c>
      <c r="E144" s="7"/>
      <c r="F144" s="7"/>
      <c r="G144" s="7"/>
      <c r="H144" s="7"/>
      <c r="I144" s="7"/>
      <c r="J144" s="7">
        <f t="shared" si="10"/>
        <v>-194.74243320644695</v>
      </c>
    </row>
    <row r="145" spans="2:10" x14ac:dyDescent="0.2">
      <c r="B145" s="7"/>
      <c r="D145">
        <v>50</v>
      </c>
      <c r="E145" s="7"/>
      <c r="F145" s="7"/>
      <c r="G145" s="7"/>
      <c r="H145" s="7"/>
      <c r="I145" s="7"/>
      <c r="J145" s="7">
        <f t="shared" si="10"/>
        <v>2785.8746530825015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4"/>
  <sheetViews>
    <sheetView workbookViewId="0">
      <selection activeCell="F52" sqref="F52"/>
    </sheetView>
  </sheetViews>
  <sheetFormatPr baseColWidth="10" defaultColWidth="8.83203125" defaultRowHeight="15" x14ac:dyDescent="0.2"/>
  <cols>
    <col min="1" max="1" width="18" customWidth="1"/>
    <col min="2" max="2" width="12" customWidth="1"/>
    <col min="3" max="3" width="4" customWidth="1"/>
    <col min="4" max="6" width="12" customWidth="1"/>
  </cols>
  <sheetData>
    <row r="1" spans="1:6" ht="19" x14ac:dyDescent="0.25">
      <c r="A1" s="1" t="s">
        <v>83</v>
      </c>
    </row>
    <row r="2" spans="1:6" x14ac:dyDescent="0.2">
      <c r="A2" t="s">
        <v>84</v>
      </c>
    </row>
    <row r="3" spans="1:6" x14ac:dyDescent="0.2">
      <c r="D3" s="2" t="s">
        <v>1</v>
      </c>
      <c r="E3" s="2" t="s">
        <v>53</v>
      </c>
      <c r="F3" s="2" t="s">
        <v>85</v>
      </c>
    </row>
    <row r="4" spans="1:6" x14ac:dyDescent="0.2">
      <c r="A4" t="s">
        <v>86</v>
      </c>
      <c r="B4">
        <v>7175.6692000000003</v>
      </c>
      <c r="D4" s="3" t="s">
        <v>3</v>
      </c>
      <c r="E4" s="4">
        <v>9630.2990000000009</v>
      </c>
      <c r="F4" s="4">
        <f>$B$4+$B$5*1+IF(VALUE(MID(D4,6,2))=1,0,INDEX($B$6:$B$16,VALUE(MID(D4,6,2))-1))</f>
        <v>8653.5313999999998</v>
      </c>
    </row>
    <row r="5" spans="1:6" x14ac:dyDescent="0.2">
      <c r="A5" t="s">
        <v>87</v>
      </c>
      <c r="B5">
        <v>-71.616399999999999</v>
      </c>
      <c r="D5" s="3" t="s">
        <v>4</v>
      </c>
      <c r="E5" s="4">
        <v>10251.463</v>
      </c>
      <c r="F5" s="4">
        <f>$B$4+$B$5*2+IF(VALUE(MID(D5,6,2))=1,0,INDEX($B$6:$B$16,VALUE(MID(D5,6,2))-1))</f>
        <v>9484.1455999999998</v>
      </c>
    </row>
    <row r="6" spans="1:6" x14ac:dyDescent="0.2">
      <c r="A6" t="s">
        <v>88</v>
      </c>
      <c r="B6">
        <v>-405.71409999999997</v>
      </c>
      <c r="D6" s="3" t="s">
        <v>5</v>
      </c>
      <c r="E6" s="4">
        <v>9106.9060000000009</v>
      </c>
      <c r="F6" s="4">
        <f>$B$4+$B$5*3+IF(VALUE(MID(D6,6,2))=1,0,INDEX($B$6:$B$16,VALUE(MID(D6,6,2))-1))</f>
        <v>11531.331600000001</v>
      </c>
    </row>
    <row r="7" spans="1:6" x14ac:dyDescent="0.2">
      <c r="A7" t="s">
        <v>89</v>
      </c>
      <c r="B7">
        <v>860.43629999999996</v>
      </c>
      <c r="D7" s="3" t="s">
        <v>6</v>
      </c>
      <c r="E7" s="4">
        <v>7350.8980000000001</v>
      </c>
      <c r="F7" s="4">
        <f>$B$4+$B$5*4+IF(VALUE(MID(D7,6,2))=1,0,INDEX($B$6:$B$16,VALUE(MID(D7,6,2))-1))</f>
        <v>9113.0120999999999</v>
      </c>
    </row>
    <row r="8" spans="1:6" x14ac:dyDescent="0.2">
      <c r="A8" t="s">
        <v>90</v>
      </c>
      <c r="B8">
        <v>1505.6664000000001</v>
      </c>
      <c r="D8" s="3" t="s">
        <v>7</v>
      </c>
      <c r="E8" s="4">
        <v>12285.013000000001</v>
      </c>
      <c r="F8" s="4">
        <f>$B$4+$B$5*5+IF(VALUE(MID(D8,6,2))=1,0,INDEX($B$6:$B$16,VALUE(MID(D8,6,2))-1))</f>
        <v>12586.355100000001</v>
      </c>
    </row>
    <row r="9" spans="1:6" x14ac:dyDescent="0.2">
      <c r="A9" t="s">
        <v>91</v>
      </c>
      <c r="B9">
        <v>1416.8182999999999</v>
      </c>
      <c r="D9" s="3" t="s">
        <v>8</v>
      </c>
      <c r="E9" s="4">
        <v>7210.1040000000003</v>
      </c>
      <c r="F9" s="4">
        <f>$B$4+$B$5*6+IF(VALUE(MID(D9,6,2))=1,0,INDEX($B$6:$B$16,VALUE(MID(D9,6,2))-1))</f>
        <v>6745.9708000000001</v>
      </c>
    </row>
    <row r="10" spans="1:6" x14ac:dyDescent="0.2">
      <c r="A10" t="s">
        <v>92</v>
      </c>
      <c r="B10">
        <v>608.62720000000002</v>
      </c>
      <c r="D10" s="3" t="s">
        <v>9</v>
      </c>
      <c r="E10" s="4">
        <v>5576.9979999999996</v>
      </c>
      <c r="F10" s="4">
        <f>$B$4+$B$5*7+IF(VALUE(MID(D10,6,2))=1,0,INDEX($B$6:$B$16,VALUE(MID(D10,6,2))-1))</f>
        <v>6268.6403</v>
      </c>
    </row>
    <row r="11" spans="1:6" x14ac:dyDescent="0.2">
      <c r="A11" t="s">
        <v>93</v>
      </c>
      <c r="B11">
        <v>3857.7408</v>
      </c>
      <c r="D11" s="3" t="s">
        <v>10</v>
      </c>
      <c r="E11" s="4">
        <v>6648.9430000000002</v>
      </c>
      <c r="F11" s="4">
        <f>$B$4+$B$5*8+IF(VALUE(MID(D11,6,2))=1,0,INDEX($B$6:$B$16,VALUE(MID(D11,6,2))-1))</f>
        <v>7463.1743000000006</v>
      </c>
    </row>
    <row r="12" spans="1:6" x14ac:dyDescent="0.2">
      <c r="A12" t="s">
        <v>94</v>
      </c>
      <c r="B12">
        <v>1549.4785999999999</v>
      </c>
      <c r="D12" s="3" t="s">
        <v>11</v>
      </c>
      <c r="E12" s="4">
        <v>8525.2129999999997</v>
      </c>
      <c r="F12" s="4">
        <f>$B$4+$B$5*9+IF(VALUE(MID(D12,6,2))=1,0,INDEX($B$6:$B$16,VALUE(MID(D12,6,2))-1))</f>
        <v>8036.7880000000005</v>
      </c>
    </row>
    <row r="13" spans="1:6" x14ac:dyDescent="0.2">
      <c r="A13" t="s">
        <v>95</v>
      </c>
      <c r="B13">
        <v>2451.7091999999998</v>
      </c>
      <c r="D13" s="3" t="s">
        <v>12</v>
      </c>
      <c r="E13" s="4">
        <v>7428.518</v>
      </c>
      <c r="F13" s="4">
        <f>$B$4+$B$5*10+IF(VALUE(MID(D13,6,2))=1,0,INDEX($B$6:$B$16,VALUE(MID(D13,6,2))-1))</f>
        <v>7876.3235000000004</v>
      </c>
    </row>
    <row r="14" spans="1:6" x14ac:dyDescent="0.2">
      <c r="A14" t="s">
        <v>96</v>
      </c>
      <c r="B14">
        <v>4570.5115999999998</v>
      </c>
      <c r="D14" s="3" t="s">
        <v>13</v>
      </c>
      <c r="E14" s="4">
        <v>6618.3440000000001</v>
      </c>
      <c r="F14" s="4">
        <f>$B$4+$B$5*11+IF(VALUE(MID(D14,6,2))=1,0,INDEX($B$6:$B$16,VALUE(MID(D14,6,2))-1))</f>
        <v>6996.5160000000005</v>
      </c>
    </row>
    <row r="15" spans="1:6" x14ac:dyDescent="0.2">
      <c r="A15" t="s">
        <v>97</v>
      </c>
      <c r="B15">
        <v>2223.8085000000001</v>
      </c>
      <c r="D15" s="3" t="s">
        <v>14</v>
      </c>
      <c r="E15" s="4">
        <v>10251.380999999999</v>
      </c>
      <c r="F15" s="4">
        <f>$B$4+$B$5*12+IF(VALUE(MID(D15,6,2))=1,0,INDEX($B$6:$B$16,VALUE(MID(D15,6,2))-1))</f>
        <v>10174.013199999999</v>
      </c>
    </row>
    <row r="16" spans="1:6" x14ac:dyDescent="0.2">
      <c r="A16" t="s">
        <v>98</v>
      </c>
      <c r="B16">
        <v>5768.7678999999998</v>
      </c>
      <c r="D16" s="3" t="s">
        <v>15</v>
      </c>
      <c r="E16" s="4">
        <v>8574.4220000000005</v>
      </c>
      <c r="F16" s="4">
        <f>$B$4+$B$5*13+IF(VALUE(MID(D16,6,2))=1,0,INDEX($B$6:$B$16,VALUE(MID(D16,6,2))-1))</f>
        <v>7794.1345999999994</v>
      </c>
    </row>
    <row r="17" spans="4:6" x14ac:dyDescent="0.2">
      <c r="D17" s="3" t="s">
        <v>16</v>
      </c>
      <c r="E17" s="4">
        <v>8853.1569999999992</v>
      </c>
      <c r="F17" s="4">
        <f>$B$4+$B$5*14+IF(VALUE(MID(D17,6,2))=1,0,INDEX($B$6:$B$16,VALUE(MID(D17,6,2))-1))</f>
        <v>8624.7487999999994</v>
      </c>
    </row>
    <row r="18" spans="4:6" x14ac:dyDescent="0.2">
      <c r="D18" s="3" t="s">
        <v>17</v>
      </c>
      <c r="E18" s="4">
        <v>11343.447</v>
      </c>
      <c r="F18" s="4">
        <f>$B$4+$B$5*15+IF(VALUE(MID(D18,6,2))=1,0,INDEX($B$6:$B$16,VALUE(MID(D18,6,2))-1))</f>
        <v>10671.934799999999</v>
      </c>
    </row>
    <row r="19" spans="4:6" x14ac:dyDescent="0.2">
      <c r="D19" s="3" t="s">
        <v>18</v>
      </c>
      <c r="E19" s="4">
        <v>9180.7569999999996</v>
      </c>
      <c r="F19" s="4">
        <f>$B$4+$B$5*16+IF(VALUE(MID(D19,6,2))=1,0,INDEX($B$6:$B$16,VALUE(MID(D19,6,2))-1))</f>
        <v>8253.6153000000013</v>
      </c>
    </row>
    <row r="20" spans="4:6" x14ac:dyDescent="0.2">
      <c r="D20" s="3" t="s">
        <v>19</v>
      </c>
      <c r="E20" s="4">
        <v>12310.300999999999</v>
      </c>
      <c r="F20" s="4">
        <f>$B$4+$B$5*17+IF(VALUE(MID(D20,6,2))=1,0,INDEX($B$6:$B$16,VALUE(MID(D20,6,2))-1))</f>
        <v>11726.9583</v>
      </c>
    </row>
    <row r="21" spans="4:6" x14ac:dyDescent="0.2">
      <c r="D21" s="3" t="s">
        <v>20</v>
      </c>
      <c r="E21" s="4">
        <v>4916.5020000000004</v>
      </c>
      <c r="F21" s="4">
        <f>$B$4+$B$5*18+IF(VALUE(MID(D21,6,2))=1,0,INDEX($B$6:$B$16,VALUE(MID(D21,6,2))-1))</f>
        <v>5886.5740000000005</v>
      </c>
    </row>
    <row r="22" spans="4:6" x14ac:dyDescent="0.2">
      <c r="D22" s="3" t="s">
        <v>21</v>
      </c>
      <c r="E22" s="4">
        <v>5690.96</v>
      </c>
      <c r="F22" s="4">
        <f>$B$4+$B$5*19+IF(VALUE(MID(D22,6,2))=1,0,INDEX($B$6:$B$16,VALUE(MID(D22,6,2))-1))</f>
        <v>5409.2434999999996</v>
      </c>
    </row>
    <row r="23" spans="4:6" x14ac:dyDescent="0.2">
      <c r="D23" s="3" t="s">
        <v>22</v>
      </c>
      <c r="E23" s="4">
        <v>6504.8370000000004</v>
      </c>
      <c r="F23" s="4">
        <f>$B$4+$B$5*20+IF(VALUE(MID(D23,6,2))=1,0,INDEX($B$6:$B$16,VALUE(MID(D23,6,2))-1))</f>
        <v>6603.7775000000011</v>
      </c>
    </row>
    <row r="24" spans="4:6" x14ac:dyDescent="0.2">
      <c r="D24" s="3" t="s">
        <v>23</v>
      </c>
      <c r="E24" s="4">
        <v>6356.8980000000001</v>
      </c>
      <c r="F24" s="4">
        <f>$B$4+$B$5*21+IF(VALUE(MID(D24,6,2))=1,0,INDEX($B$6:$B$16,VALUE(MID(D24,6,2))-1))</f>
        <v>7177.3912</v>
      </c>
    </row>
    <row r="25" spans="4:6" x14ac:dyDescent="0.2">
      <c r="D25" s="3" t="s">
        <v>24</v>
      </c>
      <c r="E25" s="4">
        <v>7687.4089999999997</v>
      </c>
      <c r="F25" s="4">
        <f>$B$4+$B$5*22+IF(VALUE(MID(D25,6,2))=1,0,INDEX($B$6:$B$16,VALUE(MID(D25,6,2))-1))</f>
        <v>7016.9267</v>
      </c>
    </row>
    <row r="26" spans="4:6" x14ac:dyDescent="0.2">
      <c r="D26" s="3" t="s">
        <v>25</v>
      </c>
      <c r="E26" s="4">
        <v>6111.2430000000004</v>
      </c>
      <c r="F26" s="4">
        <f>$B$4+$B$5*23+IF(VALUE(MID(D26,6,2))=1,0,INDEX($B$6:$B$16,VALUE(MID(D26,6,2))-1))</f>
        <v>6137.1192000000001</v>
      </c>
    </row>
    <row r="27" spans="4:6" x14ac:dyDescent="0.2">
      <c r="D27" s="3" t="s">
        <v>26</v>
      </c>
      <c r="E27" s="4">
        <v>11481.558000000001</v>
      </c>
      <c r="F27" s="4">
        <f>$B$4+$B$5*24+IF(VALUE(MID(D27,6,2))=1,0,INDEX($B$6:$B$16,VALUE(MID(D27,6,2))-1))</f>
        <v>9314.6164000000008</v>
      </c>
    </row>
    <row r="28" spans="4:6" x14ac:dyDescent="0.2">
      <c r="D28" s="3" t="s">
        <v>27</v>
      </c>
      <c r="E28" s="4">
        <v>6375.4579999999996</v>
      </c>
      <c r="F28" s="4">
        <f>$B$4+$B$5*25+IF(VALUE(MID(D28,6,2))=1,0,INDEX($B$6:$B$16,VALUE(MID(D28,6,2))-1))</f>
        <v>6934.7378000000008</v>
      </c>
    </row>
    <row r="29" spans="4:6" x14ac:dyDescent="0.2">
      <c r="D29" s="3" t="s">
        <v>28</v>
      </c>
      <c r="E29" s="4">
        <v>7003.0320000000002</v>
      </c>
      <c r="F29" s="4">
        <f>$B$4+$B$5*26+IF(VALUE(MID(D29,6,2))=1,0,INDEX($B$6:$B$16,VALUE(MID(D29,6,2))-1))</f>
        <v>7765.3520000000008</v>
      </c>
    </row>
    <row r="30" spans="4:6" x14ac:dyDescent="0.2">
      <c r="D30" s="3" t="s">
        <v>29</v>
      </c>
      <c r="E30" s="4">
        <v>10899.564</v>
      </c>
      <c r="F30" s="4">
        <f>$B$4+$B$5*27+IF(VALUE(MID(D30,6,2))=1,0,INDEX($B$6:$B$16,VALUE(MID(D30,6,2))-1))</f>
        <v>9812.5380000000005</v>
      </c>
    </row>
    <row r="31" spans="4:6" x14ac:dyDescent="0.2">
      <c r="D31" s="3" t="s">
        <v>30</v>
      </c>
      <c r="E31" s="4">
        <v>7461.0919999999996</v>
      </c>
      <c r="F31" s="4">
        <f>$B$4+$B$5*28+IF(VALUE(MID(D31,6,2))=1,0,INDEX($B$6:$B$16,VALUE(MID(D31,6,2))-1))</f>
        <v>7394.2184999999999</v>
      </c>
    </row>
    <row r="32" spans="4:6" x14ac:dyDescent="0.2">
      <c r="D32" s="3" t="s">
        <v>31</v>
      </c>
      <c r="E32" s="4">
        <v>12917.156999999999</v>
      </c>
      <c r="F32" s="4">
        <f>$B$4+$B$5*29+IF(VALUE(MID(D32,6,2))=1,0,INDEX($B$6:$B$16,VALUE(MID(D32,6,2))-1))</f>
        <v>10867.5615</v>
      </c>
    </row>
    <row r="33" spans="4:6" x14ac:dyDescent="0.2">
      <c r="D33" s="3" t="s">
        <v>32</v>
      </c>
      <c r="E33" s="4">
        <v>5233.0630000000001</v>
      </c>
      <c r="F33" s="4">
        <f>$B$4+$B$5*30+IF(VALUE(MID(D33,6,2))=1,0,INDEX($B$6:$B$16,VALUE(MID(D33,6,2))-1))</f>
        <v>5027.1772000000001</v>
      </c>
    </row>
    <row r="34" spans="4:6" x14ac:dyDescent="0.2">
      <c r="D34" s="3" t="s">
        <v>33</v>
      </c>
      <c r="E34" s="4">
        <v>5157.8140000000003</v>
      </c>
      <c r="F34" s="4">
        <f>$B$4+$B$5*31+IF(VALUE(MID(D34,6,2))=1,0,INDEX($B$6:$B$16,VALUE(MID(D34,6,2))-1))</f>
        <v>4549.8467000000001</v>
      </c>
    </row>
    <row r="35" spans="4:6" x14ac:dyDescent="0.2">
      <c r="D35" s="3" t="s">
        <v>34</v>
      </c>
      <c r="E35" s="4">
        <v>6202.39</v>
      </c>
      <c r="F35" s="4">
        <f>$B$4+$B$5*32+IF(VALUE(MID(D35,6,2))=1,0,INDEX($B$6:$B$16,VALUE(MID(D35,6,2))-1))</f>
        <v>5744.3807000000006</v>
      </c>
    </row>
    <row r="36" spans="4:6" x14ac:dyDescent="0.2">
      <c r="D36" s="3" t="s">
        <v>35</v>
      </c>
      <c r="E36" s="4">
        <v>6840.3379999999997</v>
      </c>
      <c r="F36" s="4">
        <f>$B$4+$B$5*33+IF(VALUE(MID(D36,6,2))=1,0,INDEX($B$6:$B$16,VALUE(MID(D36,6,2))-1))</f>
        <v>6317.9944000000005</v>
      </c>
    </row>
    <row r="37" spans="4:6" x14ac:dyDescent="0.2">
      <c r="D37" s="3" t="s">
        <v>36</v>
      </c>
      <c r="E37" s="4">
        <v>5905.9049999999997</v>
      </c>
      <c r="F37" s="4">
        <f>$B$4+$B$5*34+IF(VALUE(MID(D37,6,2))=1,0,INDEX($B$6:$B$16,VALUE(MID(D37,6,2))-1))</f>
        <v>6157.5299000000005</v>
      </c>
    </row>
    <row r="38" spans="4:6" x14ac:dyDescent="0.2">
      <c r="D38" s="3" t="s">
        <v>37</v>
      </c>
      <c r="E38" s="4">
        <v>5055.2579999999998</v>
      </c>
      <c r="F38" s="4">
        <f>$B$4+$B$5*35+IF(VALUE(MID(D38,6,2))=1,0,INDEX($B$6:$B$16,VALUE(MID(D38,6,2))-1))</f>
        <v>5277.7223999999997</v>
      </c>
    </row>
    <row r="39" spans="4:6" x14ac:dyDescent="0.2">
      <c r="D39" s="3" t="s">
        <v>38</v>
      </c>
      <c r="E39" s="4">
        <v>8601.4889999999996</v>
      </c>
      <c r="F39" s="4">
        <f>$B$4+$B$5*36+IF(VALUE(MID(D39,6,2))=1,0,INDEX($B$6:$B$16,VALUE(MID(D39,6,2))-1))</f>
        <v>8455.2196000000004</v>
      </c>
    </row>
    <row r="40" spans="4:6" x14ac:dyDescent="0.2">
      <c r="D40" s="3" t="s">
        <v>39</v>
      </c>
      <c r="E40" s="4">
        <v>4877.567</v>
      </c>
      <c r="F40" s="4">
        <f>$B$4+$B$5*37+IF(VALUE(MID(D40,6,2))=1,0,INDEX($B$6:$B$16,VALUE(MID(D40,6,2))-1))</f>
        <v>6075.3410000000003</v>
      </c>
    </row>
    <row r="41" spans="4:6" x14ac:dyDescent="0.2">
      <c r="D41" s="3" t="s">
        <v>40</v>
      </c>
      <c r="E41" s="4">
        <v>6672.5510000000004</v>
      </c>
      <c r="F41" s="4">
        <f>$B$4+$B$5*38+IF(VALUE(MID(D41,6,2))=1,0,INDEX($B$6:$B$16,VALUE(MID(D41,6,2))-1))</f>
        <v>6905.9552000000003</v>
      </c>
    </row>
    <row r="42" spans="4:6" x14ac:dyDescent="0.2">
      <c r="D42" s="3" t="s">
        <v>41</v>
      </c>
      <c r="E42" s="4">
        <v>9619.0300000000007</v>
      </c>
      <c r="F42" s="4">
        <f>$B$4+$B$5*39+IF(VALUE(MID(D42,6,2))=1,0,INDEX($B$6:$B$16,VALUE(MID(D42,6,2))-1))</f>
        <v>8953.1412</v>
      </c>
    </row>
    <row r="43" spans="4:6" x14ac:dyDescent="0.2">
      <c r="D43" s="3" t="s">
        <v>42</v>
      </c>
      <c r="E43" s="4">
        <v>7302.9219999999996</v>
      </c>
      <c r="F43" s="4">
        <f>$B$4+$B$5*40+IF(VALUE(MID(D43,6,2))=1,0,INDEX($B$6:$B$16,VALUE(MID(D43,6,2))-1))</f>
        <v>6534.8217000000004</v>
      </c>
    </row>
    <row r="44" spans="4:6" x14ac:dyDescent="0.2">
      <c r="D44" s="3" t="s">
        <v>43</v>
      </c>
      <c r="E44" s="4">
        <v>7676.57</v>
      </c>
      <c r="F44" s="4">
        <f>$B$4+$B$5*41+IF(VALUE(MID(D44,6,2))=1,0,INDEX($B$6:$B$16,VALUE(MID(D44,6,2))-1))</f>
        <v>10008.164700000001</v>
      </c>
    </row>
    <row r="45" spans="4:6" x14ac:dyDescent="0.2">
      <c r="D45" s="3" t="s">
        <v>44</v>
      </c>
      <c r="E45" s="4">
        <v>4467.835</v>
      </c>
      <c r="F45" s="4">
        <f>$B$4+$B$5*42+IF(VALUE(MID(D45,6,2))=1,0,INDEX($B$6:$B$16,VALUE(MID(D45,6,2))-1))</f>
        <v>4167.7804000000006</v>
      </c>
    </row>
    <row r="46" spans="4:6" x14ac:dyDescent="0.2">
      <c r="D46" s="3" t="s">
        <v>45</v>
      </c>
      <c r="E46" s="4">
        <v>3492.41</v>
      </c>
      <c r="F46" s="4">
        <f>$B$4+$B$5*43+IF(VALUE(MID(D46,6,2))=1,0,INDEX($B$6:$B$16,VALUE(MID(D46,6,2))-1))</f>
        <v>3690.4499000000005</v>
      </c>
    </row>
    <row r="47" spans="4:6" x14ac:dyDescent="0.2">
      <c r="D47" s="3" t="s">
        <v>46</v>
      </c>
      <c r="E47" s="4">
        <v>5340.1480000000001</v>
      </c>
      <c r="F47" s="4">
        <f>$B$4+$B$5*44+IF(VALUE(MID(D47,6,2))=1,0,INDEX($B$6:$B$16,VALUE(MID(D47,6,2))-1))</f>
        <v>4884.9839000000002</v>
      </c>
    </row>
    <row r="48" spans="4:6" x14ac:dyDescent="0.2">
      <c r="D48" s="3" t="s">
        <v>47</v>
      </c>
      <c r="E48" s="4">
        <v>5268.3239999999996</v>
      </c>
      <c r="F48" s="4">
        <f>$B$4+$B$5*45+IF(VALUE(MID(D48,6,2))=1,0,INDEX($B$6:$B$16,VALUE(MID(D48,6,2))-1))</f>
        <v>5458.597600000001</v>
      </c>
    </row>
    <row r="49" spans="4:6" x14ac:dyDescent="0.2">
      <c r="D49" s="3" t="s">
        <v>48</v>
      </c>
      <c r="E49" s="4">
        <v>5327.0829999999996</v>
      </c>
      <c r="F49" s="4">
        <f>$B$4+$B$5*46+IF(VALUE(MID(D49,6,2))=1,0,INDEX($B$6:$B$16,VALUE(MID(D49,6,2))-1))</f>
        <v>5298.1331</v>
      </c>
    </row>
    <row r="50" spans="4:6" x14ac:dyDescent="0.2">
      <c r="D50" s="3" t="s">
        <v>49</v>
      </c>
      <c r="E50" s="4">
        <v>5044.84</v>
      </c>
      <c r="F50" s="4">
        <f>$B$4+$B$5*47+IF(VALUE(MID(D50,6,2))=1,0,INDEX($B$6:$B$16,VALUE(MID(D50,6,2))-1))</f>
        <v>4418.3256000000001</v>
      </c>
    </row>
    <row r="51" spans="4:6" x14ac:dyDescent="0.2">
      <c r="D51" s="3" t="s">
        <v>50</v>
      </c>
      <c r="E51" s="4">
        <v>5205.2460000000001</v>
      </c>
      <c r="F51" s="4">
        <f>$B$4+$B$5*48+IF(VALUE(MID(D51,6,2))=1,0,INDEX($B$6:$B$16,VALUE(MID(D51,6,2))-1))</f>
        <v>7595.8227999999999</v>
      </c>
    </row>
    <row r="52" spans="4:6" x14ac:dyDescent="0.2">
      <c r="D52" s="3" t="s">
        <v>56</v>
      </c>
      <c r="E52" s="4"/>
      <c r="F52" s="4">
        <f>$B$4+$B$5*49+IF(VALUE(MID(D52,6,2))=1,0,INDEX($B$6:$B$16,VALUE(MID(D52,6,2))-1))</f>
        <v>5215.9441999999999</v>
      </c>
    </row>
    <row r="53" spans="4:6" x14ac:dyDescent="0.2">
      <c r="D53" s="3" t="s">
        <v>57</v>
      </c>
      <c r="E53" s="4"/>
      <c r="F53" s="4">
        <f>$B$4+$B$5*50+IF(VALUE(MID(D53,6,2))=1,0,INDEX($B$6:$B$16,VALUE(MID(D53,6,2))-1))</f>
        <v>6046.5583999999999</v>
      </c>
    </row>
    <row r="54" spans="4:6" x14ac:dyDescent="0.2">
      <c r="D54" s="3" t="s">
        <v>58</v>
      </c>
      <c r="E54" s="4"/>
      <c r="F54" s="4">
        <f>$B$4+$B$5*51+IF(VALUE(MID(D54,6,2))=1,0,INDEX($B$6:$B$16,VALUE(MID(D54,6,2))-1))</f>
        <v>8093.7443999999996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5"/>
  <sheetViews>
    <sheetView workbookViewId="0"/>
  </sheetViews>
  <sheetFormatPr baseColWidth="10" defaultColWidth="8.83203125" defaultRowHeight="15" x14ac:dyDescent="0.2"/>
  <cols>
    <col min="1" max="6" width="12" customWidth="1"/>
  </cols>
  <sheetData>
    <row r="1" spans="1:6" ht="19" x14ac:dyDescent="0.25">
      <c r="A1" s="1" t="s">
        <v>99</v>
      </c>
    </row>
    <row r="2" spans="1:6" x14ac:dyDescent="0.2">
      <c r="A2" t="s">
        <v>100</v>
      </c>
    </row>
    <row r="4" spans="1:6" x14ac:dyDescent="0.2">
      <c r="A4" s="2" t="s">
        <v>1</v>
      </c>
      <c r="B4" s="2" t="s">
        <v>53</v>
      </c>
      <c r="C4" s="2" t="s">
        <v>101</v>
      </c>
      <c r="D4" s="2" t="s">
        <v>102</v>
      </c>
      <c r="E4" s="2" t="s">
        <v>103</v>
      </c>
      <c r="F4" s="2" t="s">
        <v>104</v>
      </c>
    </row>
    <row r="5" spans="1:6" x14ac:dyDescent="0.2">
      <c r="A5" s="3" t="s">
        <v>3</v>
      </c>
      <c r="B5" s="4">
        <v>9630.2990000000009</v>
      </c>
      <c r="C5" s="4"/>
      <c r="D5" s="4"/>
      <c r="E5" s="4"/>
      <c r="F5" s="4"/>
    </row>
    <row r="6" spans="1:6" x14ac:dyDescent="0.2">
      <c r="A6" s="3" t="s">
        <v>4</v>
      </c>
      <c r="B6" s="4">
        <v>10251.463</v>
      </c>
      <c r="C6" s="4">
        <v>9630.2990000000009</v>
      </c>
      <c r="D6" s="4"/>
      <c r="E6" s="4"/>
      <c r="F6" s="4"/>
    </row>
    <row r="7" spans="1:6" x14ac:dyDescent="0.2">
      <c r="A7" s="3" t="s">
        <v>5</v>
      </c>
      <c r="B7" s="4">
        <v>9106.9060000000009</v>
      </c>
      <c r="C7" s="4">
        <v>10042.965</v>
      </c>
      <c r="D7" s="4"/>
      <c r="E7" s="4"/>
      <c r="F7" s="4"/>
    </row>
    <row r="8" spans="1:6" x14ac:dyDescent="0.2">
      <c r="A8" s="3" t="s">
        <v>6</v>
      </c>
      <c r="B8" s="4">
        <v>7350.8980000000001</v>
      </c>
      <c r="C8" s="4">
        <v>9363.875</v>
      </c>
      <c r="D8" s="4"/>
      <c r="E8" s="4"/>
      <c r="F8" s="4"/>
    </row>
    <row r="9" spans="1:6" x14ac:dyDescent="0.2">
      <c r="A9" s="3" t="s">
        <v>7</v>
      </c>
      <c r="B9" s="4">
        <v>12285.013000000001</v>
      </c>
      <c r="C9" s="4">
        <v>7894.3829999999998</v>
      </c>
      <c r="D9" s="4"/>
      <c r="E9" s="4"/>
      <c r="F9" s="4"/>
    </row>
    <row r="10" spans="1:6" x14ac:dyDescent="0.2">
      <c r="A10" s="3" t="s">
        <v>8</v>
      </c>
      <c r="B10" s="4">
        <v>7210.1040000000003</v>
      </c>
      <c r="C10" s="4">
        <v>11101.031999999999</v>
      </c>
      <c r="D10" s="4"/>
      <c r="E10" s="4"/>
      <c r="F10" s="4"/>
    </row>
    <row r="11" spans="1:6" x14ac:dyDescent="0.2">
      <c r="A11" s="3" t="s">
        <v>9</v>
      </c>
      <c r="B11" s="4">
        <v>5576.9979999999996</v>
      </c>
      <c r="C11" s="4">
        <v>8259.2420000000002</v>
      </c>
      <c r="D11" s="4"/>
      <c r="E11" s="4"/>
      <c r="F11" s="4"/>
    </row>
    <row r="12" spans="1:6" x14ac:dyDescent="0.2">
      <c r="A12" s="3" t="s">
        <v>10</v>
      </c>
      <c r="B12" s="4">
        <v>6648.9430000000002</v>
      </c>
      <c r="C12" s="4">
        <v>6300.2250000000004</v>
      </c>
      <c r="D12" s="4"/>
      <c r="E12" s="4"/>
      <c r="F12" s="4"/>
    </row>
    <row r="13" spans="1:6" x14ac:dyDescent="0.2">
      <c r="A13" s="3" t="s">
        <v>11</v>
      </c>
      <c r="B13" s="4">
        <v>8525.2129999999997</v>
      </c>
      <c r="C13" s="4">
        <v>6554.9160000000002</v>
      </c>
      <c r="D13" s="4"/>
      <c r="E13" s="4"/>
      <c r="F13" s="4"/>
    </row>
    <row r="14" spans="1:6" x14ac:dyDescent="0.2">
      <c r="A14" s="3" t="s">
        <v>12</v>
      </c>
      <c r="B14" s="4">
        <v>7428.518</v>
      </c>
      <c r="C14" s="4">
        <v>7993.9520000000002</v>
      </c>
      <c r="D14" s="4"/>
      <c r="E14" s="4"/>
      <c r="F14" s="4"/>
    </row>
    <row r="15" spans="1:6" x14ac:dyDescent="0.2">
      <c r="A15" s="3" t="s">
        <v>13</v>
      </c>
      <c r="B15" s="4">
        <v>6618.3440000000001</v>
      </c>
      <c r="C15" s="4">
        <v>7580.9790000000003</v>
      </c>
      <c r="D15" s="4"/>
      <c r="E15" s="4"/>
      <c r="F15" s="4"/>
    </row>
    <row r="16" spans="1:6" x14ac:dyDescent="0.2">
      <c r="A16" s="3" t="s">
        <v>14</v>
      </c>
      <c r="B16" s="4">
        <v>10251.380999999999</v>
      </c>
      <c r="C16" s="4">
        <v>6877.9040000000005</v>
      </c>
      <c r="D16" s="4"/>
      <c r="E16" s="4"/>
      <c r="F16" s="4"/>
    </row>
    <row r="17" spans="1:6" x14ac:dyDescent="0.2">
      <c r="A17" s="3" t="s">
        <v>15</v>
      </c>
      <c r="B17" s="4">
        <v>8574.4220000000005</v>
      </c>
      <c r="C17" s="4">
        <v>16640.507000000001</v>
      </c>
      <c r="D17" s="4"/>
      <c r="E17" s="4"/>
      <c r="F17" s="4"/>
    </row>
    <row r="18" spans="1:6" x14ac:dyDescent="0.2">
      <c r="A18" s="3" t="s">
        <v>16</v>
      </c>
      <c r="B18" s="4">
        <v>8853.1569999999992</v>
      </c>
      <c r="C18" s="4">
        <v>11174.368</v>
      </c>
      <c r="D18" s="4"/>
      <c r="E18" s="4"/>
      <c r="F18" s="4"/>
    </row>
    <row r="19" spans="1:6" x14ac:dyDescent="0.2">
      <c r="A19" s="3" t="s">
        <v>17</v>
      </c>
      <c r="B19" s="4">
        <v>11343.447</v>
      </c>
      <c r="C19" s="4">
        <v>8850.9320000000007</v>
      </c>
      <c r="D19" s="4"/>
      <c r="E19" s="4"/>
      <c r="F19" s="4"/>
    </row>
    <row r="20" spans="1:6" x14ac:dyDescent="0.2">
      <c r="A20" s="3" t="s">
        <v>18</v>
      </c>
      <c r="B20" s="4">
        <v>9180.7569999999996</v>
      </c>
      <c r="C20" s="4">
        <v>8796.24</v>
      </c>
      <c r="D20" s="4"/>
      <c r="E20" s="4"/>
      <c r="F20" s="4"/>
    </row>
    <row r="21" spans="1:6" x14ac:dyDescent="0.2">
      <c r="A21" s="3" t="s">
        <v>19</v>
      </c>
      <c r="B21" s="4">
        <v>12310.300999999999</v>
      </c>
      <c r="C21" s="4">
        <v>11934.200999999999</v>
      </c>
      <c r="D21" s="4"/>
      <c r="E21" s="4"/>
      <c r="F21" s="4"/>
    </row>
    <row r="22" spans="1:6" x14ac:dyDescent="0.2">
      <c r="A22" s="3" t="s">
        <v>20</v>
      </c>
      <c r="B22" s="4">
        <v>4916.5020000000004</v>
      </c>
      <c r="C22" s="4">
        <v>8313.9500000000007</v>
      </c>
      <c r="D22" s="4"/>
      <c r="E22" s="4"/>
      <c r="F22" s="4"/>
    </row>
    <row r="23" spans="1:6" x14ac:dyDescent="0.2">
      <c r="A23" s="3" t="s">
        <v>21</v>
      </c>
      <c r="B23" s="4">
        <v>5690.96</v>
      </c>
      <c r="C23" s="4">
        <v>5788.5609999999997</v>
      </c>
      <c r="D23" s="4"/>
      <c r="E23" s="4"/>
      <c r="F23" s="4"/>
    </row>
    <row r="24" spans="1:6" x14ac:dyDescent="0.2">
      <c r="A24" s="3" t="s">
        <v>22</v>
      </c>
      <c r="B24" s="4">
        <v>6504.8370000000004</v>
      </c>
      <c r="C24" s="4">
        <v>6610.1440000000002</v>
      </c>
      <c r="D24" s="4"/>
      <c r="E24" s="4"/>
      <c r="F24" s="4"/>
    </row>
    <row r="25" spans="1:6" x14ac:dyDescent="0.2">
      <c r="A25" s="3" t="s">
        <v>23</v>
      </c>
      <c r="B25" s="4">
        <v>6356.8980000000001</v>
      </c>
      <c r="C25" s="4">
        <v>8024.6229999999996</v>
      </c>
      <c r="D25" s="4"/>
      <c r="E25" s="4"/>
      <c r="F25" s="4"/>
    </row>
    <row r="26" spans="1:6" x14ac:dyDescent="0.2">
      <c r="A26" s="3" t="s">
        <v>24</v>
      </c>
      <c r="B26" s="4">
        <v>7687.4089999999997</v>
      </c>
      <c r="C26" s="4">
        <v>6951.28</v>
      </c>
      <c r="D26" s="4"/>
      <c r="E26" s="4"/>
      <c r="F26" s="4"/>
    </row>
    <row r="27" spans="1:6" x14ac:dyDescent="0.2">
      <c r="A27" s="3" t="s">
        <v>25</v>
      </c>
      <c r="B27" s="4">
        <v>6111.2430000000004</v>
      </c>
      <c r="C27" s="4">
        <v>6609.3469999999998</v>
      </c>
      <c r="D27" s="4"/>
      <c r="E27" s="4"/>
      <c r="F27" s="4"/>
    </row>
    <row r="28" spans="1:6" x14ac:dyDescent="0.2">
      <c r="A28" s="3" t="s">
        <v>26</v>
      </c>
      <c r="B28" s="4">
        <v>11481.558000000001</v>
      </c>
      <c r="C28" s="4">
        <v>8187.8590000000004</v>
      </c>
      <c r="D28" s="4"/>
      <c r="E28" s="4"/>
      <c r="F28" s="4"/>
    </row>
    <row r="29" spans="1:6" x14ac:dyDescent="0.2">
      <c r="A29" s="3" t="s">
        <v>27</v>
      </c>
      <c r="B29" s="4">
        <v>6375.4579999999996</v>
      </c>
      <c r="C29" s="4">
        <v>9668.1360000000004</v>
      </c>
      <c r="D29" s="4"/>
      <c r="E29" s="4"/>
      <c r="F29" s="4"/>
    </row>
    <row r="30" spans="1:6" x14ac:dyDescent="0.2">
      <c r="A30" s="3" t="s">
        <v>28</v>
      </c>
      <c r="B30" s="4">
        <v>7003.0320000000002</v>
      </c>
      <c r="C30" s="4">
        <v>8436.82</v>
      </c>
      <c r="D30" s="4"/>
      <c r="E30" s="4"/>
      <c r="F30" s="4"/>
    </row>
    <row r="31" spans="1:6" x14ac:dyDescent="0.2">
      <c r="A31" s="3" t="s">
        <v>29</v>
      </c>
      <c r="B31" s="4">
        <v>10899.564</v>
      </c>
      <c r="C31" s="4">
        <v>9113.232</v>
      </c>
      <c r="D31" s="4"/>
      <c r="E31" s="4"/>
      <c r="F31" s="4"/>
    </row>
    <row r="32" spans="1:6" x14ac:dyDescent="0.2">
      <c r="A32" s="3" t="s">
        <v>30</v>
      </c>
      <c r="B32" s="4">
        <v>7461.0919999999996</v>
      </c>
      <c r="C32" s="4">
        <v>8071.6289999999999</v>
      </c>
      <c r="D32" s="4"/>
      <c r="E32" s="4"/>
      <c r="F32" s="4"/>
    </row>
    <row r="33" spans="1:6" x14ac:dyDescent="0.2">
      <c r="A33" s="3" t="s">
        <v>31</v>
      </c>
      <c r="B33" s="4">
        <v>12917.156999999999</v>
      </c>
      <c r="C33" s="4">
        <v>10322.252</v>
      </c>
      <c r="D33" s="4"/>
      <c r="E33" s="4"/>
      <c r="F33" s="4"/>
    </row>
    <row r="34" spans="1:6" x14ac:dyDescent="0.2">
      <c r="A34" s="3" t="s">
        <v>32</v>
      </c>
      <c r="B34" s="4">
        <v>5233.0630000000001</v>
      </c>
      <c r="C34" s="4">
        <v>5333.6409999999996</v>
      </c>
      <c r="D34" s="4"/>
      <c r="E34" s="4"/>
      <c r="F34" s="4"/>
    </row>
    <row r="35" spans="1:6" x14ac:dyDescent="0.2">
      <c r="A35" s="3" t="s">
        <v>33</v>
      </c>
      <c r="B35" s="4">
        <v>5157.8140000000003</v>
      </c>
      <c r="C35" s="4">
        <v>4874.8710000000001</v>
      </c>
      <c r="D35" s="4"/>
      <c r="E35" s="4"/>
      <c r="F35" s="4"/>
    </row>
    <row r="36" spans="1:6" x14ac:dyDescent="0.2">
      <c r="A36" s="3" t="s">
        <v>34</v>
      </c>
      <c r="B36" s="4">
        <v>6202.39</v>
      </c>
      <c r="C36" s="4">
        <v>5605.8919999999998</v>
      </c>
      <c r="D36" s="4"/>
      <c r="E36" s="4"/>
      <c r="F36" s="4"/>
    </row>
    <row r="37" spans="1:6" x14ac:dyDescent="0.2">
      <c r="A37" s="3" t="s">
        <v>35</v>
      </c>
      <c r="B37" s="4">
        <v>6840.3379999999997</v>
      </c>
      <c r="C37" s="4">
        <v>6147.5349999999999</v>
      </c>
      <c r="D37" s="4"/>
      <c r="E37" s="4"/>
      <c r="F37" s="4"/>
    </row>
    <row r="38" spans="1:6" x14ac:dyDescent="0.2">
      <c r="A38" s="3" t="s">
        <v>36</v>
      </c>
      <c r="B38" s="4">
        <v>5905.9049999999997</v>
      </c>
      <c r="C38" s="4">
        <v>6761.04</v>
      </c>
      <c r="D38" s="4"/>
      <c r="E38" s="4"/>
      <c r="F38" s="4"/>
    </row>
    <row r="39" spans="1:6" x14ac:dyDescent="0.2">
      <c r="A39" s="3" t="s">
        <v>37</v>
      </c>
      <c r="B39" s="4">
        <v>5055.2579999999998</v>
      </c>
      <c r="C39" s="4">
        <v>5732.2269999999999</v>
      </c>
      <c r="D39" s="4"/>
      <c r="E39" s="4"/>
      <c r="F39" s="4"/>
    </row>
    <row r="40" spans="1:6" x14ac:dyDescent="0.2">
      <c r="A40" s="3" t="s">
        <v>38</v>
      </c>
      <c r="B40" s="4">
        <v>8601.4889999999996</v>
      </c>
      <c r="C40" s="4">
        <v>8741.4</v>
      </c>
      <c r="D40" s="4"/>
      <c r="E40" s="4"/>
      <c r="F40" s="4"/>
    </row>
    <row r="41" spans="1:6" x14ac:dyDescent="0.2">
      <c r="A41" s="3" t="s">
        <v>39</v>
      </c>
      <c r="B41" s="4">
        <v>4877.567</v>
      </c>
      <c r="C41" s="4">
        <v>6981.2879999999996</v>
      </c>
      <c r="D41" s="4"/>
      <c r="E41" s="4"/>
      <c r="F41" s="4"/>
    </row>
    <row r="42" spans="1:6" x14ac:dyDescent="0.2">
      <c r="A42" s="3" t="s">
        <v>40</v>
      </c>
      <c r="B42" s="4">
        <v>6672.5510000000004</v>
      </c>
      <c r="C42" s="4">
        <v>6711.4160000000002</v>
      </c>
      <c r="D42" s="4"/>
      <c r="E42" s="4"/>
      <c r="F42" s="4"/>
    </row>
    <row r="43" spans="1:6" x14ac:dyDescent="0.2">
      <c r="A43" s="3" t="s">
        <v>41</v>
      </c>
      <c r="B43" s="4">
        <v>9619.0300000000007</v>
      </c>
      <c r="C43" s="4">
        <v>8756.2669999999998</v>
      </c>
      <c r="D43" s="4"/>
      <c r="E43" s="4"/>
      <c r="F43" s="4"/>
    </row>
    <row r="44" spans="1:6" x14ac:dyDescent="0.2">
      <c r="A44" s="3" t="s">
        <v>42</v>
      </c>
      <c r="B44" s="4">
        <v>7302.9219999999996</v>
      </c>
      <c r="C44" s="4">
        <v>6739.875</v>
      </c>
      <c r="D44" s="4"/>
      <c r="E44" s="4"/>
      <c r="F44" s="4"/>
    </row>
    <row r="45" spans="1:6" x14ac:dyDescent="0.2">
      <c r="A45" s="3" t="s">
        <v>43</v>
      </c>
      <c r="B45" s="4">
        <v>7676.57</v>
      </c>
      <c r="C45" s="4">
        <v>10485.689</v>
      </c>
      <c r="D45" s="4"/>
      <c r="E45" s="4"/>
      <c r="F45" s="4"/>
    </row>
    <row r="46" spans="1:6" x14ac:dyDescent="0.2">
      <c r="A46" s="3" t="s">
        <v>44</v>
      </c>
      <c r="B46" s="4">
        <v>4467.835</v>
      </c>
      <c r="C46" s="4">
        <v>4173.8770000000004</v>
      </c>
      <c r="D46" s="4"/>
      <c r="E46" s="4"/>
      <c r="F46" s="4"/>
    </row>
    <row r="47" spans="1:6" x14ac:dyDescent="0.2">
      <c r="A47" s="3" t="s">
        <v>45</v>
      </c>
      <c r="B47" s="4">
        <v>3492.41</v>
      </c>
      <c r="C47" s="4">
        <v>3669.232</v>
      </c>
      <c r="D47" s="4"/>
      <c r="E47" s="4"/>
      <c r="F47" s="4"/>
    </row>
    <row r="48" spans="1:6" x14ac:dyDescent="0.2">
      <c r="A48" s="3" t="s">
        <v>46</v>
      </c>
      <c r="B48" s="4">
        <v>5340.1480000000001</v>
      </c>
      <c r="C48" s="4">
        <v>4492.8810000000003</v>
      </c>
      <c r="D48" s="4"/>
      <c r="E48" s="4"/>
      <c r="F48" s="4"/>
    </row>
    <row r="49" spans="1:6" x14ac:dyDescent="0.2">
      <c r="A49" s="3" t="s">
        <v>47</v>
      </c>
      <c r="B49" s="4">
        <v>5268.3239999999996</v>
      </c>
      <c r="C49" s="4">
        <v>5263.7340000000004</v>
      </c>
      <c r="D49" s="4"/>
      <c r="E49" s="4"/>
      <c r="F49" s="4"/>
    </row>
    <row r="50" spans="1:6" x14ac:dyDescent="0.2">
      <c r="A50" s="3" t="s">
        <v>48</v>
      </c>
      <c r="B50" s="4">
        <v>5327.0829999999996</v>
      </c>
      <c r="C50" s="4">
        <v>4795.268</v>
      </c>
      <c r="D50" s="4"/>
      <c r="E50" s="4"/>
      <c r="F50" s="4"/>
    </row>
    <row r="51" spans="1:6" x14ac:dyDescent="0.2">
      <c r="A51" s="3" t="s">
        <v>49</v>
      </c>
      <c r="B51" s="4">
        <v>5044.84</v>
      </c>
      <c r="C51" s="4">
        <v>4118.9440000000004</v>
      </c>
      <c r="D51" s="4"/>
      <c r="E51" s="4"/>
      <c r="F51" s="4"/>
    </row>
    <row r="52" spans="1:6" x14ac:dyDescent="0.2">
      <c r="A52" s="3" t="s">
        <v>50</v>
      </c>
      <c r="B52" s="4">
        <v>5205.2460000000001</v>
      </c>
      <c r="C52" s="4">
        <v>6844.47</v>
      </c>
      <c r="D52" s="4"/>
      <c r="E52" s="4"/>
      <c r="F52" s="4"/>
    </row>
    <row r="53" spans="1:6" x14ac:dyDescent="0.2">
      <c r="A53" s="3" t="s">
        <v>56</v>
      </c>
      <c r="B53" s="4"/>
      <c r="C53" s="4"/>
      <c r="D53" s="4">
        <v>4873.2349999999997</v>
      </c>
      <c r="E53" s="4">
        <v>2685.5140000000001</v>
      </c>
      <c r="F53" s="4">
        <v>7060.9570000000003</v>
      </c>
    </row>
    <row r="54" spans="1:6" x14ac:dyDescent="0.2">
      <c r="A54" s="3" t="s">
        <v>57</v>
      </c>
      <c r="B54" s="4"/>
      <c r="C54" s="4"/>
      <c r="D54" s="4">
        <v>5613.2020000000002</v>
      </c>
      <c r="E54" s="4">
        <v>3426.402</v>
      </c>
      <c r="F54" s="4">
        <v>7800.0020000000004</v>
      </c>
    </row>
    <row r="55" spans="1:6" x14ac:dyDescent="0.2">
      <c r="A55" s="3" t="s">
        <v>58</v>
      </c>
      <c r="B55" s="4"/>
      <c r="C55" s="4"/>
      <c r="D55" s="4">
        <v>7573.3239999999996</v>
      </c>
      <c r="E55" s="4">
        <v>5391.9589999999998</v>
      </c>
      <c r="F55" s="4">
        <v>9754.6890000000003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79"/>
  <sheetViews>
    <sheetView workbookViewId="0">
      <selection activeCell="W22" sqref="W22"/>
    </sheetView>
  </sheetViews>
  <sheetFormatPr baseColWidth="10" defaultColWidth="8.83203125" defaultRowHeight="15" x14ac:dyDescent="0.2"/>
  <cols>
    <col min="1" max="1" width="18" customWidth="1"/>
    <col min="2" max="6" width="12" customWidth="1"/>
  </cols>
  <sheetData>
    <row r="1" spans="1:6" ht="19" x14ac:dyDescent="0.25">
      <c r="A1" s="1" t="s">
        <v>105</v>
      </c>
    </row>
    <row r="2" spans="1:6" x14ac:dyDescent="0.2">
      <c r="A2" t="s">
        <v>106</v>
      </c>
    </row>
    <row r="4" spans="1:6" x14ac:dyDescent="0.2">
      <c r="A4" s="2" t="s">
        <v>107</v>
      </c>
      <c r="B4" s="2" t="s">
        <v>108</v>
      </c>
      <c r="C4" s="2" t="s">
        <v>109</v>
      </c>
      <c r="D4" s="2" t="s">
        <v>110</v>
      </c>
      <c r="E4" s="2" t="s">
        <v>111</v>
      </c>
      <c r="F4" s="2" t="s">
        <v>112</v>
      </c>
    </row>
    <row r="5" spans="1:6" x14ac:dyDescent="0.2">
      <c r="A5" s="3" t="s">
        <v>113</v>
      </c>
      <c r="B5" s="8">
        <v>1840.12</v>
      </c>
      <c r="C5" s="8">
        <v>2340.69</v>
      </c>
      <c r="D5" s="8">
        <v>34.64</v>
      </c>
      <c r="E5" s="8">
        <v>30.84</v>
      </c>
      <c r="F5" s="8">
        <v>69.16</v>
      </c>
    </row>
    <row r="6" spans="1:6" x14ac:dyDescent="0.2">
      <c r="A6" s="3" t="s">
        <v>114</v>
      </c>
      <c r="B6" s="8">
        <v>1398.16</v>
      </c>
      <c r="C6" s="8">
        <v>2017.5</v>
      </c>
      <c r="D6" s="8">
        <v>24.08</v>
      </c>
      <c r="E6" s="8">
        <v>23.43</v>
      </c>
      <c r="F6" s="8">
        <v>76.569999999999993</v>
      </c>
    </row>
    <row r="7" spans="1:6" x14ac:dyDescent="0.2">
      <c r="A7" s="3" t="s">
        <v>115</v>
      </c>
      <c r="B7" s="8">
        <v>2199.4499999999998</v>
      </c>
      <c r="C7" s="8">
        <v>2500.7199999999998</v>
      </c>
      <c r="D7" s="8">
        <v>45.11</v>
      </c>
      <c r="E7" s="8">
        <v>36.86</v>
      </c>
      <c r="F7" s="8">
        <v>63.14</v>
      </c>
    </row>
    <row r="8" spans="1:6" x14ac:dyDescent="0.2">
      <c r="A8" s="3" t="s">
        <v>116</v>
      </c>
      <c r="B8" s="8">
        <v>1552.42</v>
      </c>
      <c r="C8" s="8">
        <v>2096.35</v>
      </c>
      <c r="D8" s="8">
        <v>31.04</v>
      </c>
      <c r="E8" s="8">
        <v>26.02</v>
      </c>
      <c r="F8" s="8">
        <v>73.98</v>
      </c>
    </row>
    <row r="9" spans="1:6" x14ac:dyDescent="0.2">
      <c r="A9" s="3" t="s">
        <v>117</v>
      </c>
      <c r="B9" s="8">
        <v>1444.63</v>
      </c>
      <c r="C9" s="8">
        <v>1723.61</v>
      </c>
      <c r="D9" s="8">
        <v>28.84</v>
      </c>
      <c r="E9" s="8">
        <v>24.21</v>
      </c>
      <c r="F9" s="8">
        <v>75.790000000000006</v>
      </c>
    </row>
    <row r="10" spans="1:6" x14ac:dyDescent="0.2">
      <c r="A10" s="3" t="s">
        <v>118</v>
      </c>
      <c r="B10" s="8">
        <v>1479.82</v>
      </c>
      <c r="C10" s="8">
        <v>2016.79</v>
      </c>
      <c r="D10" s="8">
        <v>29.1</v>
      </c>
      <c r="E10" s="8">
        <v>24.8</v>
      </c>
      <c r="F10" s="8">
        <v>75.2</v>
      </c>
    </row>
    <row r="11" spans="1:6" x14ac:dyDescent="0.2">
      <c r="A11" s="3" t="s">
        <v>119</v>
      </c>
      <c r="B11" s="8">
        <v>1723.91</v>
      </c>
      <c r="C11" s="8">
        <v>2067.16</v>
      </c>
      <c r="D11" s="8">
        <v>28.87</v>
      </c>
      <c r="E11" s="8">
        <v>28.89</v>
      </c>
      <c r="F11" s="8">
        <v>71.11</v>
      </c>
    </row>
    <row r="12" spans="1:6" x14ac:dyDescent="0.2">
      <c r="A12" s="3" t="s">
        <v>120</v>
      </c>
      <c r="B12" s="8">
        <v>914.95</v>
      </c>
      <c r="C12" s="8">
        <v>1410.84</v>
      </c>
      <c r="D12" s="8">
        <v>15.25</v>
      </c>
      <c r="E12" s="8">
        <v>15.33</v>
      </c>
      <c r="F12" s="8">
        <v>84.67</v>
      </c>
    </row>
    <row r="13" spans="1:6" x14ac:dyDescent="0.2">
      <c r="A13" s="9" t="s">
        <v>121</v>
      </c>
      <c r="B13" s="8">
        <v>902.19</v>
      </c>
      <c r="C13" s="8">
        <v>1394.67</v>
      </c>
      <c r="D13" s="10">
        <v>14.77</v>
      </c>
      <c r="E13" s="10">
        <v>15.12</v>
      </c>
      <c r="F13" s="10">
        <v>84.88</v>
      </c>
    </row>
    <row r="14" spans="1:6" x14ac:dyDescent="0.2">
      <c r="A14" s="3" t="s">
        <v>122</v>
      </c>
      <c r="B14" s="8">
        <v>1176.67</v>
      </c>
      <c r="C14" s="8">
        <v>1608.11</v>
      </c>
      <c r="D14" s="8">
        <v>20.93</v>
      </c>
      <c r="E14" s="8">
        <v>19.72</v>
      </c>
      <c r="F14" s="8">
        <v>80.28</v>
      </c>
    </row>
    <row r="17" spans="1:4" x14ac:dyDescent="0.2">
      <c r="A17" s="5" t="s">
        <v>123</v>
      </c>
    </row>
    <row r="19" spans="1:4" x14ac:dyDescent="0.2">
      <c r="A19" s="2" t="s">
        <v>107</v>
      </c>
      <c r="B19" s="2" t="s">
        <v>56</v>
      </c>
      <c r="C19" s="2" t="s">
        <v>57</v>
      </c>
      <c r="D19" s="2" t="s">
        <v>58</v>
      </c>
    </row>
    <row r="20" spans="1:4" x14ac:dyDescent="0.2">
      <c r="A20" s="3" t="s">
        <v>113</v>
      </c>
      <c r="B20" s="4">
        <f>'1_Simplistas'!C53</f>
        <v>5205.2460000000001</v>
      </c>
      <c r="C20" s="4">
        <f>'1_Simplistas'!C54</f>
        <v>5205.2460000000001</v>
      </c>
      <c r="D20" s="4">
        <f>'1_Simplistas'!C55</f>
        <v>5205.2460000000001</v>
      </c>
    </row>
    <row r="21" spans="1:4" x14ac:dyDescent="0.2">
      <c r="A21" s="3" t="s">
        <v>114</v>
      </c>
      <c r="B21" s="4">
        <f>'1_Simplistas'!D53</f>
        <v>4877.567</v>
      </c>
      <c r="C21" s="4">
        <f>'1_Simplistas'!D54</f>
        <v>6672.5510000000004</v>
      </c>
      <c r="D21" s="4">
        <f>'1_Simplistas'!D55</f>
        <v>9619.0300000000007</v>
      </c>
    </row>
    <row r="22" spans="1:4" x14ac:dyDescent="0.2">
      <c r="A22" s="3" t="s">
        <v>115</v>
      </c>
      <c r="B22" s="4">
        <f>'2_Tendencia_Central'!C53</f>
        <v>7455.0553541666677</v>
      </c>
      <c r="C22" s="4">
        <f>'2_Tendencia_Central'!C54</f>
        <v>7455.0553541666677</v>
      </c>
      <c r="D22" s="4">
        <f>'2_Tendencia_Central'!C55</f>
        <v>7455.0553541666677</v>
      </c>
    </row>
    <row r="23" spans="1:4" x14ac:dyDescent="0.2">
      <c r="A23" s="3" t="s">
        <v>116</v>
      </c>
      <c r="B23" s="4">
        <f>'2_Tendencia_Central'!D53</f>
        <v>5192.389666666666</v>
      </c>
      <c r="C23" s="4">
        <f>'2_Tendencia_Central'!D54</f>
        <v>5192.389666666666</v>
      </c>
      <c r="D23" s="4">
        <f>'2_Tendencia_Central'!D55</f>
        <v>5192.389666666666</v>
      </c>
    </row>
    <row r="24" spans="1:4" x14ac:dyDescent="0.2">
      <c r="A24" s="3" t="s">
        <v>117</v>
      </c>
      <c r="B24" s="4">
        <f>'2_Tendencia_Central'!E53</f>
        <v>5857.8771666666662</v>
      </c>
      <c r="C24" s="4">
        <f>'2_Tendencia_Central'!E54</f>
        <v>5857.8771666666662</v>
      </c>
      <c r="D24" s="4">
        <f>'2_Tendencia_Central'!E55</f>
        <v>5857.8771666666662</v>
      </c>
    </row>
    <row r="25" spans="1:4" x14ac:dyDescent="0.2">
      <c r="A25" s="3" t="s">
        <v>118</v>
      </c>
      <c r="B25" s="4">
        <f>'3_Suavizacion'!C53</f>
        <v>5175.175066410382</v>
      </c>
      <c r="C25" s="4">
        <f>'3_Suavizacion'!C54</f>
        <v>5175.175066410382</v>
      </c>
      <c r="D25" s="4">
        <f>'3_Suavizacion'!C55</f>
        <v>5175.175066410382</v>
      </c>
    </row>
    <row r="26" spans="1:4" x14ac:dyDescent="0.2">
      <c r="A26" s="3" t="s">
        <v>119</v>
      </c>
      <c r="B26" s="4">
        <f>'3_Suavizacion'!D53</f>
        <v>4175.2201229194925</v>
      </c>
      <c r="C26" s="4">
        <f>'3_Suavizacion'!D54</f>
        <v>3844.3946499194926</v>
      </c>
      <c r="D26" s="4">
        <f>'3_Suavizacion'!D55</f>
        <v>3513.5691769194923</v>
      </c>
    </row>
    <row r="27" spans="1:4" x14ac:dyDescent="0.2">
      <c r="A27" s="3" t="s">
        <v>120</v>
      </c>
      <c r="B27" s="4">
        <f>'3_Suavizacion'!E53</f>
        <v>4097.8386354793984</v>
      </c>
      <c r="C27" s="4">
        <f>'3_Suavizacion'!E54</f>
        <v>5338.0773849679244</v>
      </c>
      <c r="D27" s="4">
        <f>'3_Suavizacion'!E55</f>
        <v>8211.6209294467153</v>
      </c>
    </row>
    <row r="28" spans="1:4" x14ac:dyDescent="0.2">
      <c r="A28" s="3" t="s">
        <v>121</v>
      </c>
      <c r="B28" s="4">
        <f>'4_Regresion'!F52</f>
        <v>5215.9441999999999</v>
      </c>
      <c r="C28" s="4">
        <f>'4_Regresion'!F53</f>
        <v>6046.5583999999999</v>
      </c>
      <c r="D28" s="4">
        <f>'4_Regresion'!F54</f>
        <v>8093.7443999999996</v>
      </c>
    </row>
    <row r="29" spans="1:4" x14ac:dyDescent="0.2">
      <c r="A29" s="3" t="s">
        <v>122</v>
      </c>
      <c r="B29" s="4">
        <f>'5_ARIMA'!D53</f>
        <v>4873.2349999999997</v>
      </c>
      <c r="C29" s="4">
        <f>'5_ARIMA'!D54</f>
        <v>5613.2020000000002</v>
      </c>
      <c r="D29" s="4">
        <f>'5_ARIMA'!D55</f>
        <v>7573.3239999999996</v>
      </c>
    </row>
    <row r="32" spans="1:4" x14ac:dyDescent="0.2">
      <c r="A32" s="5" t="s">
        <v>124</v>
      </c>
    </row>
    <row r="33" spans="1:12" x14ac:dyDescent="0.2">
      <c r="A33" s="2" t="s">
        <v>1</v>
      </c>
      <c r="B33" s="2" t="s">
        <v>53</v>
      </c>
      <c r="C33" s="2" t="s">
        <v>113</v>
      </c>
      <c r="D33" s="2" t="s">
        <v>114</v>
      </c>
      <c r="E33" s="2" t="s">
        <v>115</v>
      </c>
      <c r="F33" s="2" t="s">
        <v>116</v>
      </c>
      <c r="G33" s="2" t="s">
        <v>117</v>
      </c>
      <c r="H33" s="2" t="s">
        <v>118</v>
      </c>
      <c r="I33" s="2" t="s">
        <v>119</v>
      </c>
      <c r="J33" s="2" t="s">
        <v>120</v>
      </c>
      <c r="K33" s="2" t="s">
        <v>121</v>
      </c>
      <c r="L33" s="2" t="s">
        <v>122</v>
      </c>
    </row>
    <row r="34" spans="1:12" x14ac:dyDescent="0.2">
      <c r="A34" s="3" t="s">
        <v>39</v>
      </c>
      <c r="B34" s="4">
        <v>4877.567</v>
      </c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x14ac:dyDescent="0.2">
      <c r="A35" s="3" t="s">
        <v>40</v>
      </c>
      <c r="B35" s="4">
        <v>6672.5510000000004</v>
      </c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x14ac:dyDescent="0.2">
      <c r="A36" s="3" t="s">
        <v>41</v>
      </c>
      <c r="B36" s="4">
        <v>9619.0300000000007</v>
      </c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x14ac:dyDescent="0.2">
      <c r="A37" s="3" t="s">
        <v>42</v>
      </c>
      <c r="B37" s="4">
        <v>7302.9219999999996</v>
      </c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x14ac:dyDescent="0.2">
      <c r="A38" s="3" t="s">
        <v>43</v>
      </c>
      <c r="B38" s="4">
        <v>7676.57</v>
      </c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x14ac:dyDescent="0.2">
      <c r="A39" s="3" t="s">
        <v>44</v>
      </c>
      <c r="B39" s="4">
        <v>4467.835</v>
      </c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x14ac:dyDescent="0.2">
      <c r="A40" s="3" t="s">
        <v>45</v>
      </c>
      <c r="B40" s="4">
        <v>3492.41</v>
      </c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x14ac:dyDescent="0.2">
      <c r="A41" s="3" t="s">
        <v>46</v>
      </c>
      <c r="B41" s="4">
        <v>5340.1480000000001</v>
      </c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x14ac:dyDescent="0.2">
      <c r="A42" s="3" t="s">
        <v>47</v>
      </c>
      <c r="B42" s="4">
        <v>5268.3239999999996</v>
      </c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x14ac:dyDescent="0.2">
      <c r="A43" s="3" t="s">
        <v>48</v>
      </c>
      <c r="B43" s="4">
        <v>5327.0829999999996</v>
      </c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x14ac:dyDescent="0.2">
      <c r="A44" s="3" t="s">
        <v>49</v>
      </c>
      <c r="B44" s="4">
        <v>5044.84</v>
      </c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x14ac:dyDescent="0.2">
      <c r="A45" s="3" t="s">
        <v>50</v>
      </c>
      <c r="B45" s="4">
        <v>5205.2460000000001</v>
      </c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x14ac:dyDescent="0.2">
      <c r="A46" s="3" t="s">
        <v>56</v>
      </c>
      <c r="B46" s="3"/>
      <c r="C46" s="4">
        <f>'1_Simplistas'!C53</f>
        <v>5205.2460000000001</v>
      </c>
      <c r="D46" s="4">
        <f>'1_Simplistas'!D53</f>
        <v>4877.567</v>
      </c>
      <c r="E46" s="4">
        <f>'2_Tendencia_Central'!C53</f>
        <v>7455.0553541666677</v>
      </c>
      <c r="F46" s="4">
        <f>'2_Tendencia_Central'!D53</f>
        <v>5192.389666666666</v>
      </c>
      <c r="G46" s="4">
        <f>'2_Tendencia_Central'!E53</f>
        <v>5857.8771666666662</v>
      </c>
      <c r="H46" s="4">
        <f>'3_Suavizacion'!C53</f>
        <v>5175.175066410382</v>
      </c>
      <c r="I46" s="4">
        <f>'3_Suavizacion'!D53</f>
        <v>4175.2201229194925</v>
      </c>
      <c r="J46" s="4">
        <f>'3_Suavizacion'!E53</f>
        <v>4097.8386354793984</v>
      </c>
      <c r="K46" s="4">
        <f>'4_Regresion'!F52</f>
        <v>5215.9441999999999</v>
      </c>
      <c r="L46" s="4">
        <f>'5_ARIMA'!D53</f>
        <v>4873.2349999999997</v>
      </c>
    </row>
    <row r="47" spans="1:12" x14ac:dyDescent="0.2">
      <c r="A47" s="3" t="s">
        <v>57</v>
      </c>
      <c r="B47" s="3"/>
      <c r="C47" s="4">
        <f>'1_Simplistas'!C54</f>
        <v>5205.2460000000001</v>
      </c>
      <c r="D47" s="4">
        <f>'1_Simplistas'!D54</f>
        <v>6672.5510000000004</v>
      </c>
      <c r="E47" s="4">
        <f>'2_Tendencia_Central'!C54</f>
        <v>7455.0553541666677</v>
      </c>
      <c r="F47" s="4">
        <f>'2_Tendencia_Central'!D54</f>
        <v>5192.389666666666</v>
      </c>
      <c r="G47" s="4">
        <f>'2_Tendencia_Central'!E54</f>
        <v>5857.8771666666662</v>
      </c>
      <c r="H47" s="4">
        <f>'3_Suavizacion'!C54</f>
        <v>5175.175066410382</v>
      </c>
      <c r="I47" s="4">
        <f>'3_Suavizacion'!D54</f>
        <v>3844.3946499194926</v>
      </c>
      <c r="J47" s="4">
        <f>'3_Suavizacion'!E54</f>
        <v>5338.0773849679244</v>
      </c>
      <c r="K47" s="4">
        <f>'4_Regresion'!F53</f>
        <v>6046.5583999999999</v>
      </c>
      <c r="L47" s="4">
        <f>'5_ARIMA'!D54</f>
        <v>5613.2020000000002</v>
      </c>
    </row>
    <row r="48" spans="1:12" x14ac:dyDescent="0.2">
      <c r="A48" s="3" t="s">
        <v>58</v>
      </c>
      <c r="B48" s="3"/>
      <c r="C48" s="4">
        <f>'1_Simplistas'!C55</f>
        <v>5205.2460000000001</v>
      </c>
      <c r="D48" s="4">
        <f>'1_Simplistas'!D55</f>
        <v>9619.0300000000007</v>
      </c>
      <c r="E48" s="4">
        <f>'2_Tendencia_Central'!C55</f>
        <v>7455.0553541666677</v>
      </c>
      <c r="F48" s="4">
        <f>'2_Tendencia_Central'!D55</f>
        <v>5192.389666666666</v>
      </c>
      <c r="G48" s="4">
        <f>'2_Tendencia_Central'!E55</f>
        <v>5857.8771666666662</v>
      </c>
      <c r="H48" s="4">
        <f>'3_Suavizacion'!C55</f>
        <v>5175.175066410382</v>
      </c>
      <c r="I48" s="4">
        <f>'3_Suavizacion'!D55</f>
        <v>3513.5691769194923</v>
      </c>
      <c r="J48" s="4">
        <f>'3_Suavizacion'!E55</f>
        <v>8211.6209294467153</v>
      </c>
      <c r="K48" s="4">
        <f>'4_Regresion'!F54</f>
        <v>8093.7443999999996</v>
      </c>
      <c r="L48" s="4">
        <f>'5_ARIMA'!D55</f>
        <v>7573.3239999999996</v>
      </c>
    </row>
    <row r="79" spans="1:1" x14ac:dyDescent="0.2">
      <c r="A79" s="5" t="s">
        <v>125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Datos</vt:lpstr>
      <vt:lpstr>1_Simplistas</vt:lpstr>
      <vt:lpstr>2_Tendencia_Central</vt:lpstr>
      <vt:lpstr>3_Suavizacion</vt:lpstr>
      <vt:lpstr>4_Regresion</vt:lpstr>
      <vt:lpstr>5_ARIMA</vt:lpstr>
      <vt:lpstr>Resumen_Comparativo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Yanier Sebastian Parra Perea</cp:lastModifiedBy>
  <dcterms:created xsi:type="dcterms:W3CDTF">2026-09-05T16:13:05Z</dcterms:created>
  <dcterms:modified xsi:type="dcterms:W3CDTF">2026-09-05T22:32:41Z</dcterms:modified>
</cp:coreProperties>
</file>