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ebas204/Desktop/Planificador de Fabricacion/"/>
    </mc:Choice>
  </mc:AlternateContent>
  <xr:revisionPtr revIDLastSave="0" documentId="13_ncr:1_{58F337EC-5941-FD4D-8BC9-2ECDE6CF8963}" xr6:coauthVersionLast="47" xr6:coauthVersionMax="47" xr10:uidLastSave="{00000000-0000-0000-0000-000000000000}"/>
  <bookViews>
    <workbookView xWindow="0" yWindow="1600" windowWidth="29400" windowHeight="16760" firstSheet="3" activeTab="11" xr2:uid="{00000000-000D-0000-FFFF-FFFF00000000}"/>
  </bookViews>
  <sheets>
    <sheet name="00_Portada" sheetId="1" r:id="rId1"/>
    <sheet name="01_Supuestos" sheetId="2" r:id="rId2"/>
    <sheet name="02_Datos_Maestros" sheetId="3" r:id="rId3"/>
    <sheet name="03_Demanda_ABC" sheetId="4" r:id="rId4"/>
    <sheet name="04_Matriz_Cambios" sheetId="5" r:id="rId5"/>
    <sheet name="05_Modelo_Solver" sheetId="6" r:id="rId6"/>
    <sheet name="06_Secuencia_Optima" sheetId="7" r:id="rId7"/>
    <sheet name="07_Calendario" sheetId="8" r:id="rId8"/>
    <sheet name="08_PLAN_MAESTRO" sheetId="9" r:id="rId9"/>
    <sheet name="09_Detalle_Turnos" sheetId="10" r:id="rId10"/>
    <sheet name="10_KPIs" sheetId="11" r:id="rId11"/>
    <sheet name="11_Sensibilidad" sheetId="12" r:id="rId12"/>
    <sheet name="12_Comparativa" sheetId="13" r:id="rId13"/>
    <sheet name="13_Info_Adicional"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3" l="1"/>
  <c r="B22" i="13"/>
  <c r="E21" i="13"/>
  <c r="F22" i="13" s="1"/>
  <c r="B21" i="13"/>
  <c r="C22" i="13" s="1"/>
  <c r="E20" i="13"/>
  <c r="F21" i="13" s="1"/>
  <c r="B20" i="13"/>
  <c r="C21" i="13" s="1"/>
  <c r="E19" i="13"/>
  <c r="F20" i="13" s="1"/>
  <c r="B19" i="13"/>
  <c r="E18" i="13"/>
  <c r="F19" i="13" s="1"/>
  <c r="B18" i="13"/>
  <c r="C19" i="13" s="1"/>
  <c r="E17" i="13"/>
  <c r="F18" i="13" s="1"/>
  <c r="B17" i="13"/>
  <c r="E16" i="13"/>
  <c r="B16" i="13"/>
  <c r="C17" i="13" s="1"/>
  <c r="E15" i="13"/>
  <c r="F16" i="13" s="1"/>
  <c r="B15" i="13"/>
  <c r="C16" i="13" s="1"/>
  <c r="E14" i="13"/>
  <c r="F15" i="13" s="1"/>
  <c r="B14" i="13"/>
  <c r="E13" i="13"/>
  <c r="F14" i="13" s="1"/>
  <c r="B13" i="13"/>
  <c r="C14" i="13" s="1"/>
  <c r="E12" i="13"/>
  <c r="B12" i="13"/>
  <c r="E11" i="13"/>
  <c r="B11" i="13"/>
  <c r="C12" i="13" s="1"/>
  <c r="L10" i="13"/>
  <c r="M10" i="13" s="1"/>
  <c r="E10" i="13"/>
  <c r="F11" i="13" s="1"/>
  <c r="B10" i="13"/>
  <c r="E9" i="13"/>
  <c r="F10" i="13" s="1"/>
  <c r="B9" i="13"/>
  <c r="C10" i="13" s="1"/>
  <c r="E8" i="13"/>
  <c r="F9" i="13" s="1"/>
  <c r="B8" i="13"/>
  <c r="E7" i="13"/>
  <c r="B7" i="13"/>
  <c r="C8" i="13" s="1"/>
  <c r="F6" i="13"/>
  <c r="E6" i="13"/>
  <c r="C6" i="13"/>
  <c r="B6" i="13"/>
  <c r="Q6" i="13" s="1"/>
  <c r="L20" i="12"/>
  <c r="L16" i="12"/>
  <c r="L15" i="12"/>
  <c r="D7" i="12"/>
  <c r="C27" i="11"/>
  <c r="CA5" i="9"/>
  <c r="D82" i="8"/>
  <c r="D82" i="10" s="1"/>
  <c r="C82" i="8"/>
  <c r="C82" i="10" s="1"/>
  <c r="B82" i="8"/>
  <c r="B82" i="10" s="1"/>
  <c r="D81" i="8"/>
  <c r="D81" i="10" s="1"/>
  <c r="B81" i="8"/>
  <c r="D80" i="8"/>
  <c r="D80" i="10" s="1"/>
  <c r="B80" i="8"/>
  <c r="D79" i="8"/>
  <c r="C79" i="8"/>
  <c r="C79" i="10" s="1"/>
  <c r="B79" i="8"/>
  <c r="B79" i="10" s="1"/>
  <c r="E78" i="8"/>
  <c r="D78" i="8"/>
  <c r="D78" i="10" s="1"/>
  <c r="C78" i="8"/>
  <c r="C78" i="10" s="1"/>
  <c r="B78" i="8"/>
  <c r="B78" i="10" s="1"/>
  <c r="D77" i="8"/>
  <c r="D77" i="10" s="1"/>
  <c r="B77" i="8"/>
  <c r="E76" i="8"/>
  <c r="D76" i="8"/>
  <c r="D76" i="10" s="1"/>
  <c r="B76" i="8"/>
  <c r="E75" i="8"/>
  <c r="D75" i="8"/>
  <c r="D75" i="10" s="1"/>
  <c r="C75" i="8"/>
  <c r="C75" i="10" s="1"/>
  <c r="B75" i="8"/>
  <c r="B75" i="10" s="1"/>
  <c r="E74" i="8"/>
  <c r="D74" i="8"/>
  <c r="D74" i="10" s="1"/>
  <c r="C74" i="8"/>
  <c r="B74" i="8"/>
  <c r="D73" i="8"/>
  <c r="D73" i="10" s="1"/>
  <c r="B73" i="8"/>
  <c r="D72" i="8"/>
  <c r="D72" i="10" s="1"/>
  <c r="B72" i="8"/>
  <c r="B72" i="10" s="1"/>
  <c r="D71" i="8"/>
  <c r="D71" i="10" s="1"/>
  <c r="B71" i="8"/>
  <c r="D70" i="8"/>
  <c r="D70" i="10" s="1"/>
  <c r="B70" i="8"/>
  <c r="B70" i="10" s="1"/>
  <c r="D69" i="8"/>
  <c r="D69" i="10" s="1"/>
  <c r="B69" i="8"/>
  <c r="D68" i="8"/>
  <c r="D68" i="10" s="1"/>
  <c r="C68" i="8"/>
  <c r="B68" i="8"/>
  <c r="BO5" i="9" s="1"/>
  <c r="D67" i="8"/>
  <c r="D67" i="10" s="1"/>
  <c r="B67" i="8"/>
  <c r="E66" i="8"/>
  <c r="D66" i="8"/>
  <c r="D66" i="10" s="1"/>
  <c r="C66" i="8"/>
  <c r="C66" i="10" s="1"/>
  <c r="B66" i="8"/>
  <c r="B66" i="10" s="1"/>
  <c r="D65" i="8"/>
  <c r="D65" i="10" s="1"/>
  <c r="B65" i="8"/>
  <c r="D64" i="8"/>
  <c r="D64" i="10" s="1"/>
  <c r="B64" i="8"/>
  <c r="B64" i="10" s="1"/>
  <c r="D63" i="8"/>
  <c r="B63" i="8"/>
  <c r="D62" i="8"/>
  <c r="D62" i="10" s="1"/>
  <c r="B62" i="8"/>
  <c r="D61" i="8"/>
  <c r="D61" i="10" s="1"/>
  <c r="B61" i="8"/>
  <c r="B61" i="10" s="1"/>
  <c r="D60" i="8"/>
  <c r="D60" i="10" s="1"/>
  <c r="B60" i="8"/>
  <c r="D59" i="8"/>
  <c r="D59" i="10" s="1"/>
  <c r="B59" i="8"/>
  <c r="D58" i="8"/>
  <c r="C58" i="8"/>
  <c r="C58" i="10" s="1"/>
  <c r="B58" i="8"/>
  <c r="B58" i="10" s="1"/>
  <c r="D57" i="8"/>
  <c r="D57" i="10" s="1"/>
  <c r="B57" i="8"/>
  <c r="E56" i="8"/>
  <c r="D56" i="8"/>
  <c r="D56" i="10" s="1"/>
  <c r="C56" i="8"/>
  <c r="B56" i="8"/>
  <c r="B56" i="10" s="1"/>
  <c r="D55" i="8"/>
  <c r="D55" i="10" s="1"/>
  <c r="B55" i="8"/>
  <c r="D54" i="8"/>
  <c r="D54" i="10" s="1"/>
  <c r="B54" i="8"/>
  <c r="B54" i="10" s="1"/>
  <c r="D53" i="8"/>
  <c r="B53" i="8"/>
  <c r="D52" i="8"/>
  <c r="D52" i="10" s="1"/>
  <c r="B52" i="8"/>
  <c r="B52" i="10" s="1"/>
  <c r="D51" i="8"/>
  <c r="D51" i="10" s="1"/>
  <c r="B51" i="8"/>
  <c r="D50" i="8"/>
  <c r="D50" i="10" s="1"/>
  <c r="B50" i="8"/>
  <c r="D49" i="8"/>
  <c r="D49" i="10" s="1"/>
  <c r="B49" i="8"/>
  <c r="D48" i="8"/>
  <c r="C48" i="8"/>
  <c r="C48" i="10" s="1"/>
  <c r="B48" i="8"/>
  <c r="B48" i="10" s="1"/>
  <c r="E47" i="8"/>
  <c r="D47" i="8"/>
  <c r="D47" i="10" s="1"/>
  <c r="C47" i="8"/>
  <c r="C47" i="10" s="1"/>
  <c r="B47" i="8"/>
  <c r="D46" i="8"/>
  <c r="D46" i="10" s="1"/>
  <c r="C46" i="8"/>
  <c r="C46" i="10" s="1"/>
  <c r="B46" i="8"/>
  <c r="B46" i="10" s="1"/>
  <c r="D45" i="8"/>
  <c r="B45" i="8"/>
  <c r="D44" i="8"/>
  <c r="D44" i="10" s="1"/>
  <c r="B44" i="8"/>
  <c r="D43" i="8"/>
  <c r="D43" i="10" s="1"/>
  <c r="B43" i="8"/>
  <c r="E42" i="8"/>
  <c r="D42" i="8"/>
  <c r="D42" i="10" s="1"/>
  <c r="C42" i="8"/>
  <c r="C42" i="10" s="1"/>
  <c r="B42" i="8"/>
  <c r="B42" i="10" s="1"/>
  <c r="D41" i="8"/>
  <c r="D41" i="10" s="1"/>
  <c r="B41" i="8"/>
  <c r="D40" i="8"/>
  <c r="D40" i="10" s="1"/>
  <c r="B40" i="8"/>
  <c r="D39" i="8"/>
  <c r="D39" i="10" s="1"/>
  <c r="B39" i="8"/>
  <c r="E38" i="8"/>
  <c r="D38" i="8"/>
  <c r="D38" i="10" s="1"/>
  <c r="C38" i="8"/>
  <c r="B38" i="8"/>
  <c r="D37" i="8"/>
  <c r="D37" i="10" s="1"/>
  <c r="B37" i="8"/>
  <c r="D36" i="8"/>
  <c r="D36" i="10" s="1"/>
  <c r="B36" i="8"/>
  <c r="D35" i="8"/>
  <c r="D35" i="10" s="1"/>
  <c r="B35" i="8"/>
  <c r="E34" i="8"/>
  <c r="D34" i="8"/>
  <c r="D34" i="10" s="1"/>
  <c r="B34" i="8"/>
  <c r="B34" i="10" s="1"/>
  <c r="D33" i="8"/>
  <c r="D33" i="10" s="1"/>
  <c r="B33" i="8"/>
  <c r="E32" i="8"/>
  <c r="D32" i="8"/>
  <c r="D32" i="10" s="1"/>
  <c r="C32" i="8"/>
  <c r="B32" i="8"/>
  <c r="D31" i="8"/>
  <c r="D31" i="10" s="1"/>
  <c r="B31" i="8"/>
  <c r="E30" i="8"/>
  <c r="D30" i="8"/>
  <c r="D30" i="10" s="1"/>
  <c r="C30" i="8"/>
  <c r="C30" i="10" s="1"/>
  <c r="B30" i="8"/>
  <c r="B30" i="10" s="1"/>
  <c r="D29" i="8"/>
  <c r="D29" i="10" s="1"/>
  <c r="B29" i="8"/>
  <c r="D28" i="8"/>
  <c r="D28" i="10" s="1"/>
  <c r="C28" i="8"/>
  <c r="C28" i="10" s="1"/>
  <c r="B28" i="8"/>
  <c r="B28" i="10" s="1"/>
  <c r="D27" i="8"/>
  <c r="B27" i="8"/>
  <c r="B27" i="10" s="1"/>
  <c r="E26" i="8"/>
  <c r="D26" i="8"/>
  <c r="D26" i="10" s="1"/>
  <c r="C26" i="8"/>
  <c r="B26" i="8"/>
  <c r="B26" i="10" s="1"/>
  <c r="D25" i="8"/>
  <c r="D25" i="10" s="1"/>
  <c r="B25" i="8"/>
  <c r="E24" i="8"/>
  <c r="D24" i="8"/>
  <c r="D24" i="10" s="1"/>
  <c r="C24" i="8"/>
  <c r="C24" i="10" s="1"/>
  <c r="B24" i="8"/>
  <c r="B24" i="10" s="1"/>
  <c r="D23" i="8"/>
  <c r="D23" i="10" s="1"/>
  <c r="B23" i="8"/>
  <c r="E22" i="8"/>
  <c r="D22" i="8"/>
  <c r="D22" i="10" s="1"/>
  <c r="C22" i="8"/>
  <c r="C22" i="10" s="1"/>
  <c r="B22" i="8"/>
  <c r="B22" i="10" s="1"/>
  <c r="D21" i="8"/>
  <c r="D21" i="10" s="1"/>
  <c r="B21" i="8"/>
  <c r="E20" i="8"/>
  <c r="D20" i="8"/>
  <c r="D20" i="10" s="1"/>
  <c r="C20" i="8"/>
  <c r="B20" i="8"/>
  <c r="D19" i="8"/>
  <c r="D19" i="10" s="1"/>
  <c r="B19" i="8"/>
  <c r="D18" i="8"/>
  <c r="D18" i="10" s="1"/>
  <c r="C18" i="8"/>
  <c r="C18" i="10" s="1"/>
  <c r="B18" i="8"/>
  <c r="D17" i="8"/>
  <c r="B17" i="8"/>
  <c r="E16" i="8"/>
  <c r="D16" i="8"/>
  <c r="D16" i="10" s="1"/>
  <c r="C16" i="8"/>
  <c r="C16" i="10" s="1"/>
  <c r="B16" i="8"/>
  <c r="B16" i="10" s="1"/>
  <c r="D15" i="8"/>
  <c r="D15" i="10" s="1"/>
  <c r="B15" i="8"/>
  <c r="E14" i="8"/>
  <c r="D14" i="8"/>
  <c r="D14" i="10" s="1"/>
  <c r="C14" i="8"/>
  <c r="B14" i="8"/>
  <c r="D13" i="8"/>
  <c r="D13" i="10" s="1"/>
  <c r="B13" i="8"/>
  <c r="E12" i="8"/>
  <c r="D12" i="8"/>
  <c r="D12" i="10" s="1"/>
  <c r="B12" i="8"/>
  <c r="B12" i="10" s="1"/>
  <c r="D11" i="8"/>
  <c r="D11" i="10" s="1"/>
  <c r="B11" i="8"/>
  <c r="E10" i="8"/>
  <c r="D10" i="8"/>
  <c r="D10" i="10" s="1"/>
  <c r="C10" i="8"/>
  <c r="C10" i="10" s="1"/>
  <c r="B10" i="8"/>
  <c r="B10" i="10" s="1"/>
  <c r="E9" i="8"/>
  <c r="D9" i="8"/>
  <c r="D9" i="10" s="1"/>
  <c r="B9" i="8"/>
  <c r="B9" i="10" s="1"/>
  <c r="D8" i="8"/>
  <c r="D8" i="10" s="1"/>
  <c r="C8" i="8"/>
  <c r="B8" i="8"/>
  <c r="D7" i="8"/>
  <c r="D7" i="10" s="1"/>
  <c r="B7" i="8"/>
  <c r="B7" i="10" s="1"/>
  <c r="D6" i="8"/>
  <c r="D6" i="10" s="1"/>
  <c r="B6" i="8"/>
  <c r="D5" i="8"/>
  <c r="D5" i="10" s="1"/>
  <c r="B5" i="8"/>
  <c r="T42" i="7"/>
  <c r="K42" i="7"/>
  <c r="T41" i="7"/>
  <c r="K41" i="7"/>
  <c r="T40" i="7"/>
  <c r="K40" i="7"/>
  <c r="T39" i="7"/>
  <c r="K39" i="7"/>
  <c r="T38" i="7"/>
  <c r="K38" i="7"/>
  <c r="T37" i="7"/>
  <c r="K37" i="7"/>
  <c r="T36" i="7"/>
  <c r="K36" i="7"/>
  <c r="T35" i="7"/>
  <c r="K35" i="7"/>
  <c r="U34" i="7"/>
  <c r="T34" i="7"/>
  <c r="K34" i="7"/>
  <c r="T33" i="7"/>
  <c r="K33" i="7"/>
  <c r="T32" i="7"/>
  <c r="K32" i="7"/>
  <c r="T31" i="7"/>
  <c r="K31" i="7"/>
  <c r="T30" i="7"/>
  <c r="K30" i="7"/>
  <c r="T29" i="7"/>
  <c r="K29" i="7"/>
  <c r="U28" i="7"/>
  <c r="T28" i="7"/>
  <c r="K28" i="7"/>
  <c r="T27" i="7"/>
  <c r="K27" i="7"/>
  <c r="T26" i="7"/>
  <c r="K26" i="7"/>
  <c r="L26" i="7" s="1"/>
  <c r="F26" i="7"/>
  <c r="I6" i="13" s="1"/>
  <c r="E26" i="7"/>
  <c r="D22" i="7"/>
  <c r="B22" i="7"/>
  <c r="C21" i="7"/>
  <c r="B21" i="7"/>
  <c r="D21" i="7" s="1"/>
  <c r="B20" i="7"/>
  <c r="D19" i="7"/>
  <c r="C19" i="7"/>
  <c r="B19" i="7"/>
  <c r="C18" i="7"/>
  <c r="B18" i="7"/>
  <c r="D18" i="7" s="1"/>
  <c r="B17" i="7"/>
  <c r="C16" i="7"/>
  <c r="B16" i="7"/>
  <c r="D16" i="7" s="1"/>
  <c r="E15" i="7"/>
  <c r="D15" i="7"/>
  <c r="B15" i="7"/>
  <c r="C15" i="7" s="1"/>
  <c r="C488" i="6"/>
  <c r="E487" i="6"/>
  <c r="C487" i="6"/>
  <c r="C486" i="6"/>
  <c r="E485" i="6"/>
  <c r="C485" i="6"/>
  <c r="C484" i="6"/>
  <c r="C483" i="6"/>
  <c r="C482" i="6"/>
  <c r="E481" i="6"/>
  <c r="C481" i="6"/>
  <c r="C480" i="6"/>
  <c r="C479" i="6"/>
  <c r="C478" i="6"/>
  <c r="E477" i="6"/>
  <c r="C477" i="6"/>
  <c r="E476" i="6"/>
  <c r="C476" i="6"/>
  <c r="C475" i="6"/>
  <c r="C474" i="6"/>
  <c r="E473" i="6"/>
  <c r="C473" i="6"/>
  <c r="C472" i="6"/>
  <c r="D471" i="6"/>
  <c r="C471" i="6"/>
  <c r="D470" i="6"/>
  <c r="C470" i="6"/>
  <c r="D469" i="6"/>
  <c r="C469" i="6"/>
  <c r="C468" i="6"/>
  <c r="D467" i="6"/>
  <c r="C467" i="6"/>
  <c r="D466" i="6"/>
  <c r="C466" i="6"/>
  <c r="C465" i="6"/>
  <c r="C464" i="6"/>
  <c r="E463" i="6"/>
  <c r="C463" i="6"/>
  <c r="D462" i="6"/>
  <c r="C462" i="6"/>
  <c r="C461" i="6"/>
  <c r="E460" i="6"/>
  <c r="D460" i="6"/>
  <c r="C460" i="6"/>
  <c r="E459" i="6"/>
  <c r="D459" i="6"/>
  <c r="C459" i="6"/>
  <c r="D458" i="6"/>
  <c r="C458" i="6"/>
  <c r="C457" i="6"/>
  <c r="E456" i="6"/>
  <c r="C456" i="6"/>
  <c r="C455" i="6"/>
  <c r="C454" i="6"/>
  <c r="C453" i="6"/>
  <c r="C452" i="6"/>
  <c r="E451" i="6"/>
  <c r="C451" i="6"/>
  <c r="C450" i="6"/>
  <c r="C449" i="6"/>
  <c r="C448" i="6"/>
  <c r="E447" i="6"/>
  <c r="C447" i="6"/>
  <c r="C446" i="6"/>
  <c r="C445" i="6"/>
  <c r="C444" i="6"/>
  <c r="E443" i="6"/>
  <c r="C443" i="6"/>
  <c r="C442" i="6"/>
  <c r="E441" i="6"/>
  <c r="C441" i="6"/>
  <c r="C440" i="6"/>
  <c r="E439" i="6"/>
  <c r="C439" i="6"/>
  <c r="C438" i="6"/>
  <c r="D437" i="6"/>
  <c r="C437" i="6"/>
  <c r="C436" i="6"/>
  <c r="C435" i="6"/>
  <c r="D434" i="6"/>
  <c r="C434" i="6"/>
  <c r="D433" i="6"/>
  <c r="C433" i="6"/>
  <c r="C432" i="6"/>
  <c r="E431" i="6"/>
  <c r="C431" i="6"/>
  <c r="E430" i="6"/>
  <c r="D430" i="6"/>
  <c r="C430" i="6"/>
  <c r="C429" i="6"/>
  <c r="D428" i="6"/>
  <c r="C428" i="6"/>
  <c r="D427" i="6"/>
  <c r="C427" i="6"/>
  <c r="E426" i="6"/>
  <c r="D426" i="6"/>
  <c r="C426" i="6"/>
  <c r="C425" i="6"/>
  <c r="E424" i="6"/>
  <c r="D424" i="6"/>
  <c r="C424" i="6"/>
  <c r="D423" i="6"/>
  <c r="C423" i="6"/>
  <c r="E422" i="6"/>
  <c r="C422" i="6"/>
  <c r="D421" i="6"/>
  <c r="C421" i="6"/>
  <c r="C420" i="6"/>
  <c r="E419" i="6"/>
  <c r="C419" i="6"/>
  <c r="C418" i="6"/>
  <c r="E417" i="6"/>
  <c r="D417" i="6"/>
  <c r="C417" i="6"/>
  <c r="C416" i="6"/>
  <c r="C415" i="6"/>
  <c r="C414" i="6"/>
  <c r="E413" i="6"/>
  <c r="C413" i="6"/>
  <c r="E412" i="6"/>
  <c r="D412" i="6"/>
  <c r="C412" i="6"/>
  <c r="C411" i="6"/>
  <c r="C410" i="6"/>
  <c r="E409" i="6"/>
  <c r="C409" i="6"/>
  <c r="C408" i="6"/>
  <c r="C407" i="6"/>
  <c r="C406" i="6"/>
  <c r="E405" i="6"/>
  <c r="C405" i="6"/>
  <c r="C404" i="6"/>
  <c r="C403" i="6"/>
  <c r="C402" i="6"/>
  <c r="C401" i="6"/>
  <c r="C400" i="6"/>
  <c r="C399" i="6"/>
  <c r="C398" i="6"/>
  <c r="E397" i="6"/>
  <c r="C397" i="6"/>
  <c r="C396" i="6"/>
  <c r="C395" i="6"/>
  <c r="C394" i="6"/>
  <c r="C393" i="6"/>
  <c r="E392" i="6"/>
  <c r="C392" i="6"/>
  <c r="E391" i="6"/>
  <c r="D391" i="6"/>
  <c r="C391" i="6"/>
  <c r="E390" i="6"/>
  <c r="C390" i="6"/>
  <c r="C389" i="6"/>
  <c r="C388" i="6"/>
  <c r="C387" i="6"/>
  <c r="C386" i="6"/>
  <c r="E385" i="6"/>
  <c r="C385" i="6"/>
  <c r="C384" i="6"/>
  <c r="E383" i="6"/>
  <c r="D383" i="6"/>
  <c r="C383" i="6"/>
  <c r="C382" i="6"/>
  <c r="C381" i="6"/>
  <c r="E380" i="6"/>
  <c r="C380" i="6"/>
  <c r="C379" i="6"/>
  <c r="C378" i="6"/>
  <c r="D377" i="6"/>
  <c r="C377" i="6"/>
  <c r="E376" i="6"/>
  <c r="D376" i="6"/>
  <c r="C376" i="6"/>
  <c r="E375" i="6"/>
  <c r="C375" i="6"/>
  <c r="C374" i="6"/>
  <c r="E373" i="6"/>
  <c r="D373" i="6"/>
  <c r="C373" i="6"/>
  <c r="C372" i="6"/>
  <c r="E371" i="6"/>
  <c r="C371" i="6"/>
  <c r="C370" i="6"/>
  <c r="D369" i="6"/>
  <c r="C369" i="6"/>
  <c r="C368" i="6"/>
  <c r="D367" i="6"/>
  <c r="C367" i="6"/>
  <c r="E366" i="6"/>
  <c r="C366" i="6"/>
  <c r="C365" i="6"/>
  <c r="C364" i="6"/>
  <c r="E363" i="6"/>
  <c r="C363" i="6"/>
  <c r="E362" i="6"/>
  <c r="C362" i="6"/>
  <c r="C361" i="6"/>
  <c r="D360" i="6"/>
  <c r="C360" i="6"/>
  <c r="E359" i="6"/>
  <c r="D359" i="6"/>
  <c r="C359" i="6"/>
  <c r="D358" i="6"/>
  <c r="C358" i="6"/>
  <c r="C357" i="6"/>
  <c r="E356" i="6"/>
  <c r="C356" i="6"/>
  <c r="C355" i="6"/>
  <c r="E354" i="6"/>
  <c r="C354" i="6"/>
  <c r="D353" i="6"/>
  <c r="C353" i="6"/>
  <c r="C352" i="6"/>
  <c r="E351" i="6"/>
  <c r="C351" i="6"/>
  <c r="C350" i="6"/>
  <c r="E349" i="6"/>
  <c r="C349" i="6"/>
  <c r="D348" i="6"/>
  <c r="C348" i="6"/>
  <c r="C347" i="6"/>
  <c r="C346" i="6"/>
  <c r="C345" i="6"/>
  <c r="E344" i="6"/>
  <c r="D344" i="6"/>
  <c r="C344" i="6"/>
  <c r="C343" i="6"/>
  <c r="E342" i="6"/>
  <c r="C342" i="6"/>
  <c r="E341" i="6"/>
  <c r="C341" i="6"/>
  <c r="E340" i="6"/>
  <c r="C340" i="6"/>
  <c r="D339" i="6"/>
  <c r="C339" i="6"/>
  <c r="C338" i="6"/>
  <c r="E337" i="6"/>
  <c r="C337" i="6"/>
  <c r="C336" i="6"/>
  <c r="C335" i="6"/>
  <c r="E334" i="6"/>
  <c r="C334" i="6"/>
  <c r="E333" i="6"/>
  <c r="C333" i="6"/>
  <c r="C332" i="6"/>
  <c r="C331" i="6"/>
  <c r="C330" i="6"/>
  <c r="C329" i="6"/>
  <c r="C328" i="6"/>
  <c r="C327" i="6"/>
  <c r="C326" i="6"/>
  <c r="C325" i="6"/>
  <c r="E324" i="6"/>
  <c r="C324" i="6"/>
  <c r="C323" i="6"/>
  <c r="E322" i="6"/>
  <c r="C322" i="6"/>
  <c r="C321" i="6"/>
  <c r="E320" i="6"/>
  <c r="C320" i="6"/>
  <c r="C319" i="6"/>
  <c r="C318" i="6"/>
  <c r="E317" i="6"/>
  <c r="D317" i="6"/>
  <c r="C317" i="6"/>
  <c r="D316" i="6"/>
  <c r="C316" i="6"/>
  <c r="E315" i="6"/>
  <c r="C315" i="6"/>
  <c r="C314" i="6"/>
  <c r="C313" i="6"/>
  <c r="E312" i="6"/>
  <c r="D312" i="6"/>
  <c r="C312" i="6"/>
  <c r="C311" i="6"/>
  <c r="E310" i="6"/>
  <c r="C310" i="6"/>
  <c r="C309" i="6"/>
  <c r="D308" i="6"/>
  <c r="C308" i="6"/>
  <c r="E307" i="6"/>
  <c r="C307" i="6"/>
  <c r="E306" i="6"/>
  <c r="C306" i="6"/>
  <c r="E305" i="6"/>
  <c r="C305" i="6"/>
  <c r="C304" i="6"/>
  <c r="E303" i="6"/>
  <c r="D303" i="6"/>
  <c r="C303" i="6"/>
  <c r="D302" i="6"/>
  <c r="C302" i="6"/>
  <c r="D301" i="6"/>
  <c r="C301" i="6"/>
  <c r="D300" i="6"/>
  <c r="C300" i="6"/>
  <c r="D299" i="6"/>
  <c r="C299" i="6"/>
  <c r="D298" i="6"/>
  <c r="C298" i="6"/>
  <c r="D297" i="6"/>
  <c r="C297" i="6"/>
  <c r="D296" i="6"/>
  <c r="C296" i="6"/>
  <c r="C295" i="6"/>
  <c r="E294" i="6"/>
  <c r="D294" i="6"/>
  <c r="C294" i="6"/>
  <c r="D293" i="6"/>
  <c r="C293" i="6"/>
  <c r="D292" i="6"/>
  <c r="C292" i="6"/>
  <c r="E291" i="6"/>
  <c r="D291" i="6"/>
  <c r="C291" i="6"/>
  <c r="E290" i="6"/>
  <c r="D290" i="6"/>
  <c r="C290" i="6"/>
  <c r="D289" i="6"/>
  <c r="C289" i="6"/>
  <c r="D288" i="6"/>
  <c r="C288" i="6"/>
  <c r="D287" i="6"/>
  <c r="C287" i="6"/>
  <c r="E286" i="6"/>
  <c r="D286" i="6"/>
  <c r="C286" i="6"/>
  <c r="C285" i="6"/>
  <c r="C284" i="6"/>
  <c r="E283" i="6"/>
  <c r="D283" i="6"/>
  <c r="C283" i="6"/>
  <c r="C282" i="6"/>
  <c r="E281" i="6"/>
  <c r="C281" i="6"/>
  <c r="C280" i="6"/>
  <c r="C279" i="6"/>
  <c r="D278" i="6"/>
  <c r="C278" i="6"/>
  <c r="D277" i="6"/>
  <c r="C277" i="6"/>
  <c r="E276" i="6"/>
  <c r="D276" i="6"/>
  <c r="C276" i="6"/>
  <c r="C275" i="6"/>
  <c r="C274" i="6"/>
  <c r="E273" i="6"/>
  <c r="D273" i="6"/>
  <c r="C273" i="6"/>
  <c r="E272" i="6"/>
  <c r="C272" i="6"/>
  <c r="C271" i="6"/>
  <c r="C270" i="6"/>
  <c r="E269" i="6"/>
  <c r="D269" i="6"/>
  <c r="C269" i="6"/>
  <c r="C268" i="6"/>
  <c r="E267" i="6"/>
  <c r="D267" i="6"/>
  <c r="C267" i="6"/>
  <c r="E266" i="6"/>
  <c r="D266" i="6"/>
  <c r="C266" i="6"/>
  <c r="C265" i="6"/>
  <c r="C264" i="6"/>
  <c r="E263" i="6"/>
  <c r="D263" i="6"/>
  <c r="C263" i="6"/>
  <c r="D262" i="6"/>
  <c r="C262" i="6"/>
  <c r="C261" i="6"/>
  <c r="E260" i="6"/>
  <c r="D260" i="6"/>
  <c r="C260" i="6"/>
  <c r="E259" i="6"/>
  <c r="D259" i="6"/>
  <c r="C259" i="6"/>
  <c r="D258" i="6"/>
  <c r="C258" i="6"/>
  <c r="C257" i="6"/>
  <c r="E256" i="6"/>
  <c r="D256" i="6"/>
  <c r="C256" i="6"/>
  <c r="E255" i="6"/>
  <c r="C255" i="6"/>
  <c r="E254" i="6"/>
  <c r="C254" i="6"/>
  <c r="D253" i="6"/>
  <c r="C253" i="6"/>
  <c r="E252" i="6"/>
  <c r="D252" i="6"/>
  <c r="C252" i="6"/>
  <c r="D251" i="6"/>
  <c r="C251" i="6"/>
  <c r="C250" i="6"/>
  <c r="E249" i="6"/>
  <c r="C249" i="6"/>
  <c r="C248" i="6"/>
  <c r="E247" i="6"/>
  <c r="C247" i="6"/>
  <c r="C246" i="6"/>
  <c r="C245" i="6"/>
  <c r="E244" i="6"/>
  <c r="C244" i="6"/>
  <c r="C243" i="6"/>
  <c r="C242" i="6"/>
  <c r="C241" i="6"/>
  <c r="E240" i="6"/>
  <c r="C240" i="6"/>
  <c r="E239" i="6"/>
  <c r="C239" i="6"/>
  <c r="C238" i="6"/>
  <c r="E237" i="6"/>
  <c r="C237" i="6"/>
  <c r="C236" i="6"/>
  <c r="E235" i="6"/>
  <c r="C235" i="6"/>
  <c r="C234" i="6"/>
  <c r="D233" i="6"/>
  <c r="C233" i="6"/>
  <c r="D232" i="6"/>
  <c r="C232" i="6"/>
  <c r="E231" i="6"/>
  <c r="D231" i="6"/>
  <c r="C231" i="6"/>
  <c r="E230" i="6"/>
  <c r="D230" i="6"/>
  <c r="C230" i="6"/>
  <c r="D229" i="6"/>
  <c r="C229" i="6"/>
  <c r="D228" i="6"/>
  <c r="C228" i="6"/>
  <c r="E227" i="6"/>
  <c r="D227" i="6"/>
  <c r="C227" i="6"/>
  <c r="D226" i="6"/>
  <c r="C226" i="6"/>
  <c r="C225" i="6"/>
  <c r="D224" i="6"/>
  <c r="C224" i="6"/>
  <c r="E223" i="6"/>
  <c r="D223" i="6"/>
  <c r="C223" i="6"/>
  <c r="E222" i="6"/>
  <c r="D222" i="6"/>
  <c r="C222" i="6"/>
  <c r="D221" i="6"/>
  <c r="C221" i="6"/>
  <c r="E220" i="6"/>
  <c r="D220" i="6"/>
  <c r="C220" i="6"/>
  <c r="D219" i="6"/>
  <c r="C219" i="6"/>
  <c r="D218" i="6"/>
  <c r="C218" i="6"/>
  <c r="D217" i="6"/>
  <c r="C217" i="6"/>
  <c r="C216" i="6"/>
  <c r="E215" i="6"/>
  <c r="C215" i="6"/>
  <c r="C214" i="6"/>
  <c r="E213" i="6"/>
  <c r="C213" i="6"/>
  <c r="C212" i="6"/>
  <c r="C211" i="6"/>
  <c r="E210" i="6"/>
  <c r="C210" i="6"/>
  <c r="C209" i="6"/>
  <c r="C208" i="6"/>
  <c r="C207" i="6"/>
  <c r="E206" i="6"/>
  <c r="C206" i="6"/>
  <c r="E205" i="6"/>
  <c r="C205" i="6"/>
  <c r="E204" i="6"/>
  <c r="C204" i="6"/>
  <c r="C203" i="6"/>
  <c r="C202" i="6"/>
  <c r="E201" i="6"/>
  <c r="C201" i="6"/>
  <c r="C200" i="6"/>
  <c r="E51" i="6"/>
  <c r="F51" i="6" s="1"/>
  <c r="L48" i="6"/>
  <c r="K48" i="6"/>
  <c r="J48" i="6"/>
  <c r="I48" i="6"/>
  <c r="H48" i="6"/>
  <c r="G48" i="6"/>
  <c r="F48" i="6"/>
  <c r="M47" i="6"/>
  <c r="K47" i="6"/>
  <c r="J47" i="6"/>
  <c r="I47" i="6"/>
  <c r="H47" i="6"/>
  <c r="G47" i="6"/>
  <c r="F47" i="6"/>
  <c r="M46" i="6"/>
  <c r="L46" i="6"/>
  <c r="J46" i="6"/>
  <c r="I46" i="6"/>
  <c r="H46" i="6"/>
  <c r="G46" i="6"/>
  <c r="F46" i="6"/>
  <c r="M45" i="6"/>
  <c r="L45" i="6"/>
  <c r="K45" i="6"/>
  <c r="I45" i="6"/>
  <c r="H45" i="6"/>
  <c r="G45" i="6"/>
  <c r="F45" i="6"/>
  <c r="M44" i="6"/>
  <c r="L44" i="6"/>
  <c r="K44" i="6"/>
  <c r="J44" i="6"/>
  <c r="H44" i="6"/>
  <c r="G44" i="6"/>
  <c r="F44" i="6"/>
  <c r="M43" i="6"/>
  <c r="L43" i="6"/>
  <c r="K43" i="6"/>
  <c r="J43" i="6"/>
  <c r="I43" i="6"/>
  <c r="G43" i="6"/>
  <c r="F43" i="6"/>
  <c r="M42" i="6"/>
  <c r="L42" i="6"/>
  <c r="K42" i="6"/>
  <c r="J42" i="6"/>
  <c r="I42" i="6"/>
  <c r="H42" i="6"/>
  <c r="F42" i="6"/>
  <c r="M41" i="6"/>
  <c r="L41" i="6"/>
  <c r="K41" i="6"/>
  <c r="J41" i="6"/>
  <c r="I41" i="6"/>
  <c r="H41" i="6"/>
  <c r="G41" i="6"/>
  <c r="N35" i="6"/>
  <c r="M35" i="6"/>
  <c r="L35" i="6"/>
  <c r="K35" i="6"/>
  <c r="J35" i="6"/>
  <c r="I35" i="6"/>
  <c r="H35" i="6"/>
  <c r="G35" i="6"/>
  <c r="F35" i="6"/>
  <c r="O34" i="6"/>
  <c r="O33" i="6"/>
  <c r="O32" i="6"/>
  <c r="O31" i="6"/>
  <c r="O30" i="6"/>
  <c r="O29" i="6"/>
  <c r="O28" i="6"/>
  <c r="O27" i="6"/>
  <c r="O26" i="6"/>
  <c r="C22" i="4"/>
  <c r="E21" i="4"/>
  <c r="D21" i="4"/>
  <c r="B21" i="4"/>
  <c r="F20" i="4"/>
  <c r="E20" i="4"/>
  <c r="D20" i="4"/>
  <c r="B20" i="4"/>
  <c r="D19" i="4"/>
  <c r="E19" i="4" s="1"/>
  <c r="B19" i="4"/>
  <c r="E18" i="4"/>
  <c r="F18" i="4" s="1"/>
  <c r="D18" i="4"/>
  <c r="B18" i="4"/>
  <c r="D17" i="4"/>
  <c r="E17" i="4" s="1"/>
  <c r="F17" i="4" s="1"/>
  <c r="B17" i="4"/>
  <c r="D16" i="4"/>
  <c r="E16" i="4" s="1"/>
  <c r="B16" i="4"/>
  <c r="D15" i="4"/>
  <c r="E15" i="4" s="1"/>
  <c r="F15" i="4" s="1"/>
  <c r="B15" i="4"/>
  <c r="D14" i="4"/>
  <c r="E14" i="4" s="1"/>
  <c r="B14" i="4"/>
  <c r="D13" i="4"/>
  <c r="E13" i="4" s="1"/>
  <c r="B13" i="4"/>
  <c r="D12" i="4"/>
  <c r="E12" i="4" s="1"/>
  <c r="B12" i="4"/>
  <c r="D11" i="4"/>
  <c r="E11" i="4" s="1"/>
  <c r="B11" i="4"/>
  <c r="E10" i="4"/>
  <c r="D10" i="4"/>
  <c r="B10" i="4"/>
  <c r="D9" i="4"/>
  <c r="E9" i="4" s="1"/>
  <c r="B9" i="4"/>
  <c r="D8" i="4"/>
  <c r="E8" i="4" s="1"/>
  <c r="B8" i="4"/>
  <c r="D7" i="4"/>
  <c r="E7" i="4" s="1"/>
  <c r="B7" i="4"/>
  <c r="E6" i="4"/>
  <c r="D6" i="4"/>
  <c r="B6" i="4"/>
  <c r="E5" i="4"/>
  <c r="D5" i="4"/>
  <c r="B5" i="4"/>
  <c r="I21" i="3"/>
  <c r="D284" i="6" s="1"/>
  <c r="H21" i="3"/>
  <c r="G21" i="3"/>
  <c r="I20" i="3"/>
  <c r="E358" i="6" s="1"/>
  <c r="H20" i="3"/>
  <c r="G20" i="3"/>
  <c r="I19" i="3"/>
  <c r="H19" i="3"/>
  <c r="G19" i="3"/>
  <c r="I18" i="3"/>
  <c r="D346" i="6" s="1"/>
  <c r="H18" i="3"/>
  <c r="G18" i="3"/>
  <c r="I17" i="3"/>
  <c r="D436" i="6" s="1"/>
  <c r="H17" i="3"/>
  <c r="G17" i="3"/>
  <c r="I16" i="3"/>
  <c r="D442" i="6" s="1"/>
  <c r="H16" i="3"/>
  <c r="G16" i="3"/>
  <c r="I15" i="3"/>
  <c r="H15" i="3"/>
  <c r="G15" i="3"/>
  <c r="I14" i="3"/>
  <c r="D310" i="6" s="1"/>
  <c r="H14" i="3"/>
  <c r="G14" i="3"/>
  <c r="I13" i="3"/>
  <c r="H13" i="3"/>
  <c r="G13" i="3"/>
  <c r="I12" i="3"/>
  <c r="E406" i="6" s="1"/>
  <c r="H12" i="3"/>
  <c r="G12" i="3"/>
  <c r="I11" i="3"/>
  <c r="E209" i="6" s="1"/>
  <c r="H11" i="3"/>
  <c r="G11" i="3"/>
  <c r="I10" i="3"/>
  <c r="E388" i="6" s="1"/>
  <c r="H10" i="3"/>
  <c r="G10" i="3"/>
  <c r="I9" i="3"/>
  <c r="E455" i="6" s="1"/>
  <c r="H9" i="3"/>
  <c r="G9" i="3"/>
  <c r="I8" i="3"/>
  <c r="E465" i="6" s="1"/>
  <c r="H8" i="3"/>
  <c r="G8" i="3"/>
  <c r="I7" i="3"/>
  <c r="D468" i="6" s="1"/>
  <c r="H7" i="3"/>
  <c r="G7" i="3"/>
  <c r="I6" i="3"/>
  <c r="D476" i="6" s="1"/>
  <c r="H6" i="3"/>
  <c r="G6" i="3"/>
  <c r="I5" i="3"/>
  <c r="H5" i="3"/>
  <c r="G5" i="3"/>
  <c r="G9" i="4" l="1"/>
  <c r="G5" i="4"/>
  <c r="G20" i="4"/>
  <c r="G8" i="4"/>
  <c r="F8" i="4"/>
  <c r="G19" i="4"/>
  <c r="F19" i="4"/>
  <c r="G13" i="4"/>
  <c r="F13" i="4"/>
  <c r="G6" i="4"/>
  <c r="G12" i="4"/>
  <c r="F14" i="4"/>
  <c r="G14" i="4"/>
  <c r="G11" i="4"/>
  <c r="F11" i="4"/>
  <c r="G16" i="4"/>
  <c r="F16" i="4"/>
  <c r="E428" i="6"/>
  <c r="D335" i="6"/>
  <c r="D325" i="6"/>
  <c r="E258" i="6"/>
  <c r="E479" i="6"/>
  <c r="E411" i="6"/>
  <c r="E343" i="6"/>
  <c r="D322" i="6"/>
  <c r="D329" i="6"/>
  <c r="E275" i="6"/>
  <c r="E207" i="6"/>
  <c r="D332" i="6"/>
  <c r="U40" i="7"/>
  <c r="E445" i="6"/>
  <c r="E377" i="6"/>
  <c r="D331" i="6"/>
  <c r="F9" i="4"/>
  <c r="E398" i="6"/>
  <c r="D395" i="6"/>
  <c r="E228" i="6"/>
  <c r="D397" i="6"/>
  <c r="D390" i="6"/>
  <c r="E279" i="6"/>
  <c r="E211" i="6"/>
  <c r="D403" i="6"/>
  <c r="D396" i="6"/>
  <c r="D389" i="6"/>
  <c r="E432" i="6"/>
  <c r="D393" i="6"/>
  <c r="E364" i="6"/>
  <c r="D400" i="6"/>
  <c r="E296" i="6"/>
  <c r="D399" i="6"/>
  <c r="D388" i="6"/>
  <c r="E245" i="6"/>
  <c r="D415" i="6"/>
  <c r="D405" i="6"/>
  <c r="E348" i="6"/>
  <c r="D404" i="6"/>
  <c r="E229" i="6"/>
  <c r="E450" i="6"/>
  <c r="D418" i="6"/>
  <c r="D411" i="6"/>
  <c r="E382" i="6"/>
  <c r="E314" i="6"/>
  <c r="D414" i="6"/>
  <c r="D407" i="6"/>
  <c r="E246" i="6"/>
  <c r="E467" i="6"/>
  <c r="U36" i="7"/>
  <c r="E484" i="6"/>
  <c r="D413" i="6"/>
  <c r="D406" i="6"/>
  <c r="G18" i="4"/>
  <c r="E22" i="4"/>
  <c r="D206" i="6"/>
  <c r="E234" i="6"/>
  <c r="E262" i="6"/>
  <c r="D271" i="6"/>
  <c r="E280" i="6"/>
  <c r="E285" i="6"/>
  <c r="E297" i="6"/>
  <c r="E301" i="6"/>
  <c r="E319" i="6"/>
  <c r="E323" i="6"/>
  <c r="D333" i="6"/>
  <c r="D342" i="6"/>
  <c r="E347" i="6"/>
  <c r="D352" i="6"/>
  <c r="D362" i="6"/>
  <c r="D371" i="6"/>
  <c r="D380" i="6"/>
  <c r="D401" i="6"/>
  <c r="E416" i="6"/>
  <c r="D451" i="6"/>
  <c r="E480" i="6"/>
  <c r="Z26" i="7"/>
  <c r="N26" i="7"/>
  <c r="D328" i="6"/>
  <c r="E401" i="6"/>
  <c r="D441" i="6"/>
  <c r="E466" i="6"/>
  <c r="E367" i="6"/>
  <c r="D17" i="7"/>
  <c r="C17" i="7"/>
  <c r="U26" i="7"/>
  <c r="E338" i="6"/>
  <c r="D245" i="6"/>
  <c r="D235" i="6"/>
  <c r="U33" i="7"/>
  <c r="D247" i="6"/>
  <c r="D240" i="6"/>
  <c r="E236" i="6"/>
  <c r="E457" i="6"/>
  <c r="D243" i="6"/>
  <c r="D236" i="6"/>
  <c r="E389" i="6"/>
  <c r="E321" i="6"/>
  <c r="E253" i="6"/>
  <c r="D250" i="6"/>
  <c r="E474" i="6"/>
  <c r="E270" i="6"/>
  <c r="D249" i="6"/>
  <c r="D238" i="6"/>
  <c r="B21" i="10"/>
  <c r="E21" i="8"/>
  <c r="C21" i="8"/>
  <c r="C21" i="10" s="1"/>
  <c r="E202" i="6"/>
  <c r="E488" i="6"/>
  <c r="D485" i="6"/>
  <c r="D475" i="6"/>
  <c r="E318" i="6"/>
  <c r="U27" i="7"/>
  <c r="D472" i="6"/>
  <c r="E386" i="6"/>
  <c r="D486" i="6"/>
  <c r="D479" i="6"/>
  <c r="E250" i="6"/>
  <c r="D482" i="6"/>
  <c r="E471" i="6"/>
  <c r="E403" i="6"/>
  <c r="D478" i="6"/>
  <c r="D488" i="6"/>
  <c r="D481" i="6"/>
  <c r="E420" i="6"/>
  <c r="E352" i="6"/>
  <c r="E284" i="6"/>
  <c r="E212" i="6"/>
  <c r="D241" i="6"/>
  <c r="D387" i="6"/>
  <c r="E437" i="6"/>
  <c r="D477" i="6"/>
  <c r="F5" i="4"/>
  <c r="D320" i="6"/>
  <c r="D445" i="6"/>
  <c r="E418" i="6"/>
  <c r="E248" i="6"/>
  <c r="U37" i="7"/>
  <c r="E486" i="6"/>
  <c r="D454" i="6"/>
  <c r="D447" i="6"/>
  <c r="D440" i="6"/>
  <c r="D439" i="6"/>
  <c r="D443" i="6"/>
  <c r="E350" i="6"/>
  <c r="E282" i="6"/>
  <c r="E214" i="6"/>
  <c r="D450" i="6"/>
  <c r="D453" i="6"/>
  <c r="D446" i="6"/>
  <c r="E435" i="6"/>
  <c r="E452" i="6"/>
  <c r="D449" i="6"/>
  <c r="D438" i="6"/>
  <c r="E384" i="6"/>
  <c r="D212" i="6"/>
  <c r="E472" i="6"/>
  <c r="G17" i="4"/>
  <c r="D203" i="6"/>
  <c r="D392" i="6"/>
  <c r="D237" i="6"/>
  <c r="D246" i="6"/>
  <c r="E299" i="6"/>
  <c r="D321" i="6"/>
  <c r="E330" i="6"/>
  <c r="E387" i="6"/>
  <c r="D398" i="6"/>
  <c r="D409" i="6"/>
  <c r="D448" i="6"/>
  <c r="D473" i="6"/>
  <c r="D483" i="6"/>
  <c r="B5" i="10"/>
  <c r="E5" i="8"/>
  <c r="F14" i="8" s="1"/>
  <c r="D5" i="9"/>
  <c r="C5" i="8"/>
  <c r="D202" i="6"/>
  <c r="D244" i="6"/>
  <c r="D216" i="6"/>
  <c r="E216" i="6"/>
  <c r="E355" i="6"/>
  <c r="E369" i="6"/>
  <c r="D419" i="6"/>
  <c r="E219" i="6"/>
  <c r="G7" i="4"/>
  <c r="F7" i="4"/>
  <c r="E478" i="6"/>
  <c r="D315" i="6"/>
  <c r="E308" i="6"/>
  <c r="D305" i="6"/>
  <c r="U35" i="7"/>
  <c r="E461" i="6"/>
  <c r="E393" i="6"/>
  <c r="D304" i="6"/>
  <c r="E410" i="6"/>
  <c r="E325" i="6"/>
  <c r="D318" i="6"/>
  <c r="D311" i="6"/>
  <c r="E257" i="6"/>
  <c r="D314" i="6"/>
  <c r="D307" i="6"/>
  <c r="E427" i="6"/>
  <c r="D313" i="6"/>
  <c r="D306" i="6"/>
  <c r="F6" i="4"/>
  <c r="E233" i="6"/>
  <c r="D242" i="6"/>
  <c r="D274" i="6"/>
  <c r="E304" i="6"/>
  <c r="D309" i="6"/>
  <c r="E313" i="6"/>
  <c r="E326" i="6"/>
  <c r="E331" i="6"/>
  <c r="D341" i="6"/>
  <c r="D351" i="6"/>
  <c r="E360" i="6"/>
  <c r="E399" i="6"/>
  <c r="E415" i="6"/>
  <c r="E433" i="6"/>
  <c r="E449" i="6"/>
  <c r="E469" i="6"/>
  <c r="B6" i="10"/>
  <c r="D84" i="8"/>
  <c r="E6" i="8"/>
  <c r="F12" i="8" s="1"/>
  <c r="C6" i="8"/>
  <c r="C6" i="10" s="1"/>
  <c r="B19" i="10"/>
  <c r="C19" i="8"/>
  <c r="C19" i="10" s="1"/>
  <c r="E19" i="8"/>
  <c r="D324" i="6"/>
  <c r="E316" i="6"/>
  <c r="D334" i="6"/>
  <c r="E372" i="6"/>
  <c r="E381" i="6"/>
  <c r="D402" i="6"/>
  <c r="D408" i="6"/>
  <c r="D452" i="6"/>
  <c r="E462" i="6"/>
  <c r="D487" i="6"/>
  <c r="D208" i="6"/>
  <c r="D330" i="6"/>
  <c r="G15" i="4"/>
  <c r="E224" i="6"/>
  <c r="E241" i="6"/>
  <c r="E251" i="6"/>
  <c r="G21" i="4"/>
  <c r="E217" i="6"/>
  <c r="D326" i="6"/>
  <c r="E335" i="6"/>
  <c r="E483" i="6"/>
  <c r="V28" i="7"/>
  <c r="D365" i="6"/>
  <c r="D355" i="6"/>
  <c r="E328" i="6"/>
  <c r="E379" i="6"/>
  <c r="D354" i="6"/>
  <c r="E311" i="6"/>
  <c r="E243" i="6"/>
  <c r="E464" i="6"/>
  <c r="D368" i="6"/>
  <c r="D361" i="6"/>
  <c r="E396" i="6"/>
  <c r="D364" i="6"/>
  <c r="D357" i="6"/>
  <c r="U32" i="7"/>
  <c r="D363" i="6"/>
  <c r="D356" i="6"/>
  <c r="E345" i="6"/>
  <c r="E277" i="6"/>
  <c r="F12" i="4"/>
  <c r="D201" i="6"/>
  <c r="E242" i="6"/>
  <c r="D270" i="6"/>
  <c r="E274" i="6"/>
  <c r="E309" i="6"/>
  <c r="D366" i="6"/>
  <c r="D370" i="6"/>
  <c r="D374" i="6"/>
  <c r="D394" i="6"/>
  <c r="D410" i="6"/>
  <c r="D444" i="6"/>
  <c r="D474" i="6"/>
  <c r="D484" i="6"/>
  <c r="E438" i="6"/>
  <c r="E268" i="6"/>
  <c r="D215" i="6"/>
  <c r="D205" i="6"/>
  <c r="E336" i="6"/>
  <c r="D204" i="6"/>
  <c r="D211" i="6"/>
  <c r="E200" i="6"/>
  <c r="C28" i="11" s="1"/>
  <c r="E421" i="6"/>
  <c r="E353" i="6"/>
  <c r="D214" i="6"/>
  <c r="D207" i="6"/>
  <c r="D200" i="6"/>
  <c r="E370" i="6"/>
  <c r="E302" i="6"/>
  <c r="U30" i="7"/>
  <c r="D209" i="6"/>
  <c r="D213" i="6"/>
  <c r="E265" i="6"/>
  <c r="E287" i="6"/>
  <c r="E365" i="6"/>
  <c r="E404" i="6"/>
  <c r="E423" i="6"/>
  <c r="E454" i="6"/>
  <c r="E408" i="6"/>
  <c r="D275" i="6"/>
  <c r="E238" i="6"/>
  <c r="D272" i="6"/>
  <c r="E425" i="6"/>
  <c r="E357" i="6"/>
  <c r="D279" i="6"/>
  <c r="D268" i="6"/>
  <c r="E289" i="6"/>
  <c r="D282" i="6"/>
  <c r="E221" i="6"/>
  <c r="E442" i="6"/>
  <c r="D281" i="6"/>
  <c r="U42" i="7"/>
  <c r="G10" i="4"/>
  <c r="F10" i="4"/>
  <c r="E448" i="6"/>
  <c r="D385" i="6"/>
  <c r="D375" i="6"/>
  <c r="E278" i="6"/>
  <c r="U29" i="7"/>
  <c r="D372" i="6"/>
  <c r="E329" i="6"/>
  <c r="E261" i="6"/>
  <c r="D378" i="6"/>
  <c r="E482" i="6"/>
  <c r="E414" i="6"/>
  <c r="D386" i="6"/>
  <c r="D379" i="6"/>
  <c r="D382" i="6"/>
  <c r="E346" i="6"/>
  <c r="D381" i="6"/>
  <c r="E295" i="6"/>
  <c r="E378" i="6"/>
  <c r="D345" i="6"/>
  <c r="E208" i="6"/>
  <c r="U39" i="7"/>
  <c r="E429" i="6"/>
  <c r="E361" i="6"/>
  <c r="D347" i="6"/>
  <c r="D340" i="6"/>
  <c r="E293" i="6"/>
  <c r="D343" i="6"/>
  <c r="D336" i="6"/>
  <c r="E225" i="6"/>
  <c r="E446" i="6"/>
  <c r="D350" i="6"/>
  <c r="E395" i="6"/>
  <c r="D349" i="6"/>
  <c r="D338" i="6"/>
  <c r="E327" i="6"/>
  <c r="D19" i="12"/>
  <c r="D16" i="12"/>
  <c r="C5" i="11"/>
  <c r="D20" i="12"/>
  <c r="D14" i="12"/>
  <c r="D18" i="12"/>
  <c r="D15" i="12"/>
  <c r="D13" i="12"/>
  <c r="D210" i="6"/>
  <c r="E226" i="6"/>
  <c r="D234" i="6"/>
  <c r="D239" i="6"/>
  <c r="D248" i="6"/>
  <c r="D280" i="6"/>
  <c r="E292" i="6"/>
  <c r="D319" i="6"/>
  <c r="D323" i="6"/>
  <c r="D327" i="6"/>
  <c r="D337" i="6"/>
  <c r="E374" i="6"/>
  <c r="D384" i="6"/>
  <c r="E394" i="6"/>
  <c r="D416" i="6"/>
  <c r="D420" i="6"/>
  <c r="E440" i="6"/>
  <c r="E444" i="6"/>
  <c r="D480" i="6"/>
  <c r="U38" i="7"/>
  <c r="D53" i="10"/>
  <c r="E53" i="8"/>
  <c r="B50" i="10"/>
  <c r="AW5" i="9"/>
  <c r="E50" i="8"/>
  <c r="C50" i="8"/>
  <c r="B13" i="10"/>
  <c r="C13" i="8"/>
  <c r="C13" i="10" s="1"/>
  <c r="E7" i="8"/>
  <c r="C9" i="8"/>
  <c r="C9" i="10" s="1"/>
  <c r="B15" i="10"/>
  <c r="E15" i="8"/>
  <c r="C32" i="10"/>
  <c r="AE4" i="9"/>
  <c r="B35" i="10"/>
  <c r="AH5" i="9"/>
  <c r="C35" i="8"/>
  <c r="C38" i="10"/>
  <c r="AK4" i="9"/>
  <c r="B51" i="10"/>
  <c r="E51" i="8"/>
  <c r="C51" i="8"/>
  <c r="C51" i="10" s="1"/>
  <c r="B55" i="10"/>
  <c r="C55" i="8"/>
  <c r="C55" i="10" s="1"/>
  <c r="E55" i="8"/>
  <c r="E402" i="6"/>
  <c r="D431" i="6"/>
  <c r="E434" i="6"/>
  <c r="D456" i="6"/>
  <c r="D463" i="6"/>
  <c r="E470" i="6"/>
  <c r="C22" i="7"/>
  <c r="B11" i="10"/>
  <c r="J5" i="9"/>
  <c r="E11" i="8"/>
  <c r="C11" i="8"/>
  <c r="E13" i="8"/>
  <c r="C15" i="8"/>
  <c r="C15" i="10" s="1"/>
  <c r="D17" i="10"/>
  <c r="E17" i="8"/>
  <c r="D27" i="10"/>
  <c r="E27" i="8"/>
  <c r="E35" i="8"/>
  <c r="D58" i="10"/>
  <c r="E58" i="8"/>
  <c r="C20" i="10"/>
  <c r="S4" i="9"/>
  <c r="B25" i="10"/>
  <c r="E25" i="8"/>
  <c r="C25" i="8"/>
  <c r="C25" i="10" s="1"/>
  <c r="B33" i="10"/>
  <c r="E33" i="8"/>
  <c r="C33" i="8"/>
  <c r="C33" i="10" s="1"/>
  <c r="B36" i="10"/>
  <c r="E36" i="8"/>
  <c r="C36" i="8"/>
  <c r="C36" i="10" s="1"/>
  <c r="B39" i="10"/>
  <c r="E39" i="8"/>
  <c r="C39" i="8"/>
  <c r="C39" i="10" s="1"/>
  <c r="D45" i="10"/>
  <c r="E45" i="8"/>
  <c r="D63" i="10"/>
  <c r="E63" i="8"/>
  <c r="E458" i="6"/>
  <c r="E288" i="6"/>
  <c r="D265" i="6"/>
  <c r="D255" i="6"/>
  <c r="E50" i="6"/>
  <c r="F50" i="6" s="1"/>
  <c r="E203" i="6"/>
  <c r="D257" i="6"/>
  <c r="D264" i="6"/>
  <c r="E271" i="6"/>
  <c r="E339" i="6"/>
  <c r="D432" i="6"/>
  <c r="E453" i="6"/>
  <c r="D457" i="6"/>
  <c r="D464" i="6"/>
  <c r="C20" i="7"/>
  <c r="V34" i="7" s="1"/>
  <c r="B8" i="10"/>
  <c r="G5" i="9"/>
  <c r="E8" i="8"/>
  <c r="B18" i="10"/>
  <c r="E18" i="8"/>
  <c r="E232" i="6"/>
  <c r="D261" i="6"/>
  <c r="E264" i="6"/>
  <c r="E300" i="6"/>
  <c r="E332" i="6"/>
  <c r="E400" i="6"/>
  <c r="E407" i="6"/>
  <c r="D429" i="6"/>
  <c r="D461" i="6"/>
  <c r="E475" i="6"/>
  <c r="D20" i="7"/>
  <c r="C8" i="10"/>
  <c r="G4" i="9"/>
  <c r="B23" i="10"/>
  <c r="V5" i="9"/>
  <c r="E23" i="8"/>
  <c r="C23" i="8"/>
  <c r="D48" i="10"/>
  <c r="E48" i="8"/>
  <c r="B60" i="10"/>
  <c r="E60" i="8"/>
  <c r="C60" i="8"/>
  <c r="C60" i="10" s="1"/>
  <c r="D465" i="6"/>
  <c r="D455" i="6"/>
  <c r="E368" i="6"/>
  <c r="E468" i="6"/>
  <c r="D435" i="6"/>
  <c r="D425" i="6"/>
  <c r="E298" i="6"/>
  <c r="F21" i="4"/>
  <c r="D254" i="6"/>
  <c r="D422" i="6"/>
  <c r="E436" i="6"/>
  <c r="C12" i="8"/>
  <c r="C12" i="10" s="1"/>
  <c r="B31" i="10"/>
  <c r="E31" i="8"/>
  <c r="C31" i="8"/>
  <c r="C31" i="10" s="1"/>
  <c r="B37" i="10"/>
  <c r="E37" i="8"/>
  <c r="C37" i="8"/>
  <c r="C37" i="10" s="1"/>
  <c r="B40" i="10"/>
  <c r="E40" i="8"/>
  <c r="C40" i="8"/>
  <c r="C40" i="10" s="1"/>
  <c r="B43" i="10"/>
  <c r="E43" i="8"/>
  <c r="C43" i="8"/>
  <c r="C43" i="10" s="1"/>
  <c r="B65" i="10"/>
  <c r="C65" i="8"/>
  <c r="B81" i="10"/>
  <c r="E81" i="8"/>
  <c r="AT4" i="9"/>
  <c r="B47" i="10"/>
  <c r="AT5" i="9"/>
  <c r="E68" i="8"/>
  <c r="C70" i="8"/>
  <c r="C70" i="10" s="1"/>
  <c r="C81" i="8"/>
  <c r="C81" i="10" s="1"/>
  <c r="C26" i="10"/>
  <c r="Y4" i="9"/>
  <c r="B29" i="10"/>
  <c r="AB5" i="9"/>
  <c r="B41" i="10"/>
  <c r="AN5" i="9"/>
  <c r="B44" i="10"/>
  <c r="AQ5" i="9"/>
  <c r="B57" i="10"/>
  <c r="E57" i="8"/>
  <c r="B62" i="10"/>
  <c r="BI5" i="9"/>
  <c r="E65" i="8"/>
  <c r="B67" i="10"/>
  <c r="E67" i="8"/>
  <c r="C74" i="10"/>
  <c r="BU4" i="9"/>
  <c r="B76" i="10"/>
  <c r="C76" i="8"/>
  <c r="C76" i="10" s="1"/>
  <c r="C29" i="8"/>
  <c r="B32" i="10"/>
  <c r="AE5" i="9"/>
  <c r="C41" i="8"/>
  <c r="C44" i="8"/>
  <c r="C52" i="8"/>
  <c r="C52" i="10" s="1"/>
  <c r="C57" i="8"/>
  <c r="C57" i="10" s="1"/>
  <c r="C62" i="8"/>
  <c r="C67" i="8"/>
  <c r="C67" i="10" s="1"/>
  <c r="E70" i="8"/>
  <c r="C72" i="8"/>
  <c r="C72" i="10" s="1"/>
  <c r="B49" i="10"/>
  <c r="E49" i="8"/>
  <c r="B59" i="10"/>
  <c r="E59" i="8"/>
  <c r="B69" i="10"/>
  <c r="E69" i="8"/>
  <c r="Y5" i="9"/>
  <c r="E29" i="8"/>
  <c r="E41" i="8"/>
  <c r="E44" i="8"/>
  <c r="F47" i="8"/>
  <c r="C49" i="8"/>
  <c r="C49" i="10" s="1"/>
  <c r="E52" i="8"/>
  <c r="F66" i="8" s="1"/>
  <c r="C54" i="8"/>
  <c r="C54" i="10" s="1"/>
  <c r="C59" i="8"/>
  <c r="E62" i="8"/>
  <c r="C64" i="8"/>
  <c r="C64" i="10" s="1"/>
  <c r="C69" i="8"/>
  <c r="C69" i="10" s="1"/>
  <c r="E72" i="8"/>
  <c r="B77" i="10"/>
  <c r="BX5" i="9"/>
  <c r="C77" i="8"/>
  <c r="BF5" i="9"/>
  <c r="B71" i="10"/>
  <c r="BR5" i="9"/>
  <c r="D79" i="10"/>
  <c r="E79" i="8"/>
  <c r="BL5" i="9"/>
  <c r="U31" i="7"/>
  <c r="U41" i="7"/>
  <c r="B14" i="10"/>
  <c r="M5" i="9"/>
  <c r="H47" i="8"/>
  <c r="E54" i="8"/>
  <c r="BC4" i="9"/>
  <c r="C56" i="10"/>
  <c r="C61" i="8"/>
  <c r="C61" i="10" s="1"/>
  <c r="E64" i="8"/>
  <c r="C71" i="8"/>
  <c r="E77" i="8"/>
  <c r="C14" i="10"/>
  <c r="M4" i="9"/>
  <c r="B17" i="10"/>
  <c r="P5" i="9"/>
  <c r="E28" i="8"/>
  <c r="C34" i="8"/>
  <c r="C34" i="10" s="1"/>
  <c r="E46" i="8"/>
  <c r="B73" i="10"/>
  <c r="C73" i="8"/>
  <c r="C73" i="10" s="1"/>
  <c r="E73" i="8"/>
  <c r="E218" i="6"/>
  <c r="D225" i="6"/>
  <c r="D285" i="6"/>
  <c r="D295" i="6"/>
  <c r="C7" i="8"/>
  <c r="C7" i="10" s="1"/>
  <c r="C17" i="8"/>
  <c r="B20" i="10"/>
  <c r="S5" i="9"/>
  <c r="C27" i="8"/>
  <c r="C27" i="10" s="1"/>
  <c r="B45" i="10"/>
  <c r="C45" i="8"/>
  <c r="C45" i="10" s="1"/>
  <c r="B53" i="10"/>
  <c r="C53" i="8"/>
  <c r="AZ5" i="9"/>
  <c r="E61" i="8"/>
  <c r="B63" i="10"/>
  <c r="C63" i="8"/>
  <c r="C63" i="10" s="1"/>
  <c r="C68" i="10"/>
  <c r="BO4" i="9"/>
  <c r="E71" i="8"/>
  <c r="B68" i="10"/>
  <c r="B80" i="10"/>
  <c r="E80" i="8"/>
  <c r="C80" i="8"/>
  <c r="B38" i="10"/>
  <c r="AK5" i="9"/>
  <c r="E82" i="8"/>
  <c r="BC5" i="9"/>
  <c r="B74" i="10"/>
  <c r="BU5" i="9"/>
  <c r="M46" i="13"/>
  <c r="C46" i="13"/>
  <c r="L46" i="13"/>
  <c r="B46" i="13"/>
  <c r="K46" i="13"/>
  <c r="J46" i="13"/>
  <c r="I46" i="13"/>
  <c r="R46" i="13"/>
  <c r="H46" i="13"/>
  <c r="Q46" i="13"/>
  <c r="G46" i="13"/>
  <c r="P46" i="13"/>
  <c r="F46" i="13"/>
  <c r="O46" i="13"/>
  <c r="E46" i="13"/>
  <c r="N46" i="13"/>
  <c r="D46" i="13"/>
  <c r="F8" i="13"/>
  <c r="F13" i="13"/>
  <c r="L19" i="12"/>
  <c r="L17" i="12"/>
  <c r="C11" i="13"/>
  <c r="C13" i="13"/>
  <c r="C18" i="13"/>
  <c r="L14" i="12"/>
  <c r="F7" i="13"/>
  <c r="F12" i="13"/>
  <c r="F17" i="13"/>
  <c r="L13" i="12"/>
  <c r="L18" i="12"/>
  <c r="C9" i="13"/>
  <c r="C15" i="13"/>
  <c r="C20" i="13"/>
  <c r="C7" i="13"/>
  <c r="C23" i="13" s="1"/>
  <c r="L9" i="13" s="1"/>
  <c r="A66" i="10" l="1"/>
  <c r="H66" i="8"/>
  <c r="G66" i="8"/>
  <c r="M9" i="13"/>
  <c r="F77" i="8"/>
  <c r="A77" i="10" s="1"/>
  <c r="F62" i="8"/>
  <c r="A62" i="10" s="1"/>
  <c r="G59" i="8"/>
  <c r="F59" i="8"/>
  <c r="A59" i="10" s="1"/>
  <c r="A12" i="10"/>
  <c r="H12" i="8"/>
  <c r="G12" i="8"/>
  <c r="A14" i="10"/>
  <c r="G14" i="8"/>
  <c r="H14" i="8"/>
  <c r="F74" i="8"/>
  <c r="R7" i="13"/>
  <c r="Q7" i="13"/>
  <c r="A47" i="10"/>
  <c r="G47" i="8"/>
  <c r="F80" i="8"/>
  <c r="A80" i="10" s="1"/>
  <c r="F56" i="8"/>
  <c r="E73" i="10"/>
  <c r="BT29" i="9"/>
  <c r="M73" i="10" s="1"/>
  <c r="BT22" i="9"/>
  <c r="BT30" i="9"/>
  <c r="N73" i="10" s="1"/>
  <c r="BT15" i="9"/>
  <c r="BT10" i="9"/>
  <c r="BT23" i="9"/>
  <c r="BT20" i="9"/>
  <c r="BT17" i="9"/>
  <c r="BT12" i="9"/>
  <c r="BT27" i="9"/>
  <c r="K73" i="10" s="1"/>
  <c r="BT28" i="9"/>
  <c r="L73" i="10" s="1"/>
  <c r="BT13" i="9"/>
  <c r="BT11" i="9"/>
  <c r="BT9" i="9"/>
  <c r="BT8" i="9"/>
  <c r="BT26" i="9"/>
  <c r="J73" i="10" s="1"/>
  <c r="BT25" i="9"/>
  <c r="I73" i="10" s="1"/>
  <c r="BT21" i="9"/>
  <c r="BT18" i="9"/>
  <c r="BT16" i="9"/>
  <c r="BT14" i="9"/>
  <c r="BT19" i="9"/>
  <c r="G73" i="8"/>
  <c r="F73" i="8"/>
  <c r="A73" i="10" s="1"/>
  <c r="BT7" i="9"/>
  <c r="H73" i="8"/>
  <c r="W41" i="7"/>
  <c r="V41" i="7"/>
  <c r="H81" i="8"/>
  <c r="F81" i="8"/>
  <c r="A81" i="10" s="1"/>
  <c r="F64" i="8"/>
  <c r="A64" i="10" s="1"/>
  <c r="H44" i="8"/>
  <c r="G44" i="8"/>
  <c r="F44" i="8"/>
  <c r="A44" i="10" s="1"/>
  <c r="C41" i="10"/>
  <c r="AN4" i="9"/>
  <c r="C77" i="10"/>
  <c r="BX4" i="9"/>
  <c r="C17" i="10"/>
  <c r="P4" i="9"/>
  <c r="F46" i="8"/>
  <c r="A46" i="10" s="1"/>
  <c r="G46" i="8"/>
  <c r="H46" i="8"/>
  <c r="F72" i="8"/>
  <c r="A72" i="10" s="1"/>
  <c r="H72" i="8"/>
  <c r="C23" i="10"/>
  <c r="V4" i="9"/>
  <c r="W34" i="7"/>
  <c r="X34" i="7" s="1"/>
  <c r="G82" i="8"/>
  <c r="H82" i="8"/>
  <c r="F82" i="8"/>
  <c r="A82" i="10" s="1"/>
  <c r="F75" i="8"/>
  <c r="G79" i="8"/>
  <c r="F79" i="8"/>
  <c r="A79" i="10" s="1"/>
  <c r="H29" i="8"/>
  <c r="G29" i="8"/>
  <c r="F29" i="8"/>
  <c r="A29" i="10" s="1"/>
  <c r="F31" i="8"/>
  <c r="A31" i="10" s="1"/>
  <c r="F42" i="8"/>
  <c r="G52" i="8"/>
  <c r="F52" i="8"/>
  <c r="A52" i="10" s="1"/>
  <c r="F23" i="13"/>
  <c r="L8" i="13" s="1"/>
  <c r="F28" i="8"/>
  <c r="A28" i="10" s="1"/>
  <c r="H28" i="8"/>
  <c r="G28" i="8"/>
  <c r="F30" i="8"/>
  <c r="F76" i="8"/>
  <c r="F32" i="8"/>
  <c r="F78" i="8"/>
  <c r="F60" i="8"/>
  <c r="A60" i="10" s="1"/>
  <c r="G35" i="8"/>
  <c r="F35" i="8"/>
  <c r="A35" i="10" s="1"/>
  <c r="F24" i="8"/>
  <c r="H7" i="8"/>
  <c r="F7" i="8"/>
  <c r="A7" i="10" s="1"/>
  <c r="G7" i="8"/>
  <c r="W33" i="7"/>
  <c r="V33" i="7"/>
  <c r="W40" i="7"/>
  <c r="V40" i="7"/>
  <c r="E37" i="10"/>
  <c r="AJ21" i="9"/>
  <c r="AJ25" i="9"/>
  <c r="I37" i="10" s="1"/>
  <c r="AJ14" i="9"/>
  <c r="AJ16" i="9"/>
  <c r="AJ11" i="9"/>
  <c r="AJ27" i="9"/>
  <c r="K37" i="10" s="1"/>
  <c r="AJ20" i="9"/>
  <c r="AJ17" i="9"/>
  <c r="AJ15" i="9"/>
  <c r="AJ13" i="9"/>
  <c r="AJ23" i="9"/>
  <c r="AJ7" i="9"/>
  <c r="AJ28" i="9"/>
  <c r="L37" i="10" s="1"/>
  <c r="AJ30" i="9"/>
  <c r="N37" i="10" s="1"/>
  <c r="AJ18" i="9"/>
  <c r="AJ9" i="9"/>
  <c r="AJ19" i="9"/>
  <c r="AJ8" i="9"/>
  <c r="AJ29" i="9"/>
  <c r="M37" i="10" s="1"/>
  <c r="AJ22" i="9"/>
  <c r="AJ26" i="9"/>
  <c r="J37" i="10" s="1"/>
  <c r="AJ12" i="9"/>
  <c r="AJ10" i="9"/>
  <c r="H37" i="8"/>
  <c r="G37" i="8"/>
  <c r="F37" i="8"/>
  <c r="A37" i="10" s="1"/>
  <c r="F36" i="8"/>
  <c r="A36" i="10" s="1"/>
  <c r="H36" i="8"/>
  <c r="H58" i="8"/>
  <c r="F58" i="8"/>
  <c r="A58" i="10" s="1"/>
  <c r="F13" i="8"/>
  <c r="A13" i="10" s="1"/>
  <c r="C35" i="10"/>
  <c r="AH4" i="9"/>
  <c r="F34" i="8"/>
  <c r="F53" i="8"/>
  <c r="A53" i="10" s="1"/>
  <c r="W42" i="7"/>
  <c r="V42" i="7"/>
  <c r="C53" i="10"/>
  <c r="AZ4" i="9"/>
  <c r="C11" i="10"/>
  <c r="J4" i="9"/>
  <c r="W38" i="7"/>
  <c r="V38" i="7"/>
  <c r="W32" i="7"/>
  <c r="V32" i="7"/>
  <c r="X32" i="7" s="1"/>
  <c r="H41" i="8"/>
  <c r="G41" i="8"/>
  <c r="F41" i="8"/>
  <c r="A41" i="10" s="1"/>
  <c r="F49" i="8"/>
  <c r="A49" i="10" s="1"/>
  <c r="C44" i="10"/>
  <c r="AQ4" i="9"/>
  <c r="C65" i="10"/>
  <c r="BL4" i="9"/>
  <c r="G48" i="8"/>
  <c r="F48" i="8"/>
  <c r="A48" i="10" s="1"/>
  <c r="F54" i="8"/>
  <c r="A54" i="10" s="1"/>
  <c r="H54" i="8"/>
  <c r="G54" i="8"/>
  <c r="F67" i="8"/>
  <c r="A67" i="10" s="1"/>
  <c r="F18" i="8"/>
  <c r="A18" i="10" s="1"/>
  <c r="G63" i="8"/>
  <c r="F63" i="8"/>
  <c r="A63" i="10" s="1"/>
  <c r="F38" i="8"/>
  <c r="F11" i="8"/>
  <c r="E55" i="10"/>
  <c r="BB27" i="9"/>
  <c r="K55" i="10" s="1"/>
  <c r="BB19" i="9"/>
  <c r="BB28" i="9"/>
  <c r="L55" i="10" s="1"/>
  <c r="BB21" i="9"/>
  <c r="BB17" i="9"/>
  <c r="BB12" i="9"/>
  <c r="BB14" i="9"/>
  <c r="BB9" i="9"/>
  <c r="BB22" i="9"/>
  <c r="BB8" i="9"/>
  <c r="BB25" i="9"/>
  <c r="I55" i="10" s="1"/>
  <c r="BB15" i="9"/>
  <c r="BB13" i="9"/>
  <c r="BB11" i="9"/>
  <c r="BB29" i="9"/>
  <c r="M55" i="10" s="1"/>
  <c r="BB26" i="9"/>
  <c r="J55" i="10" s="1"/>
  <c r="BB18" i="9"/>
  <c r="BB16" i="9"/>
  <c r="BB23" i="9"/>
  <c r="BB10" i="9"/>
  <c r="BB30" i="9"/>
  <c r="N55" i="10" s="1"/>
  <c r="BB7" i="9"/>
  <c r="BB20" i="9"/>
  <c r="H55" i="8"/>
  <c r="G55" i="8"/>
  <c r="F55" i="8"/>
  <c r="A55" i="10" s="1"/>
  <c r="H6" i="8"/>
  <c r="F6" i="8"/>
  <c r="A6" i="10" s="1"/>
  <c r="G6" i="8"/>
  <c r="W37" i="7"/>
  <c r="V37" i="7"/>
  <c r="W36" i="7"/>
  <c r="V36" i="7"/>
  <c r="X36" i="7" s="1"/>
  <c r="F33" i="8"/>
  <c r="W29" i="7"/>
  <c r="V29" i="7"/>
  <c r="V30" i="7"/>
  <c r="X30" i="7" s="1"/>
  <c r="W30" i="7"/>
  <c r="C5" i="10"/>
  <c r="D4" i="9"/>
  <c r="F21" i="8"/>
  <c r="W26" i="7"/>
  <c r="V26" i="7"/>
  <c r="X26" i="7" s="1"/>
  <c r="F71" i="8"/>
  <c r="G71" i="8" s="1"/>
  <c r="G61" i="8"/>
  <c r="F61" i="8"/>
  <c r="A61" i="10" s="1"/>
  <c r="C59" i="10"/>
  <c r="BF4" i="9"/>
  <c r="G65" i="8"/>
  <c r="F65" i="8"/>
  <c r="A65" i="10" s="1"/>
  <c r="G43" i="8"/>
  <c r="H43" i="8"/>
  <c r="F43" i="8"/>
  <c r="A43" i="10" s="1"/>
  <c r="G23" i="8"/>
  <c r="F23" i="8"/>
  <c r="A23" i="10" s="1"/>
  <c r="H23" i="8"/>
  <c r="F8" i="8"/>
  <c r="A8" i="10" s="1"/>
  <c r="G8" i="8"/>
  <c r="H8" i="8"/>
  <c r="F45" i="8"/>
  <c r="F68" i="8"/>
  <c r="A68" i="10" s="1"/>
  <c r="F22" i="8"/>
  <c r="C50" i="10"/>
  <c r="AW4" i="9"/>
  <c r="W35" i="7"/>
  <c r="V35" i="7"/>
  <c r="D85" i="8"/>
  <c r="G5" i="8"/>
  <c r="F5" i="8"/>
  <c r="F10" i="8"/>
  <c r="F16" i="8"/>
  <c r="H70" i="8"/>
  <c r="G70" i="8"/>
  <c r="F70" i="8"/>
  <c r="A70" i="10" s="1"/>
  <c r="F25" i="8"/>
  <c r="A25" i="10" s="1"/>
  <c r="G51" i="8"/>
  <c r="H51" i="8"/>
  <c r="F51" i="8"/>
  <c r="A51" i="10" s="1"/>
  <c r="G15" i="8"/>
  <c r="F15" i="8"/>
  <c r="A15" i="10" s="1"/>
  <c r="G50" i="8"/>
  <c r="F50" i="8"/>
  <c r="H19" i="6"/>
  <c r="M17" i="6"/>
  <c r="I16" i="6"/>
  <c r="N14" i="6"/>
  <c r="K13" i="6"/>
  <c r="H12" i="6"/>
  <c r="J18" i="6"/>
  <c r="N16" i="6"/>
  <c r="I15" i="6"/>
  <c r="M13" i="6"/>
  <c r="I12" i="6"/>
  <c r="M19" i="6"/>
  <c r="E16" i="7" s="1"/>
  <c r="I18" i="6"/>
  <c r="M16" i="6"/>
  <c r="H15" i="6"/>
  <c r="E20" i="7" s="1"/>
  <c r="L13" i="6"/>
  <c r="L19" i="6"/>
  <c r="H18" i="6"/>
  <c r="L16" i="6"/>
  <c r="G15" i="6"/>
  <c r="J13" i="6"/>
  <c r="K17" i="6"/>
  <c r="E18" i="7" s="1"/>
  <c r="L15" i="6"/>
  <c r="G13" i="6"/>
  <c r="N12" i="6"/>
  <c r="H17" i="6"/>
  <c r="L12" i="6"/>
  <c r="G16" i="6"/>
  <c r="K19" i="6"/>
  <c r="J17" i="6"/>
  <c r="K15" i="6"/>
  <c r="I19" i="6"/>
  <c r="L14" i="6"/>
  <c r="G19" i="6"/>
  <c r="K14" i="6"/>
  <c r="J14" i="6"/>
  <c r="L18" i="6"/>
  <c r="E17" i="7" s="1"/>
  <c r="J19" i="6"/>
  <c r="I17" i="6"/>
  <c r="M14" i="6"/>
  <c r="M12" i="6"/>
  <c r="N15" i="6"/>
  <c r="H14" i="6"/>
  <c r="G17" i="6"/>
  <c r="K12" i="6"/>
  <c r="N18" i="6"/>
  <c r="J12" i="6"/>
  <c r="H16" i="6"/>
  <c r="K18" i="6"/>
  <c r="J16" i="6"/>
  <c r="E19" i="7" s="1"/>
  <c r="G14" i="6"/>
  <c r="E22" i="7" s="1"/>
  <c r="N13" i="6"/>
  <c r="G18" i="6"/>
  <c r="N17" i="6"/>
  <c r="M15" i="6"/>
  <c r="I13" i="6"/>
  <c r="E21" i="7" s="1"/>
  <c r="F9" i="8"/>
  <c r="W28" i="7"/>
  <c r="X28" i="7" s="1"/>
  <c r="W27" i="7"/>
  <c r="V27" i="7"/>
  <c r="X27" i="7" s="1"/>
  <c r="C80" i="10"/>
  <c r="CA4" i="9"/>
  <c r="C71" i="10"/>
  <c r="BR4" i="9"/>
  <c r="W31" i="7"/>
  <c r="V31" i="7"/>
  <c r="F69" i="8"/>
  <c r="A69" i="10" s="1"/>
  <c r="C29" i="10"/>
  <c r="AB4" i="9"/>
  <c r="F57" i="8"/>
  <c r="A57" i="10" s="1"/>
  <c r="G57" i="8"/>
  <c r="F40" i="8"/>
  <c r="A40" i="10" s="1"/>
  <c r="F20" i="8"/>
  <c r="H39" i="8"/>
  <c r="F39" i="8"/>
  <c r="A39" i="10" s="1"/>
  <c r="G39" i="8"/>
  <c r="G27" i="8"/>
  <c r="F27" i="8"/>
  <c r="A27" i="10" s="1"/>
  <c r="F17" i="8"/>
  <c r="A17" i="10" s="1"/>
  <c r="W39" i="7"/>
  <c r="V39" i="7"/>
  <c r="F22" i="4"/>
  <c r="H18" i="4"/>
  <c r="I18" i="4" s="1"/>
  <c r="H8" i="4"/>
  <c r="I8" i="4" s="1"/>
  <c r="H13" i="4"/>
  <c r="I13" i="4" s="1"/>
  <c r="H10" i="4"/>
  <c r="I10" i="4" s="1"/>
  <c r="H7" i="4"/>
  <c r="I7" i="4" s="1"/>
  <c r="H16" i="4"/>
  <c r="I16" i="4" s="1"/>
  <c r="H19" i="4"/>
  <c r="I19" i="4" s="1"/>
  <c r="H5" i="4"/>
  <c r="I5" i="4" s="1"/>
  <c r="H6" i="4"/>
  <c r="I6" i="4" s="1"/>
  <c r="H11" i="4"/>
  <c r="I11" i="4" s="1"/>
  <c r="H15" i="4"/>
  <c r="I15" i="4" s="1"/>
  <c r="H21" i="4"/>
  <c r="I21" i="4" s="1"/>
  <c r="H17" i="4"/>
  <c r="I17" i="4" s="1"/>
  <c r="H9" i="4"/>
  <c r="I9" i="4" s="1"/>
  <c r="G22" i="4"/>
  <c r="H20" i="4"/>
  <c r="I20" i="4" s="1"/>
  <c r="H14" i="4"/>
  <c r="I14" i="4" s="1"/>
  <c r="H12" i="4"/>
  <c r="I12" i="4" s="1"/>
  <c r="C62" i="10"/>
  <c r="BI4" i="9"/>
  <c r="F26" i="8"/>
  <c r="E19" i="10"/>
  <c r="R29" i="9"/>
  <c r="M19" i="10" s="1"/>
  <c r="R25" i="9"/>
  <c r="I19" i="10" s="1"/>
  <c r="R28" i="9"/>
  <c r="L19" i="10" s="1"/>
  <c r="R26" i="9"/>
  <c r="J19" i="10" s="1"/>
  <c r="R23" i="9"/>
  <c r="R30" i="9"/>
  <c r="N19" i="10" s="1"/>
  <c r="R27" i="9"/>
  <c r="K19" i="10" s="1"/>
  <c r="R16" i="9"/>
  <c r="R11" i="9"/>
  <c r="R19" i="9"/>
  <c r="R18" i="9"/>
  <c r="R13" i="9"/>
  <c r="R20" i="9"/>
  <c r="R7" i="9"/>
  <c r="R17" i="9"/>
  <c r="R15" i="9"/>
  <c r="R21" i="9"/>
  <c r="R9" i="9"/>
  <c r="R14" i="9"/>
  <c r="R8" i="9"/>
  <c r="R22" i="9"/>
  <c r="H19" i="8"/>
  <c r="G19" i="8"/>
  <c r="R12" i="9"/>
  <c r="R10" i="9"/>
  <c r="F19" i="8"/>
  <c r="A19" i="10" s="1"/>
  <c r="A9" i="10" l="1"/>
  <c r="H9" i="8"/>
  <c r="G9" i="8"/>
  <c r="H40" i="8"/>
  <c r="X31" i="7"/>
  <c r="H15" i="8"/>
  <c r="H25" i="8"/>
  <c r="A5" i="10"/>
  <c r="P26" i="7"/>
  <c r="D6" i="12"/>
  <c r="C10" i="11"/>
  <c r="D86" i="8"/>
  <c r="H17" i="8"/>
  <c r="A20" i="10"/>
  <c r="H20" i="8"/>
  <c r="G20" i="8"/>
  <c r="G69" i="8"/>
  <c r="A26" i="10"/>
  <c r="G26" i="8"/>
  <c r="H26" i="8"/>
  <c r="D4" i="12"/>
  <c r="C6" i="11"/>
  <c r="H27" i="8"/>
  <c r="G25" i="8"/>
  <c r="A11" i="10"/>
  <c r="G11" i="8"/>
  <c r="H11" i="8"/>
  <c r="X39" i="7"/>
  <c r="H68" i="8"/>
  <c r="A21" i="10"/>
  <c r="H21" i="8"/>
  <c r="G21" i="8"/>
  <c r="A50" i="10"/>
  <c r="H50" i="8"/>
  <c r="A71" i="10"/>
  <c r="H71" i="8"/>
  <c r="A33" i="10"/>
  <c r="H33" i="8"/>
  <c r="H19" i="10"/>
  <c r="F19" i="10" s="1"/>
  <c r="G19" i="10" s="1"/>
  <c r="H57" i="8"/>
  <c r="H69" i="8"/>
  <c r="A45" i="10"/>
  <c r="G45" i="8"/>
  <c r="H65" i="8"/>
  <c r="G33" i="8"/>
  <c r="G17" i="8"/>
  <c r="G40" i="8"/>
  <c r="A10" i="10"/>
  <c r="H10" i="8"/>
  <c r="G10" i="8"/>
  <c r="G68" i="8"/>
  <c r="H45" i="8"/>
  <c r="H61" i="8"/>
  <c r="H5" i="8"/>
  <c r="H18" i="8"/>
  <c r="H37" i="10"/>
  <c r="F37" i="10" s="1"/>
  <c r="G37" i="10" s="1"/>
  <c r="A32" i="10"/>
  <c r="H32" i="8"/>
  <c r="G32" i="8"/>
  <c r="M8" i="13"/>
  <c r="A42" i="10"/>
  <c r="G42" i="8"/>
  <c r="H42" i="8"/>
  <c r="H55" i="10"/>
  <c r="F55" i="10" s="1"/>
  <c r="G55" i="10" s="1"/>
  <c r="A38" i="10"/>
  <c r="H38" i="8"/>
  <c r="G38" i="8"/>
  <c r="A76" i="10"/>
  <c r="G76" i="8"/>
  <c r="H76" i="8"/>
  <c r="A34" i="10"/>
  <c r="H34" i="8"/>
  <c r="G34" i="8"/>
  <c r="A30" i="10"/>
  <c r="G30" i="8"/>
  <c r="H30" i="8"/>
  <c r="G31" i="8"/>
  <c r="H73" i="10"/>
  <c r="F73" i="10" s="1"/>
  <c r="G73" i="10" s="1"/>
  <c r="G80" i="8"/>
  <c r="A74" i="10"/>
  <c r="G74" i="8"/>
  <c r="H74" i="8"/>
  <c r="G62" i="8"/>
  <c r="A22" i="10"/>
  <c r="H22" i="8"/>
  <c r="G22" i="8"/>
  <c r="H63" i="8"/>
  <c r="X42" i="7"/>
  <c r="G58" i="8"/>
  <c r="X40" i="7"/>
  <c r="G60" i="8"/>
  <c r="H31" i="8"/>
  <c r="A75" i="10"/>
  <c r="H75" i="8"/>
  <c r="G75" i="8"/>
  <c r="G81" i="8"/>
  <c r="H80" i="8"/>
  <c r="A24" i="10"/>
  <c r="H24" i="8"/>
  <c r="G24" i="8"/>
  <c r="H62" i="8"/>
  <c r="G49" i="8"/>
  <c r="X33" i="7"/>
  <c r="H60" i="8"/>
  <c r="H52" i="8"/>
  <c r="G72" i="8"/>
  <c r="H59" i="8"/>
  <c r="H49" i="8"/>
  <c r="H53" i="8"/>
  <c r="G13" i="8"/>
  <c r="G64" i="8"/>
  <c r="G77" i="8"/>
  <c r="C7" i="6"/>
  <c r="D9" i="7" s="1"/>
  <c r="C6" i="6"/>
  <c r="C8" i="6" s="1"/>
  <c r="X29" i="7"/>
  <c r="Y26" i="7" s="1"/>
  <c r="G67" i="8"/>
  <c r="X38" i="7"/>
  <c r="H13" i="8"/>
  <c r="H35" i="8"/>
  <c r="H79" i="8"/>
  <c r="H77" i="8"/>
  <c r="A16" i="10"/>
  <c r="G16" i="8"/>
  <c r="H16" i="8"/>
  <c r="X35" i="7"/>
  <c r="X37" i="7"/>
  <c r="H67" i="8"/>
  <c r="H48" i="8"/>
  <c r="H64" i="8"/>
  <c r="A56" i="10"/>
  <c r="H56" i="8"/>
  <c r="G56" i="8"/>
  <c r="G18" i="8"/>
  <c r="G53" i="8"/>
  <c r="G36" i="8"/>
  <c r="A78" i="10"/>
  <c r="H78" i="8"/>
  <c r="G78" i="8"/>
  <c r="X41" i="7"/>
  <c r="Y41" i="7" s="1"/>
  <c r="M47" i="13"/>
  <c r="G47" i="13"/>
  <c r="J47" i="13"/>
  <c r="E47" i="13"/>
  <c r="N47" i="13"/>
  <c r="L47" i="13"/>
  <c r="O47" i="13"/>
  <c r="R47" i="13"/>
  <c r="D47" i="13"/>
  <c r="I47" i="13"/>
  <c r="C47" i="13"/>
  <c r="H47" i="13"/>
  <c r="Q47" i="13"/>
  <c r="F47" i="13"/>
  <c r="B47" i="13"/>
  <c r="K47" i="13"/>
  <c r="P47" i="13"/>
  <c r="B34" i="7" l="1"/>
  <c r="Y37" i="7"/>
  <c r="Y38" i="7"/>
  <c r="Y34" i="7"/>
  <c r="Y32" i="7"/>
  <c r="Y27" i="7"/>
  <c r="B33" i="7" s="1"/>
  <c r="Y35" i="7"/>
  <c r="Y42" i="7"/>
  <c r="Y31" i="7"/>
  <c r="Y29" i="7"/>
  <c r="Y33" i="7"/>
  <c r="Y40" i="7"/>
  <c r="I15" i="12"/>
  <c r="I13" i="12"/>
  <c r="I20" i="12"/>
  <c r="I17" i="12"/>
  <c r="I18" i="12"/>
  <c r="I16" i="12"/>
  <c r="I14" i="12"/>
  <c r="I19" i="12"/>
  <c r="E18" i="12"/>
  <c r="E15" i="12"/>
  <c r="E20" i="12"/>
  <c r="E16" i="12"/>
  <c r="E19" i="12"/>
  <c r="E14" i="12"/>
  <c r="E13" i="12"/>
  <c r="Y36" i="7"/>
  <c r="Y28" i="7"/>
  <c r="R8" i="13"/>
  <c r="Q8" i="13"/>
  <c r="Y30" i="7"/>
  <c r="Y39" i="7"/>
  <c r="H13" i="13" l="1"/>
  <c r="A14" i="9"/>
  <c r="H33" i="7"/>
  <c r="I33" i="7" s="1"/>
  <c r="E34" i="7"/>
  <c r="F34" i="7" s="1"/>
  <c r="D33" i="7"/>
  <c r="C14" i="9" s="1"/>
  <c r="C33" i="7"/>
  <c r="B14" i="9" s="1"/>
  <c r="G33" i="7"/>
  <c r="B36" i="7"/>
  <c r="B42" i="7"/>
  <c r="B26" i="7"/>
  <c r="B40" i="7"/>
  <c r="B27" i="7"/>
  <c r="B35" i="7"/>
  <c r="B29" i="7"/>
  <c r="B41" i="7"/>
  <c r="B28" i="7"/>
  <c r="B32" i="7"/>
  <c r="B31" i="7"/>
  <c r="B39" i="7"/>
  <c r="B37" i="7"/>
  <c r="B30" i="7"/>
  <c r="B38" i="7"/>
  <c r="J48" i="13"/>
  <c r="N48" i="13"/>
  <c r="K48" i="13"/>
  <c r="I48" i="13"/>
  <c r="L48" i="13"/>
  <c r="F48" i="13"/>
  <c r="B48" i="13"/>
  <c r="R48" i="13"/>
  <c r="C48" i="13"/>
  <c r="P48" i="13"/>
  <c r="D48" i="13"/>
  <c r="Q48" i="13"/>
  <c r="E48" i="13"/>
  <c r="G48" i="13"/>
  <c r="M48" i="13"/>
  <c r="H48" i="13"/>
  <c r="O48" i="13"/>
  <c r="H14" i="13"/>
  <c r="A15" i="9"/>
  <c r="D34" i="7"/>
  <c r="C15" i="9" s="1"/>
  <c r="H34" i="7"/>
  <c r="I34" i="7" s="1"/>
  <c r="E35" i="7"/>
  <c r="F35" i="7" s="1"/>
  <c r="C34" i="7"/>
  <c r="B15" i="9" s="1"/>
  <c r="G34" i="7"/>
  <c r="H17" i="13" l="1"/>
  <c r="A18" i="9"/>
  <c r="E38" i="7"/>
  <c r="F38" i="7" s="1"/>
  <c r="G37" i="7"/>
  <c r="C37" i="7"/>
  <c r="B18" i="9" s="1"/>
  <c r="H37" i="7"/>
  <c r="I37" i="7" s="1"/>
  <c r="D37" i="7"/>
  <c r="C18" i="9" s="1"/>
  <c r="H7" i="13"/>
  <c r="A8" i="9"/>
  <c r="D27" i="7"/>
  <c r="C8" i="9" s="1"/>
  <c r="C27" i="7"/>
  <c r="B8" i="9" s="1"/>
  <c r="H27" i="7"/>
  <c r="I27" i="7" s="1"/>
  <c r="G27" i="7"/>
  <c r="E28" i="7"/>
  <c r="F28" i="7" s="1"/>
  <c r="R9" i="13"/>
  <c r="Q9" i="13"/>
  <c r="H19" i="13"/>
  <c r="A20" i="9"/>
  <c r="E40" i="7"/>
  <c r="F40" i="7" s="1"/>
  <c r="D39" i="7"/>
  <c r="C20" i="9" s="1"/>
  <c r="C39" i="7"/>
  <c r="B20" i="9" s="1"/>
  <c r="G39" i="7"/>
  <c r="H39" i="7"/>
  <c r="I39" i="7" s="1"/>
  <c r="H20" i="13"/>
  <c r="A21" i="9"/>
  <c r="D40" i="7"/>
  <c r="C21" i="9" s="1"/>
  <c r="H40" i="7"/>
  <c r="I40" i="7" s="1"/>
  <c r="G40" i="7"/>
  <c r="C40" i="7"/>
  <c r="B21" i="9" s="1"/>
  <c r="E41" i="7"/>
  <c r="F41" i="7" s="1"/>
  <c r="H11" i="13"/>
  <c r="A12" i="9"/>
  <c r="G31" i="7"/>
  <c r="E32" i="7"/>
  <c r="F32" i="7" s="1"/>
  <c r="C31" i="7"/>
  <c r="B12" i="9" s="1"/>
  <c r="H31" i="7"/>
  <c r="I31" i="7" s="1"/>
  <c r="D31" i="7"/>
  <c r="C12" i="9" s="1"/>
  <c r="H12" i="13"/>
  <c r="A13" i="9"/>
  <c r="D32" i="7"/>
  <c r="C13" i="9" s="1"/>
  <c r="G32" i="7"/>
  <c r="E33" i="7"/>
  <c r="F33" i="7" s="1"/>
  <c r="C32" i="7"/>
  <c r="B13" i="9" s="1"/>
  <c r="H32" i="7"/>
  <c r="I32" i="7" s="1"/>
  <c r="H6" i="13"/>
  <c r="C23" i="11"/>
  <c r="A7" i="9"/>
  <c r="D26" i="7"/>
  <c r="C7" i="9" s="1"/>
  <c r="C26" i="7"/>
  <c r="B7" i="9" s="1"/>
  <c r="E27" i="7"/>
  <c r="F27" i="7" s="1"/>
  <c r="H26" i="7"/>
  <c r="G26" i="7"/>
  <c r="CE14" i="9"/>
  <c r="J33" i="7"/>
  <c r="H22" i="13"/>
  <c r="A23" i="9"/>
  <c r="D42" i="7"/>
  <c r="C23" i="9" s="1"/>
  <c r="H42" i="7"/>
  <c r="I42" i="7" s="1"/>
  <c r="G42" i="7"/>
  <c r="C42" i="7"/>
  <c r="B23" i="9" s="1"/>
  <c r="H21" i="13"/>
  <c r="A22" i="9"/>
  <c r="E42" i="7"/>
  <c r="F42" i="7" s="1"/>
  <c r="H41" i="7"/>
  <c r="I41" i="7" s="1"/>
  <c r="G41" i="7"/>
  <c r="D41" i="7"/>
  <c r="C22" i="9" s="1"/>
  <c r="C41" i="7"/>
  <c r="B22" i="9" s="1"/>
  <c r="I14" i="13"/>
  <c r="L34" i="7"/>
  <c r="H18" i="13"/>
  <c r="A19" i="9"/>
  <c r="D38" i="7"/>
  <c r="C19" i="9" s="1"/>
  <c r="E39" i="7"/>
  <c r="F39" i="7" s="1"/>
  <c r="H38" i="7"/>
  <c r="I38" i="7" s="1"/>
  <c r="C38" i="7"/>
  <c r="B19" i="9" s="1"/>
  <c r="G38" i="7"/>
  <c r="H15" i="13"/>
  <c r="A16" i="9"/>
  <c r="E36" i="7"/>
  <c r="F36" i="7" s="1"/>
  <c r="H35" i="7"/>
  <c r="I35" i="7" s="1"/>
  <c r="G35" i="7"/>
  <c r="D35" i="7"/>
  <c r="C16" i="9" s="1"/>
  <c r="C35" i="7"/>
  <c r="B16" i="9" s="1"/>
  <c r="H8" i="13"/>
  <c r="A9" i="9"/>
  <c r="D28" i="7"/>
  <c r="C9" i="9" s="1"/>
  <c r="H28" i="7"/>
  <c r="I28" i="7" s="1"/>
  <c r="C28" i="7"/>
  <c r="B9" i="9" s="1"/>
  <c r="E29" i="7"/>
  <c r="F29" i="7" s="1"/>
  <c r="G28" i="7"/>
  <c r="H9" i="13"/>
  <c r="A10" i="9"/>
  <c r="C29" i="7"/>
  <c r="B10" i="9" s="1"/>
  <c r="H29" i="7"/>
  <c r="I29" i="7" s="1"/>
  <c r="G29" i="7"/>
  <c r="E30" i="7"/>
  <c r="F30" i="7" s="1"/>
  <c r="D29" i="7"/>
  <c r="C10" i="9" s="1"/>
  <c r="CE15" i="9"/>
  <c r="J34" i="7"/>
  <c r="H10" i="13"/>
  <c r="A11" i="9"/>
  <c r="D30" i="7"/>
  <c r="C11" i="9" s="1"/>
  <c r="H30" i="7"/>
  <c r="I30" i="7" s="1"/>
  <c r="G30" i="7"/>
  <c r="E31" i="7"/>
  <c r="F31" i="7" s="1"/>
  <c r="C30" i="7"/>
  <c r="B11" i="9" s="1"/>
  <c r="H16" i="13"/>
  <c r="A17" i="9"/>
  <c r="D36" i="7"/>
  <c r="C17" i="9" s="1"/>
  <c r="H36" i="7"/>
  <c r="I36" i="7" s="1"/>
  <c r="C36" i="7"/>
  <c r="B17" i="9" s="1"/>
  <c r="E37" i="7"/>
  <c r="F37" i="7" s="1"/>
  <c r="G36" i="7"/>
  <c r="I15" i="13"/>
  <c r="L35" i="7"/>
  <c r="I21" i="13" l="1"/>
  <c r="L41" i="7"/>
  <c r="I9" i="13"/>
  <c r="L29" i="7"/>
  <c r="N35" i="7"/>
  <c r="P35" i="7" s="1"/>
  <c r="Z35" i="7"/>
  <c r="AA35" i="7" s="1"/>
  <c r="AB35" i="7" s="1"/>
  <c r="Z34" i="7"/>
  <c r="AA34" i="7" s="1"/>
  <c r="AB34" i="7" s="1"/>
  <c r="M15" i="9" s="1"/>
  <c r="N34" i="7"/>
  <c r="P34" i="7" s="1"/>
  <c r="M34" i="7"/>
  <c r="O34" i="7" s="1"/>
  <c r="Q34" i="7" s="1"/>
  <c r="AT15" i="9"/>
  <c r="AN15" i="9"/>
  <c r="AQ15" i="9"/>
  <c r="BQ15" i="9"/>
  <c r="AL15" i="9"/>
  <c r="AI15" i="9"/>
  <c r="BE15" i="9"/>
  <c r="AX15" i="9"/>
  <c r="AP15" i="9"/>
  <c r="AB15" i="9"/>
  <c r="CC15" i="9"/>
  <c r="BM15" i="9"/>
  <c r="CB15" i="9"/>
  <c r="AS15" i="9"/>
  <c r="AA15" i="9"/>
  <c r="G15" i="9"/>
  <c r="BA15" i="9"/>
  <c r="K15" i="9"/>
  <c r="E15" i="9"/>
  <c r="AR15" i="9"/>
  <c r="AU15" i="9"/>
  <c r="AV15" i="9"/>
  <c r="BG15" i="9"/>
  <c r="AM15" i="9"/>
  <c r="H15" i="9"/>
  <c r="BR15" i="9"/>
  <c r="BX15" i="9"/>
  <c r="D15" i="9"/>
  <c r="J15" i="9"/>
  <c r="AC15" i="9"/>
  <c r="AW15" i="9"/>
  <c r="BY15" i="9"/>
  <c r="BK15" i="9"/>
  <c r="Q15" i="9"/>
  <c r="BV15" i="9"/>
  <c r="BI15" i="9"/>
  <c r="BL15" i="9"/>
  <c r="AD15" i="9"/>
  <c r="N15" i="9"/>
  <c r="BH15" i="9"/>
  <c r="AZ15" i="9"/>
  <c r="CA15" i="9"/>
  <c r="U15" i="9"/>
  <c r="AY15" i="9"/>
  <c r="I15" i="9"/>
  <c r="S15" i="9"/>
  <c r="W15" i="9"/>
  <c r="T15" i="9"/>
  <c r="AH15" i="9"/>
  <c r="AG15" i="9"/>
  <c r="AE15" i="9"/>
  <c r="P15" i="9"/>
  <c r="BN15" i="9"/>
  <c r="BU15" i="9"/>
  <c r="BP15" i="9"/>
  <c r="AK15" i="9"/>
  <c r="BW15" i="9"/>
  <c r="X15" i="9"/>
  <c r="BO15" i="9"/>
  <c r="L15" i="9"/>
  <c r="BJ15" i="9"/>
  <c r="Y15" i="9"/>
  <c r="BZ15" i="9"/>
  <c r="BC15" i="9"/>
  <c r="I20" i="13"/>
  <c r="L40" i="7"/>
  <c r="CE21" i="9"/>
  <c r="J40" i="7"/>
  <c r="I10" i="13"/>
  <c r="L30" i="7"/>
  <c r="CE10" i="9"/>
  <c r="J29" i="7"/>
  <c r="CE22" i="9"/>
  <c r="J41" i="7"/>
  <c r="CE17" i="9"/>
  <c r="J36" i="7"/>
  <c r="I17" i="13"/>
  <c r="L37" i="7"/>
  <c r="I22" i="13"/>
  <c r="L42" i="7"/>
  <c r="I12" i="13"/>
  <c r="L32" i="7"/>
  <c r="I8" i="13"/>
  <c r="L28" i="7"/>
  <c r="CE18" i="9"/>
  <c r="J37" i="7"/>
  <c r="I11" i="13"/>
  <c r="L31" i="7"/>
  <c r="CE19" i="9"/>
  <c r="J38" i="7"/>
  <c r="I19" i="13"/>
  <c r="L39" i="7"/>
  <c r="CE12" i="9"/>
  <c r="J31" i="7"/>
  <c r="CE8" i="9"/>
  <c r="J27" i="7"/>
  <c r="I18" i="13"/>
  <c r="L38" i="7"/>
  <c r="I16" i="13"/>
  <c r="L36" i="7"/>
  <c r="CE23" i="9"/>
  <c r="J42" i="7"/>
  <c r="CE11" i="9"/>
  <c r="J30" i="7"/>
  <c r="F49" i="13"/>
  <c r="I49" i="13"/>
  <c r="R49" i="13"/>
  <c r="E49" i="13"/>
  <c r="H49" i="13"/>
  <c r="L49" i="13"/>
  <c r="N49" i="13"/>
  <c r="O49" i="13"/>
  <c r="J49" i="13"/>
  <c r="B49" i="13"/>
  <c r="P49" i="13"/>
  <c r="Q49" i="13"/>
  <c r="K49" i="13"/>
  <c r="D49" i="13"/>
  <c r="C49" i="13"/>
  <c r="M49" i="13"/>
  <c r="G49" i="13"/>
  <c r="CE16" i="9"/>
  <c r="J35" i="7"/>
  <c r="CE7" i="9"/>
  <c r="AB26" i="7"/>
  <c r="G43" i="7"/>
  <c r="J26" i="7"/>
  <c r="I13" i="13"/>
  <c r="L33" i="7"/>
  <c r="CE20" i="9"/>
  <c r="J39" i="7"/>
  <c r="I7" i="13"/>
  <c r="F43" i="7"/>
  <c r="L27" i="7"/>
  <c r="F9" i="7"/>
  <c r="G9" i="7" s="1"/>
  <c r="C21" i="11"/>
  <c r="CE9" i="9"/>
  <c r="J28" i="7"/>
  <c r="I26" i="7"/>
  <c r="AA26" i="7"/>
  <c r="CE13" i="9"/>
  <c r="J32" i="7"/>
  <c r="AI16" i="9" l="1"/>
  <c r="E16" i="9"/>
  <c r="J16" i="9"/>
  <c r="BJ16" i="9"/>
  <c r="N16" i="9"/>
  <c r="CA16" i="9"/>
  <c r="D16" i="9"/>
  <c r="BU16" i="9"/>
  <c r="AT16" i="9"/>
  <c r="BQ16" i="9"/>
  <c r="AD16" i="9"/>
  <c r="H16" i="9"/>
  <c r="BK16" i="9"/>
  <c r="AG16" i="9"/>
  <c r="BP16" i="9"/>
  <c r="AA16" i="9"/>
  <c r="Z16" i="9"/>
  <c r="U16" i="9"/>
  <c r="BD16" i="9"/>
  <c r="AM16" i="9"/>
  <c r="BO16" i="9"/>
  <c r="Q16" i="9"/>
  <c r="CB16" i="9"/>
  <c r="G16" i="9"/>
  <c r="X16" i="9"/>
  <c r="S16" i="9"/>
  <c r="AO16" i="9"/>
  <c r="AN16" i="9"/>
  <c r="BR16" i="9"/>
  <c r="AS16" i="9"/>
  <c r="V16" i="9"/>
  <c r="I16" i="9"/>
  <c r="AR16" i="9"/>
  <c r="BF16" i="9"/>
  <c r="AE16" i="9"/>
  <c r="AZ16" i="9"/>
  <c r="AX16" i="9"/>
  <c r="BE16" i="9"/>
  <c r="AP16" i="9"/>
  <c r="BG16" i="9"/>
  <c r="AH16" i="9"/>
  <c r="W16" i="9"/>
  <c r="AU16" i="9"/>
  <c r="O16" i="9"/>
  <c r="BN16" i="9"/>
  <c r="F16" i="9"/>
  <c r="AL16" i="9"/>
  <c r="K16" i="9"/>
  <c r="AW16" i="9"/>
  <c r="BY16" i="9"/>
  <c r="BV16" i="9"/>
  <c r="AK16" i="9"/>
  <c r="Y16" i="9"/>
  <c r="CC16" i="9"/>
  <c r="BI16" i="9"/>
  <c r="AQ16" i="9"/>
  <c r="BA16" i="9"/>
  <c r="BS16" i="9"/>
  <c r="BX16" i="9"/>
  <c r="T16" i="9"/>
  <c r="P16" i="9"/>
  <c r="BL16" i="9"/>
  <c r="AF16" i="9"/>
  <c r="M16" i="9"/>
  <c r="BM16" i="9"/>
  <c r="BC16" i="9"/>
  <c r="AV16" i="9"/>
  <c r="BH16" i="9"/>
  <c r="BW16" i="9"/>
  <c r="M35" i="7"/>
  <c r="O35" i="7" s="1"/>
  <c r="Q35" i="7" s="1"/>
  <c r="AY16" i="9"/>
  <c r="BZ16" i="9"/>
  <c r="AB16" i="9"/>
  <c r="AC16" i="9"/>
  <c r="L16" i="9"/>
  <c r="N37" i="7"/>
  <c r="P37" i="7" s="1"/>
  <c r="Z37" i="7"/>
  <c r="AA37" i="7" s="1"/>
  <c r="AB37" i="7" s="1"/>
  <c r="CB18" i="9" s="1"/>
  <c r="AT18" i="9"/>
  <c r="F18" i="9"/>
  <c r="E18" i="9"/>
  <c r="AA18" i="9"/>
  <c r="BA18" i="9"/>
  <c r="AI18" i="9"/>
  <c r="AL18" i="9"/>
  <c r="AN18" i="9"/>
  <c r="AB18" i="9"/>
  <c r="AQ18" i="9"/>
  <c r="BM18" i="9"/>
  <c r="K18" i="9"/>
  <c r="AS18" i="9"/>
  <c r="BE18" i="9"/>
  <c r="AC18" i="9"/>
  <c r="AY18" i="9"/>
  <c r="BR18" i="9"/>
  <c r="BP18" i="9"/>
  <c r="Y18" i="9"/>
  <c r="AE18" i="9"/>
  <c r="BY18" i="9"/>
  <c r="BI18" i="9"/>
  <c r="U18" i="9"/>
  <c r="N18" i="9"/>
  <c r="P18" i="9"/>
  <c r="AM18" i="9"/>
  <c r="BD18" i="9"/>
  <c r="AD18" i="9"/>
  <c r="BV18" i="9"/>
  <c r="T18" i="9"/>
  <c r="Q18" i="9"/>
  <c r="BG18" i="9"/>
  <c r="BK18" i="9"/>
  <c r="D18" i="9"/>
  <c r="J18" i="9"/>
  <c r="AG18" i="9"/>
  <c r="Z18" i="9"/>
  <c r="AW18" i="9"/>
  <c r="BN18" i="9"/>
  <c r="BJ18" i="9"/>
  <c r="BZ18" i="9"/>
  <c r="AZ18" i="9"/>
  <c r="AK18" i="9"/>
  <c r="BH18" i="9"/>
  <c r="R10" i="13"/>
  <c r="Q10" i="13"/>
  <c r="Z42" i="7"/>
  <c r="AA42" i="7" s="1"/>
  <c r="AB42" i="7" s="1"/>
  <c r="BQ23" i="9" s="1"/>
  <c r="N42" i="7"/>
  <c r="P42" i="7" s="1"/>
  <c r="F23" i="9"/>
  <c r="BM23" i="9"/>
  <c r="AP23" i="9"/>
  <c r="AB23" i="9"/>
  <c r="CB23" i="9"/>
  <c r="M23" i="9"/>
  <c r="AS23" i="9"/>
  <c r="AR23" i="9"/>
  <c r="T23" i="9"/>
  <c r="BW23" i="9"/>
  <c r="D23" i="9"/>
  <c r="AV23" i="9"/>
  <c r="N23" i="9"/>
  <c r="X23" i="9"/>
  <c r="CA23" i="9"/>
  <c r="BL23" i="9"/>
  <c r="U23" i="9"/>
  <c r="AH23" i="9"/>
  <c r="O23" i="9"/>
  <c r="BR23" i="9"/>
  <c r="BO23" i="9"/>
  <c r="BP23" i="9"/>
  <c r="Z30" i="7"/>
  <c r="AA30" i="7" s="1"/>
  <c r="AB30" i="7" s="1"/>
  <c r="BQ11" i="9" s="1"/>
  <c r="N30" i="7"/>
  <c r="P30" i="7" s="1"/>
  <c r="M30" i="7"/>
  <c r="O30" i="7" s="1"/>
  <c r="Q30" i="7" s="1"/>
  <c r="F11" i="9"/>
  <c r="AQ11" i="9"/>
  <c r="AT11" i="9"/>
  <c r="CC11" i="9"/>
  <c r="AA11" i="9"/>
  <c r="G11" i="9"/>
  <c r="CB11" i="9"/>
  <c r="AS11" i="9"/>
  <c r="BM11" i="9"/>
  <c r="AN11" i="9"/>
  <c r="V11" i="9"/>
  <c r="BS11" i="9"/>
  <c r="E11" i="9"/>
  <c r="BA11" i="9"/>
  <c r="AI11" i="9"/>
  <c r="AL11" i="9"/>
  <c r="K11" i="9"/>
  <c r="AB11" i="9"/>
  <c r="M11" i="9"/>
  <c r="CA11" i="9"/>
  <c r="U11" i="9"/>
  <c r="AM11" i="9"/>
  <c r="AO11" i="9"/>
  <c r="AD11" i="9"/>
  <c r="BW11" i="9"/>
  <c r="S11" i="9"/>
  <c r="BH11" i="9"/>
  <c r="AW11" i="9"/>
  <c r="W11" i="9"/>
  <c r="H11" i="9"/>
  <c r="O11" i="9"/>
  <c r="AY11" i="9"/>
  <c r="BL11" i="9"/>
  <c r="Z11" i="9"/>
  <c r="BG11" i="9"/>
  <c r="BV11" i="9"/>
  <c r="AR11" i="9"/>
  <c r="BK11" i="9"/>
  <c r="AH11" i="9"/>
  <c r="D11" i="9"/>
  <c r="J11" i="9"/>
  <c r="I11" i="9"/>
  <c r="AE11" i="9"/>
  <c r="BI11" i="9"/>
  <c r="AC11" i="9"/>
  <c r="L11" i="9"/>
  <c r="BJ11" i="9"/>
  <c r="T11" i="9"/>
  <c r="X11" i="9"/>
  <c r="AV11" i="9"/>
  <c r="AU11" i="9"/>
  <c r="BP11" i="9"/>
  <c r="BF11" i="9"/>
  <c r="AG11" i="9"/>
  <c r="BU11" i="9"/>
  <c r="AF11" i="9"/>
  <c r="AK11" i="9"/>
  <c r="BN11" i="9"/>
  <c r="Y11" i="9"/>
  <c r="BO11" i="9"/>
  <c r="Z33" i="7"/>
  <c r="AA33" i="7" s="1"/>
  <c r="AB33" i="7" s="1"/>
  <c r="M33" i="7" s="1"/>
  <c r="O33" i="7" s="1"/>
  <c r="Q33" i="7" s="1"/>
  <c r="N33" i="7"/>
  <c r="P33" i="7" s="1"/>
  <c r="AQ14" i="9"/>
  <c r="AL14" i="9"/>
  <c r="K14" i="9"/>
  <c r="AA14" i="9"/>
  <c r="AX14" i="9"/>
  <c r="BS14" i="9"/>
  <c r="AN14" i="9"/>
  <c r="BK14" i="9"/>
  <c r="BW14" i="9"/>
  <c r="BG14" i="9"/>
  <c r="AO14" i="9"/>
  <c r="AK14" i="9"/>
  <c r="O14" i="9"/>
  <c r="AD14" i="9"/>
  <c r="AH14" i="9"/>
  <c r="P14" i="9"/>
  <c r="U14" i="9"/>
  <c r="BU14" i="9"/>
  <c r="D14" i="9"/>
  <c r="X14" i="9"/>
  <c r="AV14" i="9"/>
  <c r="BC14" i="9"/>
  <c r="BZ14" i="9"/>
  <c r="Z31" i="7"/>
  <c r="AA31" i="7" s="1"/>
  <c r="AB31" i="7" s="1"/>
  <c r="BE12" i="9" s="1"/>
  <c r="N31" i="7"/>
  <c r="P31" i="7" s="1"/>
  <c r="AT12" i="9"/>
  <c r="AS12" i="9"/>
  <c r="CC12" i="9"/>
  <c r="F12" i="9"/>
  <c r="BQ12" i="9"/>
  <c r="G12" i="9"/>
  <c r="BM12" i="9"/>
  <c r="AX12" i="9"/>
  <c r="AA12" i="9"/>
  <c r="AI12" i="9"/>
  <c r="BA12" i="9"/>
  <c r="AB12" i="9"/>
  <c r="V12" i="9"/>
  <c r="K12" i="9"/>
  <c r="AN12" i="9"/>
  <c r="BS12" i="9"/>
  <c r="BK12" i="9"/>
  <c r="BV12" i="9"/>
  <c r="BL12" i="9"/>
  <c r="P12" i="9"/>
  <c r="BH12" i="9"/>
  <c r="W12" i="9"/>
  <c r="AO12" i="9"/>
  <c r="BG12" i="9"/>
  <c r="L12" i="9"/>
  <c r="BF12" i="9"/>
  <c r="T12" i="9"/>
  <c r="AG12" i="9"/>
  <c r="Q12" i="9"/>
  <c r="S12" i="9"/>
  <c r="BI12" i="9"/>
  <c r="BD12" i="9"/>
  <c r="N12" i="9"/>
  <c r="D12" i="9"/>
  <c r="J12" i="9"/>
  <c r="U12" i="9"/>
  <c r="AY12" i="9"/>
  <c r="AH12" i="9"/>
  <c r="AD12" i="9"/>
  <c r="AM12" i="9"/>
  <c r="AK12" i="9"/>
  <c r="BY12" i="9"/>
  <c r="X12" i="9"/>
  <c r="AF12" i="9"/>
  <c r="AV12" i="9"/>
  <c r="AU12" i="9"/>
  <c r="BC12" i="9"/>
  <c r="AC12" i="9"/>
  <c r="BX12" i="9"/>
  <c r="BR12" i="9"/>
  <c r="BN12" i="9"/>
  <c r="AT7" i="9"/>
  <c r="CB7" i="9"/>
  <c r="CC7" i="9"/>
  <c r="AN7" i="9"/>
  <c r="BS7" i="9"/>
  <c r="F7" i="9"/>
  <c r="AL7" i="9"/>
  <c r="BQ7" i="9"/>
  <c r="E7" i="9"/>
  <c r="AA7" i="9"/>
  <c r="V7" i="9"/>
  <c r="AX7" i="9"/>
  <c r="BM7" i="9"/>
  <c r="G7" i="9"/>
  <c r="AP7" i="9"/>
  <c r="BA7" i="9"/>
  <c r="K7" i="9"/>
  <c r="AS7" i="9"/>
  <c r="AI7" i="9"/>
  <c r="M7" i="9"/>
  <c r="BE7" i="9"/>
  <c r="AB7" i="9"/>
  <c r="AQ7" i="9"/>
  <c r="BY7" i="9"/>
  <c r="AY7" i="9"/>
  <c r="BL7" i="9"/>
  <c r="AE7" i="9"/>
  <c r="P7" i="9"/>
  <c r="BV7" i="9"/>
  <c r="X7" i="9"/>
  <c r="BN7" i="9"/>
  <c r="AZ7" i="9"/>
  <c r="AU7" i="9"/>
  <c r="BX7" i="9"/>
  <c r="BC7" i="9"/>
  <c r="Y7" i="9"/>
  <c r="AK7" i="9"/>
  <c r="BK7" i="9"/>
  <c r="T7" i="9"/>
  <c r="AG7" i="9"/>
  <c r="AV7" i="9"/>
  <c r="AH7" i="9"/>
  <c r="AF7" i="9"/>
  <c r="BH7" i="9"/>
  <c r="BF7" i="9"/>
  <c r="U7" i="9"/>
  <c r="S7" i="9"/>
  <c r="CA7" i="9"/>
  <c r="D7" i="9"/>
  <c r="N7" i="9"/>
  <c r="AM7" i="9"/>
  <c r="BJ7" i="9"/>
  <c r="BW7" i="9"/>
  <c r="BO7" i="9"/>
  <c r="BU7" i="9"/>
  <c r="BI7" i="9"/>
  <c r="W7" i="9"/>
  <c r="AD7" i="9"/>
  <c r="Z7" i="9"/>
  <c r="AC7" i="9"/>
  <c r="BR7" i="9"/>
  <c r="O7" i="9"/>
  <c r="BD7" i="9"/>
  <c r="Q7" i="9"/>
  <c r="I7" i="9"/>
  <c r="BG7" i="9"/>
  <c r="AR7" i="9"/>
  <c r="J7" i="9"/>
  <c r="BZ7" i="9"/>
  <c r="H7" i="9"/>
  <c r="L7" i="9"/>
  <c r="AW7" i="9"/>
  <c r="BP7" i="9"/>
  <c r="AO7" i="9"/>
  <c r="D5" i="12"/>
  <c r="C13" i="11"/>
  <c r="C7" i="11"/>
  <c r="C8" i="11"/>
  <c r="Z36" i="7"/>
  <c r="AA36" i="7" s="1"/>
  <c r="AB36" i="7" s="1"/>
  <c r="F17" i="9" s="1"/>
  <c r="N36" i="7"/>
  <c r="P36" i="7" s="1"/>
  <c r="M36" i="7"/>
  <c r="O36" i="7" s="1"/>
  <c r="Q36" i="7" s="1"/>
  <c r="AQ17" i="9"/>
  <c r="CB17" i="9"/>
  <c r="BS17" i="9"/>
  <c r="AT17" i="9"/>
  <c r="CC17" i="9"/>
  <c r="M17" i="9"/>
  <c r="K17" i="9"/>
  <c r="AI17" i="9"/>
  <c r="V17" i="9"/>
  <c r="AB17" i="9"/>
  <c r="AX17" i="9"/>
  <c r="BA17" i="9"/>
  <c r="AS17" i="9"/>
  <c r="AN17" i="9"/>
  <c r="G17" i="9"/>
  <c r="AP17" i="9"/>
  <c r="AA17" i="9"/>
  <c r="BE17" i="9"/>
  <c r="BM17" i="9"/>
  <c r="BQ17" i="9"/>
  <c r="AL17" i="9"/>
  <c r="BV17" i="9"/>
  <c r="AG17" i="9"/>
  <c r="BX17" i="9"/>
  <c r="BI17" i="9"/>
  <c r="BL17" i="9"/>
  <c r="BD17" i="9"/>
  <c r="Q17" i="9"/>
  <c r="N17" i="9"/>
  <c r="AC17" i="9"/>
  <c r="BH17" i="9"/>
  <c r="BU17" i="9"/>
  <c r="L17" i="9"/>
  <c r="BZ17" i="9"/>
  <c r="BN17" i="9"/>
  <c r="BJ17" i="9"/>
  <c r="AO17" i="9"/>
  <c r="AU17" i="9"/>
  <c r="X17" i="9"/>
  <c r="AR17" i="9"/>
  <c r="CA17" i="9"/>
  <c r="D17" i="9"/>
  <c r="AH17" i="9"/>
  <c r="AD17" i="9"/>
  <c r="S17" i="9"/>
  <c r="I17" i="9"/>
  <c r="AF17" i="9"/>
  <c r="BR17" i="9"/>
  <c r="Y17" i="9"/>
  <c r="J17" i="9"/>
  <c r="AY17" i="9"/>
  <c r="U17" i="9"/>
  <c r="AV17" i="9"/>
  <c r="BG17" i="9"/>
  <c r="BO17" i="9"/>
  <c r="AE17" i="9"/>
  <c r="AM17" i="9"/>
  <c r="AW17" i="9"/>
  <c r="W17" i="9"/>
  <c r="BF17" i="9"/>
  <c r="H17" i="9"/>
  <c r="AZ17" i="9"/>
  <c r="BW17" i="9"/>
  <c r="BP17" i="9"/>
  <c r="P17" i="9"/>
  <c r="AK17" i="9"/>
  <c r="BC17" i="9"/>
  <c r="M39" i="7"/>
  <c r="O39" i="7" s="1"/>
  <c r="Q39" i="7" s="1"/>
  <c r="Z39" i="7"/>
  <c r="AA39" i="7" s="1"/>
  <c r="AB39" i="7" s="1"/>
  <c r="K20" i="9" s="1"/>
  <c r="N39" i="7"/>
  <c r="P39" i="7" s="1"/>
  <c r="F20" i="9"/>
  <c r="AN20" i="9"/>
  <c r="AX20" i="9"/>
  <c r="AI20" i="9"/>
  <c r="AQ20" i="9"/>
  <c r="BM20" i="9"/>
  <c r="BQ20" i="9"/>
  <c r="G20" i="9"/>
  <c r="M20" i="9"/>
  <c r="X20" i="9"/>
  <c r="BK20" i="9"/>
  <c r="BF20" i="9"/>
  <c r="I20" i="9"/>
  <c r="AW20" i="9"/>
  <c r="Y20" i="9"/>
  <c r="AK20" i="9"/>
  <c r="AC20" i="9"/>
  <c r="BO20" i="9"/>
  <c r="D20" i="9"/>
  <c r="J20" i="9"/>
  <c r="T20" i="9"/>
  <c r="S20" i="9"/>
  <c r="BL20" i="9"/>
  <c r="BD20" i="9"/>
  <c r="BZ20" i="9"/>
  <c r="BN20" i="9"/>
  <c r="AD20" i="9"/>
  <c r="AR20" i="9"/>
  <c r="H20" i="9"/>
  <c r="L20" i="9"/>
  <c r="Z28" i="7"/>
  <c r="AA28" i="7" s="1"/>
  <c r="AB28" i="7" s="1"/>
  <c r="CB9" i="9" s="1"/>
  <c r="N28" i="7"/>
  <c r="P28" i="7" s="1"/>
  <c r="M28" i="7"/>
  <c r="O28" i="7" s="1"/>
  <c r="Q28" i="7" s="1"/>
  <c r="AT9" i="9"/>
  <c r="F9" i="9"/>
  <c r="BQ9" i="9"/>
  <c r="AL9" i="9"/>
  <c r="BE9" i="9"/>
  <c r="V9" i="9"/>
  <c r="AI9" i="9"/>
  <c r="AB9" i="9"/>
  <c r="BS9" i="9"/>
  <c r="E9" i="9"/>
  <c r="AP9" i="9"/>
  <c r="G9" i="9"/>
  <c r="AX9" i="9"/>
  <c r="K9" i="9"/>
  <c r="AS9" i="9"/>
  <c r="AN9" i="9"/>
  <c r="BM9" i="9"/>
  <c r="AA9" i="9"/>
  <c r="S9" i="9"/>
  <c r="BJ9" i="9"/>
  <c r="AD9" i="9"/>
  <c r="AG9" i="9"/>
  <c r="AF9" i="9"/>
  <c r="AU9" i="9"/>
  <c r="BC9" i="9"/>
  <c r="BU9" i="9"/>
  <c r="N9" i="9"/>
  <c r="BP9" i="9"/>
  <c r="BO9" i="9"/>
  <c r="AE9" i="9"/>
  <c r="BN9" i="9"/>
  <c r="BR9" i="9"/>
  <c r="CA9" i="9"/>
  <c r="BV9" i="9"/>
  <c r="D9" i="9"/>
  <c r="AV9" i="9"/>
  <c r="AH9" i="9"/>
  <c r="BD9" i="9"/>
  <c r="BY9" i="9"/>
  <c r="J9" i="9"/>
  <c r="O9" i="9"/>
  <c r="AY9" i="9"/>
  <c r="H9" i="9"/>
  <c r="BF9" i="9"/>
  <c r="I9" i="9"/>
  <c r="BZ9" i="9"/>
  <c r="Y9" i="9"/>
  <c r="BK9" i="9"/>
  <c r="BI9" i="9"/>
  <c r="AR9" i="9"/>
  <c r="BH9" i="9"/>
  <c r="Q9" i="9"/>
  <c r="BX9" i="9"/>
  <c r="X9" i="9"/>
  <c r="AW9" i="9"/>
  <c r="AO9" i="9"/>
  <c r="AM9" i="9"/>
  <c r="AK9" i="9"/>
  <c r="J43" i="7"/>
  <c r="M26" i="7"/>
  <c r="O26" i="7" s="1"/>
  <c r="Q26" i="7" s="1"/>
  <c r="N27" i="7"/>
  <c r="P27" i="7" s="1"/>
  <c r="Z27" i="7"/>
  <c r="AA27" i="7" s="1"/>
  <c r="AB27" i="7" s="1"/>
  <c r="BE8" i="9" s="1"/>
  <c r="AQ8" i="9"/>
  <c r="F27" i="9"/>
  <c r="K7" i="10" s="1"/>
  <c r="AT27" i="9"/>
  <c r="K47" i="10" s="1"/>
  <c r="AN27" i="9"/>
  <c r="K41" i="10" s="1"/>
  <c r="AT8" i="9"/>
  <c r="AQ27" i="9"/>
  <c r="K44" i="10" s="1"/>
  <c r="CC8" i="9"/>
  <c r="AS27" i="9"/>
  <c r="K46" i="10" s="1"/>
  <c r="F8" i="9"/>
  <c r="AL27" i="9"/>
  <c r="K39" i="10" s="1"/>
  <c r="CC27" i="9"/>
  <c r="K82" i="10" s="1"/>
  <c r="BM8" i="9"/>
  <c r="V27" i="9"/>
  <c r="K23" i="10" s="1"/>
  <c r="AP27" i="9"/>
  <c r="K43" i="10" s="1"/>
  <c r="M8" i="9"/>
  <c r="AX8" i="9"/>
  <c r="E27" i="9"/>
  <c r="K6" i="10" s="1"/>
  <c r="AN8" i="9"/>
  <c r="AS8" i="9"/>
  <c r="BQ27" i="9"/>
  <c r="K70" i="10" s="1"/>
  <c r="BA8" i="9"/>
  <c r="BS27" i="9"/>
  <c r="K72" i="10" s="1"/>
  <c r="AP8" i="9"/>
  <c r="G27" i="9"/>
  <c r="K8" i="10" s="1"/>
  <c r="V8" i="9"/>
  <c r="BE27" i="9"/>
  <c r="K58" i="10" s="1"/>
  <c r="BA27" i="9"/>
  <c r="K54" i="10" s="1"/>
  <c r="AI8" i="9"/>
  <c r="AL8" i="9"/>
  <c r="E8" i="9"/>
  <c r="AB8" i="9"/>
  <c r="BS8" i="9"/>
  <c r="M27" i="9"/>
  <c r="K14" i="10" s="1"/>
  <c r="AX27" i="9"/>
  <c r="K51" i="10" s="1"/>
  <c r="K27" i="9"/>
  <c r="K12" i="10" s="1"/>
  <c r="CB8" i="9"/>
  <c r="BQ8" i="9"/>
  <c r="G8" i="9"/>
  <c r="AB27" i="9"/>
  <c r="K29" i="10" s="1"/>
  <c r="BM27" i="9"/>
  <c r="K66" i="10" s="1"/>
  <c r="AA27" i="9"/>
  <c r="K28" i="10" s="1"/>
  <c r="AI27" i="9"/>
  <c r="K36" i="10" s="1"/>
  <c r="CA8" i="9"/>
  <c r="T27" i="9"/>
  <c r="K21" i="10" s="1"/>
  <c r="AV8" i="9"/>
  <c r="AV27" i="9"/>
  <c r="K49" i="10" s="1"/>
  <c r="Q8" i="9"/>
  <c r="BG27" i="9"/>
  <c r="K60" i="10" s="1"/>
  <c r="BH27" i="9"/>
  <c r="K61" i="10" s="1"/>
  <c r="AW8" i="9"/>
  <c r="BZ27" i="9"/>
  <c r="K79" i="10" s="1"/>
  <c r="BR8" i="9"/>
  <c r="CB27" i="9"/>
  <c r="K81" i="10" s="1"/>
  <c r="D27" i="9"/>
  <c r="AF8" i="9"/>
  <c r="BO27" i="9"/>
  <c r="K68" i="10" s="1"/>
  <c r="BP27" i="9"/>
  <c r="K69" i="10" s="1"/>
  <c r="Y8" i="9"/>
  <c r="BP8" i="9"/>
  <c r="L8" i="9"/>
  <c r="AZ27" i="9"/>
  <c r="K53" i="10" s="1"/>
  <c r="BI8" i="9"/>
  <c r="X8" i="9"/>
  <c r="BH8" i="9"/>
  <c r="BY27" i="9"/>
  <c r="K78" i="10" s="1"/>
  <c r="BK8" i="9"/>
  <c r="U8" i="9"/>
  <c r="O8" i="9"/>
  <c r="BD27" i="9"/>
  <c r="K57" i="10" s="1"/>
  <c r="AD8" i="9"/>
  <c r="BK27" i="9"/>
  <c r="K64" i="10" s="1"/>
  <c r="BF8" i="9"/>
  <c r="AD27" i="9"/>
  <c r="K31" i="10" s="1"/>
  <c r="AG8" i="9"/>
  <c r="I27" i="9"/>
  <c r="K10" i="10" s="1"/>
  <c r="AM27" i="9"/>
  <c r="K40" i="10" s="1"/>
  <c r="AW27" i="9"/>
  <c r="K50" i="10" s="1"/>
  <c r="T8" i="9"/>
  <c r="J8" i="9"/>
  <c r="O27" i="9"/>
  <c r="K16" i="10" s="1"/>
  <c r="AY27" i="9"/>
  <c r="K52" i="10" s="1"/>
  <c r="BI27" i="9"/>
  <c r="K62" i="10" s="1"/>
  <c r="AR8" i="9"/>
  <c r="U27" i="9"/>
  <c r="K22" i="10" s="1"/>
  <c r="BD8" i="9"/>
  <c r="AG27" i="9"/>
  <c r="K34" i="10" s="1"/>
  <c r="S27" i="9"/>
  <c r="K20" i="10" s="1"/>
  <c r="AE27" i="9"/>
  <c r="K32" i="10" s="1"/>
  <c r="Z27" i="9"/>
  <c r="K27" i="10" s="1"/>
  <c r="P27" i="9"/>
  <c r="K17" i="10" s="1"/>
  <c r="P8" i="9"/>
  <c r="AC8" i="9"/>
  <c r="BX8" i="9"/>
  <c r="BN8" i="9"/>
  <c r="W8" i="9"/>
  <c r="H8" i="9"/>
  <c r="BC27" i="9"/>
  <c r="K56" i="10" s="1"/>
  <c r="BU27" i="9"/>
  <c r="K74" i="10" s="1"/>
  <c r="AR27" i="9"/>
  <c r="K45" i="10" s="1"/>
  <c r="X27" i="9"/>
  <c r="K25" i="10" s="1"/>
  <c r="S8" i="9"/>
  <c r="N27" i="9"/>
  <c r="K15" i="10" s="1"/>
  <c r="BN27" i="9"/>
  <c r="K67" i="10" s="1"/>
  <c r="BR27" i="9"/>
  <c r="K71" i="10" s="1"/>
  <c r="BW27" i="9"/>
  <c r="K76" i="10" s="1"/>
  <c r="BV27" i="9"/>
  <c r="K75" i="10" s="1"/>
  <c r="BV8" i="9"/>
  <c r="J27" i="9"/>
  <c r="K11" i="10" s="1"/>
  <c r="AH8" i="9"/>
  <c r="BL27" i="9"/>
  <c r="K65" i="10" s="1"/>
  <c r="Q27" i="9"/>
  <c r="K18" i="10" s="1"/>
  <c r="I8" i="9"/>
  <c r="N8" i="9"/>
  <c r="AF27" i="9"/>
  <c r="K33" i="10" s="1"/>
  <c r="AU8" i="9"/>
  <c r="BZ8" i="9"/>
  <c r="W27" i="9"/>
  <c r="K24" i="10" s="1"/>
  <c r="BJ27" i="9"/>
  <c r="K63" i="10" s="1"/>
  <c r="BU8" i="9"/>
  <c r="BW8" i="9"/>
  <c r="AO27" i="9"/>
  <c r="K42" i="10" s="1"/>
  <c r="L27" i="9"/>
  <c r="K13" i="10" s="1"/>
  <c r="H27" i="9"/>
  <c r="K9" i="10" s="1"/>
  <c r="AH27" i="9"/>
  <c r="K35" i="10" s="1"/>
  <c r="AY8" i="9"/>
  <c r="BL8" i="9"/>
  <c r="AE8" i="9"/>
  <c r="Z8" i="9"/>
  <c r="AM8" i="9"/>
  <c r="AU27" i="9"/>
  <c r="K48" i="10" s="1"/>
  <c r="BY8" i="9"/>
  <c r="BF27" i="9"/>
  <c r="K59" i="10" s="1"/>
  <c r="CA27" i="9"/>
  <c r="K80" i="10" s="1"/>
  <c r="D8" i="9"/>
  <c r="AC27" i="9"/>
  <c r="K30" i="10" s="1"/>
  <c r="BG8" i="9"/>
  <c r="Y27" i="9"/>
  <c r="K26" i="10" s="1"/>
  <c r="BJ8" i="9"/>
  <c r="BC8" i="9"/>
  <c r="BO8" i="9"/>
  <c r="AZ8" i="9"/>
  <c r="BX27" i="9"/>
  <c r="K77" i="10" s="1"/>
  <c r="AK27" i="9"/>
  <c r="K38" i="10" s="1"/>
  <c r="AK8" i="9"/>
  <c r="AO8" i="9"/>
  <c r="O15" i="9"/>
  <c r="BS15" i="9"/>
  <c r="F15" i="9"/>
  <c r="CD15" i="9" s="1"/>
  <c r="CF15" i="9" s="1"/>
  <c r="Z41" i="7"/>
  <c r="AA41" i="7" s="1"/>
  <c r="AB41" i="7" s="1"/>
  <c r="BQ22" i="9" s="1"/>
  <c r="M41" i="7"/>
  <c r="O41" i="7" s="1"/>
  <c r="Q41" i="7" s="1"/>
  <c r="N41" i="7"/>
  <c r="P41" i="7" s="1"/>
  <c r="AQ22" i="9"/>
  <c r="AP22" i="9"/>
  <c r="AS22" i="9"/>
  <c r="K22" i="9"/>
  <c r="V22" i="9"/>
  <c r="AB22" i="9"/>
  <c r="AI22" i="9"/>
  <c r="BK22" i="9"/>
  <c r="AR22" i="9"/>
  <c r="AG22" i="9"/>
  <c r="BZ22" i="9"/>
  <c r="W22" i="9"/>
  <c r="BL22" i="9"/>
  <c r="AD22" i="9"/>
  <c r="AM22" i="9"/>
  <c r="AH22" i="9"/>
  <c r="AV22" i="9"/>
  <c r="AE22" i="9"/>
  <c r="L22" i="9"/>
  <c r="BF22" i="9"/>
  <c r="BR22" i="9"/>
  <c r="BW22" i="9"/>
  <c r="AO22" i="9"/>
  <c r="N29" i="7"/>
  <c r="P29" i="7" s="1"/>
  <c r="Z29" i="7"/>
  <c r="AA29" i="7" s="1"/>
  <c r="AB29" i="7" s="1"/>
  <c r="AB43" i="7" s="1"/>
  <c r="C26" i="11" s="1"/>
  <c r="AT10" i="9"/>
  <c r="BS10" i="9"/>
  <c r="CC10" i="9"/>
  <c r="F10" i="9"/>
  <c r="AQ10" i="9"/>
  <c r="E10" i="9"/>
  <c r="BM10" i="9"/>
  <c r="BQ10" i="9"/>
  <c r="BA10" i="9"/>
  <c r="AP10" i="9"/>
  <c r="K10" i="9"/>
  <c r="AA10" i="9"/>
  <c r="G10" i="9"/>
  <c r="AI10" i="9"/>
  <c r="AN10" i="9"/>
  <c r="AL10" i="9"/>
  <c r="AS10" i="9"/>
  <c r="V10" i="9"/>
  <c r="BE10" i="9"/>
  <c r="CB10" i="9"/>
  <c r="AB10" i="9"/>
  <c r="D10" i="9"/>
  <c r="BL10" i="9"/>
  <c r="AG10" i="9"/>
  <c r="AE10" i="9"/>
  <c r="BU10" i="9"/>
  <c r="AO10" i="9"/>
  <c r="BY10" i="9"/>
  <c r="CA10" i="9"/>
  <c r="Z10" i="9"/>
  <c r="Y10" i="9"/>
  <c r="BO10" i="9"/>
  <c r="S10" i="9"/>
  <c r="AH10" i="9"/>
  <c r="AV10" i="9"/>
  <c r="BC10" i="9"/>
  <c r="BF10" i="9"/>
  <c r="J10" i="9"/>
  <c r="X10" i="9"/>
  <c r="O10" i="9"/>
  <c r="BD10" i="9"/>
  <c r="AF10" i="9"/>
  <c r="AW10" i="9"/>
  <c r="BV10" i="9"/>
  <c r="I10" i="9"/>
  <c r="L10" i="9"/>
  <c r="BK10" i="9"/>
  <c r="BI10" i="9"/>
  <c r="AD10" i="9"/>
  <c r="N10" i="9"/>
  <c r="BG10" i="9"/>
  <c r="BX10" i="9"/>
  <c r="BJ10" i="9"/>
  <c r="AR10" i="9"/>
  <c r="T10" i="9"/>
  <c r="AY10" i="9"/>
  <c r="AM10" i="9"/>
  <c r="BZ10" i="9"/>
  <c r="P10" i="9"/>
  <c r="AC10" i="9"/>
  <c r="BN10" i="9"/>
  <c r="W10" i="9"/>
  <c r="AK10" i="9"/>
  <c r="BH10" i="9"/>
  <c r="H10" i="9"/>
  <c r="BP10" i="9"/>
  <c r="BR10" i="9"/>
  <c r="I23" i="13"/>
  <c r="L6" i="13" s="1"/>
  <c r="Z38" i="7"/>
  <c r="AA38" i="7" s="1"/>
  <c r="AB38" i="7" s="1"/>
  <c r="AP19" i="9" s="1"/>
  <c r="N38" i="7"/>
  <c r="P38" i="7" s="1"/>
  <c r="BG19" i="9"/>
  <c r="CA19" i="9"/>
  <c r="U19" i="9"/>
  <c r="BK19" i="9"/>
  <c r="Z32" i="7"/>
  <c r="AA32" i="7" s="1"/>
  <c r="AB32" i="7" s="1"/>
  <c r="AL13" i="9" s="1"/>
  <c r="N32" i="7"/>
  <c r="P32" i="7" s="1"/>
  <c r="M32" i="7"/>
  <c r="O32" i="7" s="1"/>
  <c r="Q32" i="7" s="1"/>
  <c r="AT13" i="9"/>
  <c r="BS13" i="9"/>
  <c r="AX13" i="9"/>
  <c r="AI13" i="9"/>
  <c r="M13" i="9"/>
  <c r="CC13" i="9"/>
  <c r="BA13" i="9"/>
  <c r="BE13" i="9"/>
  <c r="CB13" i="9"/>
  <c r="AA13" i="9"/>
  <c r="AS13" i="9"/>
  <c r="AQ13" i="9"/>
  <c r="E13" i="9"/>
  <c r="F13" i="9"/>
  <c r="G13" i="9"/>
  <c r="V13" i="9"/>
  <c r="AB13" i="9"/>
  <c r="AN13" i="9"/>
  <c r="BM13" i="9"/>
  <c r="BC13" i="9"/>
  <c r="S13" i="9"/>
  <c r="N13" i="9"/>
  <c r="Z13" i="9"/>
  <c r="BZ13" i="9"/>
  <c r="BN13" i="9"/>
  <c r="W13" i="9"/>
  <c r="BU13" i="9"/>
  <c r="AC13" i="9"/>
  <c r="BW13" i="9"/>
  <c r="BK13" i="9"/>
  <c r="CA13" i="9"/>
  <c r="D13" i="9"/>
  <c r="BI13" i="9"/>
  <c r="AR13" i="9"/>
  <c r="U13" i="9"/>
  <c r="AY13" i="9"/>
  <c r="AG13" i="9"/>
  <c r="I13" i="9"/>
  <c r="AE13" i="9"/>
  <c r="T13" i="9"/>
  <c r="AD13" i="9"/>
  <c r="AU13" i="9"/>
  <c r="BX13" i="9"/>
  <c r="BF13" i="9"/>
  <c r="BV13" i="9"/>
  <c r="O13" i="9"/>
  <c r="AV13" i="9"/>
  <c r="BL13" i="9"/>
  <c r="BD13" i="9"/>
  <c r="Q13" i="9"/>
  <c r="AF13" i="9"/>
  <c r="Y13" i="9"/>
  <c r="BG13" i="9"/>
  <c r="AZ13" i="9"/>
  <c r="AW13" i="9"/>
  <c r="J13" i="9"/>
  <c r="BJ13" i="9"/>
  <c r="AM13" i="9"/>
  <c r="AO13" i="9"/>
  <c r="Z40" i="7"/>
  <c r="AA40" i="7" s="1"/>
  <c r="AB40" i="7" s="1"/>
  <c r="AL21" i="9" s="1"/>
  <c r="N40" i="7"/>
  <c r="P40" i="7" s="1"/>
  <c r="M40" i="7"/>
  <c r="O40" i="7" s="1"/>
  <c r="Q40" i="7" s="1"/>
  <c r="AT21" i="9"/>
  <c r="BS21" i="9"/>
  <c r="F21" i="9"/>
  <c r="CC21" i="9"/>
  <c r="E21" i="9"/>
  <c r="BQ21" i="9"/>
  <c r="AP21" i="9"/>
  <c r="AI21" i="9"/>
  <c r="AA21" i="9"/>
  <c r="BE21" i="9"/>
  <c r="CB21" i="9"/>
  <c r="AB21" i="9"/>
  <c r="G21" i="9"/>
  <c r="BA21" i="9"/>
  <c r="AQ21" i="9"/>
  <c r="AX21" i="9"/>
  <c r="K21" i="9"/>
  <c r="AN21" i="9"/>
  <c r="M21" i="9"/>
  <c r="BM21" i="9"/>
  <c r="V21" i="9"/>
  <c r="BY21" i="9"/>
  <c r="BF21" i="9"/>
  <c r="BI21" i="9"/>
  <c r="N21" i="9"/>
  <c r="AU21" i="9"/>
  <c r="BC21" i="9"/>
  <c r="BN21" i="9"/>
  <c r="T21" i="9"/>
  <c r="U21" i="9"/>
  <c r="AE21" i="9"/>
  <c r="BU21" i="9"/>
  <c r="BG21" i="9"/>
  <c r="AC21" i="9"/>
  <c r="BZ21" i="9"/>
  <c r="BJ21" i="9"/>
  <c r="Q21" i="9"/>
  <c r="AV21" i="9"/>
  <c r="BL21" i="9"/>
  <c r="AG21" i="9"/>
  <c r="I21" i="9"/>
  <c r="P21" i="9"/>
  <c r="CA21" i="9"/>
  <c r="AR21" i="9"/>
  <c r="X21" i="9"/>
  <c r="AH21" i="9"/>
  <c r="O21" i="9"/>
  <c r="AD21" i="9"/>
  <c r="AW21" i="9"/>
  <c r="AO21" i="9"/>
  <c r="BO21" i="9"/>
  <c r="AM21" i="9"/>
  <c r="BX21" i="9"/>
  <c r="BW21" i="9"/>
  <c r="J21" i="9"/>
  <c r="BD21" i="9"/>
  <c r="S21" i="9"/>
  <c r="BP21" i="9"/>
  <c r="H21" i="9"/>
  <c r="AF21" i="9"/>
  <c r="BV21" i="9"/>
  <c r="AK21" i="9"/>
  <c r="BR21" i="9"/>
  <c r="AZ21" i="9"/>
  <c r="Y21" i="9"/>
  <c r="L21" i="9"/>
  <c r="W21" i="9"/>
  <c r="AF15" i="9"/>
  <c r="AO15" i="9"/>
  <c r="Z15" i="9"/>
  <c r="BD15" i="9"/>
  <c r="BF15" i="9"/>
  <c r="V15" i="9"/>
  <c r="BP19" i="9" l="1"/>
  <c r="AO19" i="9"/>
  <c r="AG19" i="9"/>
  <c r="BW19" i="9"/>
  <c r="BD19" i="9"/>
  <c r="AQ19" i="9"/>
  <c r="AI19" i="9"/>
  <c r="AI25" i="9" s="1"/>
  <c r="I36" i="10" s="1"/>
  <c r="L19" i="9"/>
  <c r="BF19" i="9"/>
  <c r="BF26" i="9" s="1"/>
  <c r="BS19" i="9"/>
  <c r="CC19" i="9"/>
  <c r="BJ22" i="9"/>
  <c r="BY22" i="9"/>
  <c r="Z22" i="9"/>
  <c r="BN22" i="9"/>
  <c r="BS22" i="9"/>
  <c r="AA22" i="9"/>
  <c r="H60" i="10"/>
  <c r="H26" i="10"/>
  <c r="Y26" i="9"/>
  <c r="O19" i="9"/>
  <c r="BR13" i="9"/>
  <c r="BO13" i="9"/>
  <c r="X13" i="9"/>
  <c r="L13" i="9"/>
  <c r="BH13" i="9"/>
  <c r="H61" i="10" s="1"/>
  <c r="K13" i="9"/>
  <c r="AZ19" i="9"/>
  <c r="I19" i="9"/>
  <c r="Z19" i="9"/>
  <c r="BZ19" i="9"/>
  <c r="Q19" i="9"/>
  <c r="BA19" i="9"/>
  <c r="BE19" i="9"/>
  <c r="F19" i="9"/>
  <c r="BX22" i="9"/>
  <c r="BO22" i="9"/>
  <c r="N22" i="9"/>
  <c r="AF22" i="9"/>
  <c r="I22" i="9"/>
  <c r="CB22" i="9"/>
  <c r="CC22" i="9"/>
  <c r="O20" i="9"/>
  <c r="BI20" i="9"/>
  <c r="BH20" i="9"/>
  <c r="BW20" i="9"/>
  <c r="BU20" i="9"/>
  <c r="AL20" i="9"/>
  <c r="E20" i="9"/>
  <c r="CD20" i="9" s="1"/>
  <c r="CF20" i="9" s="1"/>
  <c r="F17" i="12"/>
  <c r="F16" i="12"/>
  <c r="G16" i="12" s="1"/>
  <c r="H16" i="12" s="1"/>
  <c r="F14" i="12"/>
  <c r="G14" i="12" s="1"/>
  <c r="H14" i="12" s="1"/>
  <c r="F15" i="12"/>
  <c r="G15" i="12" s="1"/>
  <c r="H15" i="12" s="1"/>
  <c r="F18" i="12"/>
  <c r="G18" i="12" s="1"/>
  <c r="H18" i="12" s="1"/>
  <c r="F20" i="12"/>
  <c r="G20" i="12" s="1"/>
  <c r="H20" i="12" s="1"/>
  <c r="F13" i="12"/>
  <c r="G13" i="12" s="1"/>
  <c r="H13" i="12" s="1"/>
  <c r="D9" i="12"/>
  <c r="F19" i="12"/>
  <c r="G19" i="12" s="1"/>
  <c r="H19" i="12" s="1"/>
  <c r="D8" i="12"/>
  <c r="C17" i="12" s="1"/>
  <c r="H10" i="10"/>
  <c r="BS25" i="9"/>
  <c r="I72" i="10" s="1"/>
  <c r="BX14" i="9"/>
  <c r="BH14" i="9"/>
  <c r="J14" i="9"/>
  <c r="BO14" i="9"/>
  <c r="W14" i="9"/>
  <c r="V14" i="9"/>
  <c r="H23" i="10" s="1"/>
  <c r="AP14" i="9"/>
  <c r="Y23" i="9"/>
  <c r="AO23" i="9"/>
  <c r="AO25" i="9" s="1"/>
  <c r="I42" i="10" s="1"/>
  <c r="AG23" i="9"/>
  <c r="H34" i="10" s="1"/>
  <c r="S23" i="9"/>
  <c r="L23" i="9"/>
  <c r="AN23" i="9"/>
  <c r="AA23" i="9"/>
  <c r="AQ23" i="9"/>
  <c r="AM19" i="9"/>
  <c r="H19" i="9"/>
  <c r="K19" i="9"/>
  <c r="AW22" i="9"/>
  <c r="BQ13" i="9"/>
  <c r="H70" i="10" s="1"/>
  <c r="BK21" i="9"/>
  <c r="Z21" i="9"/>
  <c r="BH21" i="9"/>
  <c r="AY21" i="9"/>
  <c r="D21" i="9"/>
  <c r="AS21" i="9"/>
  <c r="H13" i="9"/>
  <c r="CD13" i="9" s="1"/>
  <c r="CF13" i="9" s="1"/>
  <c r="P13" i="9"/>
  <c r="BP13" i="9"/>
  <c r="BY13" i="9"/>
  <c r="H78" i="10" s="1"/>
  <c r="AK13" i="9"/>
  <c r="AH13" i="9"/>
  <c r="AP13" i="9"/>
  <c r="BR19" i="9"/>
  <c r="BL19" i="9"/>
  <c r="X19" i="9"/>
  <c r="BX19" i="9"/>
  <c r="AH19" i="9"/>
  <c r="V19" i="9"/>
  <c r="BM19" i="9"/>
  <c r="H66" i="10" s="1"/>
  <c r="AT19" i="9"/>
  <c r="U10" i="9"/>
  <c r="AZ10" i="9"/>
  <c r="Q10" i="9"/>
  <c r="AU10" i="9"/>
  <c r="H48" i="10" s="1"/>
  <c r="BW10" i="9"/>
  <c r="AX10" i="9"/>
  <c r="M10" i="9"/>
  <c r="M25" i="9" s="1"/>
  <c r="I14" i="10" s="1"/>
  <c r="M29" i="7"/>
  <c r="O29" i="7" s="1"/>
  <c r="Q29" i="7" s="1"/>
  <c r="BH22" i="9"/>
  <c r="Y22" i="9"/>
  <c r="S22" i="9"/>
  <c r="BU22" i="9"/>
  <c r="Q22" i="9"/>
  <c r="BM22" i="9"/>
  <c r="E22" i="9"/>
  <c r="BC20" i="9"/>
  <c r="BG20" i="9"/>
  <c r="BV20" i="9"/>
  <c r="BR20" i="9"/>
  <c r="BR26" i="9" s="1"/>
  <c r="BX20" i="9"/>
  <c r="V20" i="9"/>
  <c r="AP20" i="9"/>
  <c r="H68" i="10"/>
  <c r="AU14" i="9"/>
  <c r="AF14" i="9"/>
  <c r="H33" i="10" s="1"/>
  <c r="BR14" i="9"/>
  <c r="AZ14" i="9"/>
  <c r="BN14" i="9"/>
  <c r="BE14" i="9"/>
  <c r="G14" i="9"/>
  <c r="H8" i="10" s="1"/>
  <c r="BG23" i="9"/>
  <c r="BU23" i="9"/>
  <c r="BK23" i="9"/>
  <c r="H64" i="10" s="1"/>
  <c r="Q23" i="9"/>
  <c r="H18" i="10" s="1"/>
  <c r="BZ23" i="9"/>
  <c r="AX23" i="9"/>
  <c r="CC23" i="9"/>
  <c r="AT23" i="9"/>
  <c r="BN19" i="9"/>
  <c r="BO19" i="9"/>
  <c r="AY19" i="9"/>
  <c r="T19" i="9"/>
  <c r="AV19" i="9"/>
  <c r="BV19" i="9"/>
  <c r="BV26" i="9" s="1"/>
  <c r="AU19" i="9"/>
  <c r="D19" i="9"/>
  <c r="AB19" i="9"/>
  <c r="AS19" i="9"/>
  <c r="M38" i="7"/>
  <c r="O38" i="7" s="1"/>
  <c r="Q38" i="7" s="1"/>
  <c r="BD22" i="9"/>
  <c r="AU22" i="9"/>
  <c r="U22" i="9"/>
  <c r="BC22" i="9"/>
  <c r="O22" i="9"/>
  <c r="BA22" i="9"/>
  <c r="AL22" i="9"/>
  <c r="M27" i="7"/>
  <c r="O27" i="7" s="1"/>
  <c r="Q27" i="7" s="1"/>
  <c r="BJ20" i="9"/>
  <c r="AE20" i="9"/>
  <c r="CA20" i="9"/>
  <c r="AU20" i="9"/>
  <c r="AY20" i="9"/>
  <c r="CC20" i="9"/>
  <c r="AS20" i="9"/>
  <c r="H69" i="10"/>
  <c r="AF26" i="9"/>
  <c r="BM25" i="9"/>
  <c r="I66" i="10" s="1"/>
  <c r="CA12" i="9"/>
  <c r="BU12" i="9"/>
  <c r="H74" i="10" s="1"/>
  <c r="O12" i="9"/>
  <c r="H16" i="10" s="1"/>
  <c r="AR12" i="9"/>
  <c r="I12" i="9"/>
  <c r="I25" i="9" s="1"/>
  <c r="I10" i="10" s="1"/>
  <c r="CB12" i="9"/>
  <c r="CB26" i="9" s="1"/>
  <c r="AL12" i="9"/>
  <c r="AL25" i="9" s="1"/>
  <c r="I39" i="10" s="1"/>
  <c r="M31" i="7"/>
  <c r="O31" i="7" s="1"/>
  <c r="Q31" i="7" s="1"/>
  <c r="AW14" i="9"/>
  <c r="N14" i="9"/>
  <c r="I14" i="9"/>
  <c r="BP14" i="9"/>
  <c r="BF14" i="9"/>
  <c r="H59" i="10" s="1"/>
  <c r="AI14" i="9"/>
  <c r="H36" i="10" s="1"/>
  <c r="BQ14" i="9"/>
  <c r="I23" i="9"/>
  <c r="AU23" i="9"/>
  <c r="BV23" i="9"/>
  <c r="BD23" i="9"/>
  <c r="AE23" i="9"/>
  <c r="AL23" i="9"/>
  <c r="E23" i="9"/>
  <c r="CD23" i="9" s="1"/>
  <c r="CF23" i="9" s="1"/>
  <c r="M42" i="7"/>
  <c r="AU18" i="9"/>
  <c r="BL18" i="9"/>
  <c r="X18" i="9"/>
  <c r="H25" i="10" s="1"/>
  <c r="AH18" i="9"/>
  <c r="H35" i="10" s="1"/>
  <c r="AO18" i="9"/>
  <c r="H42" i="10" s="1"/>
  <c r="BQ18" i="9"/>
  <c r="AX18" i="9"/>
  <c r="M37" i="7"/>
  <c r="O37" i="7" s="1"/>
  <c r="Q37" i="7" s="1"/>
  <c r="CD16" i="9"/>
  <c r="CF16" i="9" s="1"/>
  <c r="Y19" i="9"/>
  <c r="E19" i="9"/>
  <c r="AL19" i="9"/>
  <c r="H50" i="10"/>
  <c r="AW26" i="9"/>
  <c r="AH25" i="9"/>
  <c r="I35" i="10" s="1"/>
  <c r="BY19" i="9"/>
  <c r="BR25" i="9"/>
  <c r="I71" i="10" s="1"/>
  <c r="H67" i="10"/>
  <c r="BN26" i="9"/>
  <c r="BN25" i="9"/>
  <c r="I67" i="10" s="1"/>
  <c r="H58" i="10"/>
  <c r="AC19" i="9"/>
  <c r="BP22" i="9"/>
  <c r="BV22" i="9"/>
  <c r="AY22" i="9"/>
  <c r="AK22" i="9"/>
  <c r="AK25" i="9" s="1"/>
  <c r="I38" i="10" s="1"/>
  <c r="AN22" i="9"/>
  <c r="F22" i="9"/>
  <c r="H7" i="10" s="1"/>
  <c r="BP20" i="9"/>
  <c r="AF20" i="9"/>
  <c r="BY20" i="9"/>
  <c r="AM20" i="9"/>
  <c r="AV20" i="9"/>
  <c r="CB20" i="9"/>
  <c r="BE20" i="9"/>
  <c r="AA20" i="9"/>
  <c r="H28" i="10" s="1"/>
  <c r="AG26" i="9"/>
  <c r="AA25" i="9"/>
  <c r="I28" i="10" s="1"/>
  <c r="AA26" i="9"/>
  <c r="H14" i="9"/>
  <c r="AC14" i="9"/>
  <c r="Q14" i="9"/>
  <c r="BV14" i="9"/>
  <c r="AG14" i="9"/>
  <c r="AG25" i="9" s="1"/>
  <c r="I34" i="10" s="1"/>
  <c r="M14" i="9"/>
  <c r="CC14" i="9"/>
  <c r="AS14" i="9"/>
  <c r="AS26" i="9" s="1"/>
  <c r="BX23" i="9"/>
  <c r="H23" i="9"/>
  <c r="H9" i="10" s="1"/>
  <c r="W23" i="9"/>
  <c r="BF23" i="9"/>
  <c r="AF23" i="9"/>
  <c r="V23" i="9"/>
  <c r="AI23" i="9"/>
  <c r="D50" i="13"/>
  <c r="C50" i="13"/>
  <c r="Q50" i="13"/>
  <c r="L50" i="13"/>
  <c r="N50" i="13"/>
  <c r="M50" i="13"/>
  <c r="F50" i="13"/>
  <c r="I50" i="13"/>
  <c r="J50" i="13"/>
  <c r="R50" i="13"/>
  <c r="B50" i="13"/>
  <c r="E50" i="13"/>
  <c r="K50" i="13"/>
  <c r="H50" i="13"/>
  <c r="G50" i="13"/>
  <c r="O50" i="13"/>
  <c r="P50" i="13"/>
  <c r="BI19" i="9"/>
  <c r="AD19" i="9"/>
  <c r="AX19" i="9"/>
  <c r="K5" i="10"/>
  <c r="CD27" i="9"/>
  <c r="P19" i="9"/>
  <c r="BC19" i="9"/>
  <c r="AK19" i="9"/>
  <c r="H38" i="10" s="1"/>
  <c r="BJ19" i="9"/>
  <c r="M19" i="9"/>
  <c r="BQ19" i="9"/>
  <c r="N6" i="13"/>
  <c r="O6" i="13" s="1"/>
  <c r="M6" i="13"/>
  <c r="N10" i="13"/>
  <c r="O10" i="13" s="1"/>
  <c r="N9" i="13"/>
  <c r="O9" i="13" s="1"/>
  <c r="N8" i="13"/>
  <c r="O8" i="13" s="1"/>
  <c r="AZ22" i="9"/>
  <c r="M22" i="9"/>
  <c r="N19" i="9"/>
  <c r="BH19" i="9"/>
  <c r="AE19" i="9"/>
  <c r="BU19" i="9"/>
  <c r="W19" i="9"/>
  <c r="CB19" i="9"/>
  <c r="AA19" i="9"/>
  <c r="H22" i="9"/>
  <c r="AC22" i="9"/>
  <c r="D22" i="9"/>
  <c r="X22" i="9"/>
  <c r="P22" i="9"/>
  <c r="H17" i="10" s="1"/>
  <c r="BE22" i="9"/>
  <c r="AX22" i="9"/>
  <c r="AT22" i="9"/>
  <c r="AZ9" i="9"/>
  <c r="AZ25" i="9" s="1"/>
  <c r="I53" i="10" s="1"/>
  <c r="AC9" i="9"/>
  <c r="H30" i="10" s="1"/>
  <c r="BG9" i="9"/>
  <c r="BG25" i="9" s="1"/>
  <c r="I60" i="10" s="1"/>
  <c r="P9" i="9"/>
  <c r="L9" i="9"/>
  <c r="L26" i="9" s="1"/>
  <c r="T9" i="9"/>
  <c r="T26" i="9" s="1"/>
  <c r="BA9" i="9"/>
  <c r="H54" i="10" s="1"/>
  <c r="AQ9" i="9"/>
  <c r="P20" i="9"/>
  <c r="Q20" i="9"/>
  <c r="N20" i="9"/>
  <c r="Z20" i="9"/>
  <c r="AH20" i="9"/>
  <c r="AB20" i="9"/>
  <c r="BA20" i="9"/>
  <c r="AT20" i="9"/>
  <c r="AT26" i="9" s="1"/>
  <c r="H79" i="10"/>
  <c r="CD7" i="9"/>
  <c r="D25" i="9"/>
  <c r="AI26" i="9"/>
  <c r="H6" i="10"/>
  <c r="E26" i="9"/>
  <c r="BO12" i="9"/>
  <c r="BO26" i="9" s="1"/>
  <c r="Y12" i="9"/>
  <c r="Y25" i="9" s="1"/>
  <c r="I26" i="10" s="1"/>
  <c r="BP12" i="9"/>
  <c r="BP26" i="9" s="1"/>
  <c r="AW12" i="9"/>
  <c r="AW25" i="9" s="1"/>
  <c r="I50" i="10" s="1"/>
  <c r="H12" i="9"/>
  <c r="H25" i="9" s="1"/>
  <c r="I9" i="10" s="1"/>
  <c r="Z12" i="9"/>
  <c r="M12" i="9"/>
  <c r="AQ12" i="9"/>
  <c r="AQ25" i="9" s="1"/>
  <c r="I44" i="10" s="1"/>
  <c r="BY14" i="9"/>
  <c r="BY26" i="9" s="1"/>
  <c r="BD14" i="9"/>
  <c r="BL14" i="9"/>
  <c r="BJ14" i="9"/>
  <c r="BI14" i="9"/>
  <c r="H62" i="10" s="1"/>
  <c r="F14" i="9"/>
  <c r="E14" i="9"/>
  <c r="AT14" i="9"/>
  <c r="H47" i="10" s="1"/>
  <c r="AW23" i="9"/>
  <c r="AK23" i="9"/>
  <c r="AK26" i="9" s="1"/>
  <c r="BC23" i="9"/>
  <c r="BY23" i="9"/>
  <c r="AD23" i="9"/>
  <c r="BA23" i="9"/>
  <c r="BE23" i="9"/>
  <c r="S18" i="9"/>
  <c r="H18" i="9"/>
  <c r="I18" i="9"/>
  <c r="BX18" i="9"/>
  <c r="BX25" i="9" s="1"/>
  <c r="I77" i="10" s="1"/>
  <c r="O18" i="9"/>
  <c r="CC18" i="9"/>
  <c r="AP18" i="9"/>
  <c r="S19" i="9"/>
  <c r="AR19" i="9"/>
  <c r="J19" i="9"/>
  <c r="AW19" i="9"/>
  <c r="AF19" i="9"/>
  <c r="G19" i="9"/>
  <c r="AN19" i="9"/>
  <c r="AN25" i="9" s="1"/>
  <c r="I41" i="10" s="1"/>
  <c r="BI22" i="9"/>
  <c r="BG22" i="9"/>
  <c r="CA22" i="9"/>
  <c r="T22" i="9"/>
  <c r="J22" i="9"/>
  <c r="G22" i="9"/>
  <c r="AA8" i="9"/>
  <c r="K8" i="9"/>
  <c r="H12" i="10" s="1"/>
  <c r="W9" i="9"/>
  <c r="W25" i="9" s="1"/>
  <c r="I24" i="10" s="1"/>
  <c r="Z9" i="9"/>
  <c r="Z25" i="9" s="1"/>
  <c r="I27" i="10" s="1"/>
  <c r="BL9" i="9"/>
  <c r="H65" i="10" s="1"/>
  <c r="U9" i="9"/>
  <c r="U25" i="9" s="1"/>
  <c r="I22" i="10" s="1"/>
  <c r="BW9" i="9"/>
  <c r="M9" i="9"/>
  <c r="CC9" i="9"/>
  <c r="CC25" i="9" s="1"/>
  <c r="I82" i="10" s="1"/>
  <c r="W20" i="9"/>
  <c r="AO20" i="9"/>
  <c r="AO26" i="9" s="1"/>
  <c r="AG20" i="9"/>
  <c r="AZ20" i="9"/>
  <c r="U20" i="9"/>
  <c r="BS20" i="9"/>
  <c r="H72" i="10" s="1"/>
  <c r="T17" i="9"/>
  <c r="H21" i="10" s="1"/>
  <c r="BK17" i="9"/>
  <c r="O17" i="9"/>
  <c r="Z17" i="9"/>
  <c r="BY17" i="9"/>
  <c r="E17" i="9"/>
  <c r="CD17" i="9" s="1"/>
  <c r="CF17" i="9" s="1"/>
  <c r="H11" i="10"/>
  <c r="J26" i="9"/>
  <c r="J25" i="9"/>
  <c r="I11" i="10" s="1"/>
  <c r="H31" i="10"/>
  <c r="AD25" i="9"/>
  <c r="I31" i="10" s="1"/>
  <c r="AD26" i="9"/>
  <c r="P25" i="9"/>
  <c r="I17" i="10" s="1"/>
  <c r="BJ12" i="9"/>
  <c r="BJ25" i="9" s="1"/>
  <c r="I63" i="10" s="1"/>
  <c r="BW12" i="9"/>
  <c r="H76" i="10" s="1"/>
  <c r="BZ12" i="9"/>
  <c r="AE12" i="9"/>
  <c r="AE25" i="9" s="1"/>
  <c r="I32" i="10" s="1"/>
  <c r="AZ12" i="9"/>
  <c r="AP12" i="9"/>
  <c r="E12" i="9"/>
  <c r="E25" i="9" s="1"/>
  <c r="I6" i="10" s="1"/>
  <c r="Z14" i="9"/>
  <c r="T14" i="9"/>
  <c r="AY14" i="9"/>
  <c r="H52" i="10" s="1"/>
  <c r="AM14" i="9"/>
  <c r="AM25" i="9" s="1"/>
  <c r="I40" i="10" s="1"/>
  <c r="L14" i="9"/>
  <c r="AB14" i="9"/>
  <c r="H29" i="10" s="1"/>
  <c r="CB14" i="9"/>
  <c r="H81" i="10" s="1"/>
  <c r="BD11" i="9"/>
  <c r="H57" i="10" s="1"/>
  <c r="BC11" i="9"/>
  <c r="BC25" i="9" s="1"/>
  <c r="I56" i="10" s="1"/>
  <c r="BY11" i="9"/>
  <c r="BY25" i="9" s="1"/>
  <c r="I78" i="10" s="1"/>
  <c r="AZ11" i="9"/>
  <c r="P11" i="9"/>
  <c r="BE11" i="9"/>
  <c r="BE26" i="9" s="1"/>
  <c r="AP11" i="9"/>
  <c r="AP25" i="9" s="1"/>
  <c r="I43" i="10" s="1"/>
  <c r="P23" i="9"/>
  <c r="AZ23" i="9"/>
  <c r="AM23" i="9"/>
  <c r="BN23" i="9"/>
  <c r="J23" i="9"/>
  <c r="BS23" i="9"/>
  <c r="G23" i="9"/>
  <c r="BO18" i="9"/>
  <c r="CA18" i="9"/>
  <c r="W18" i="9"/>
  <c r="AV18" i="9"/>
  <c r="H49" i="10" s="1"/>
  <c r="BW18" i="9"/>
  <c r="AR18" i="9"/>
  <c r="V18" i="9"/>
  <c r="BS18" i="9"/>
  <c r="C12" i="11"/>
  <c r="C11" i="11"/>
  <c r="H24" i="10"/>
  <c r="AE26" i="9"/>
  <c r="S14" i="9"/>
  <c r="S25" i="9" s="1"/>
  <c r="I20" i="10" s="1"/>
  <c r="CA14" i="9"/>
  <c r="H80" i="10" s="1"/>
  <c r="AR14" i="9"/>
  <c r="AR26" i="9" s="1"/>
  <c r="AE14" i="9"/>
  <c r="Y14" i="9"/>
  <c r="BM14" i="9"/>
  <c r="BA14" i="9"/>
  <c r="Q11" i="9"/>
  <c r="BZ11" i="9"/>
  <c r="BZ26" i="9" s="1"/>
  <c r="BX11" i="9"/>
  <c r="BX26" i="9" s="1"/>
  <c r="BR11" i="9"/>
  <c r="H71" i="10" s="1"/>
  <c r="N11" i="9"/>
  <c r="N25" i="9" s="1"/>
  <c r="I15" i="10" s="1"/>
  <c r="AX11" i="9"/>
  <c r="H51" i="10" s="1"/>
  <c r="AC23" i="9"/>
  <c r="AY23" i="9"/>
  <c r="BJ23" i="9"/>
  <c r="Z23" i="9"/>
  <c r="BH23" i="9"/>
  <c r="BI23" i="9"/>
  <c r="K23" i="9"/>
  <c r="BU18" i="9"/>
  <c r="L18" i="9"/>
  <c r="BC18" i="9"/>
  <c r="BC26" i="9" s="1"/>
  <c r="BF18" i="9"/>
  <c r="AF18" i="9"/>
  <c r="M18" i="9"/>
  <c r="G18" i="9"/>
  <c r="CD18" i="9" s="1"/>
  <c r="CF18" i="9" s="1"/>
  <c r="F71" i="10" l="1"/>
  <c r="G71" i="10" s="1"/>
  <c r="E71" i="10"/>
  <c r="J58" i="10"/>
  <c r="BE28" i="9"/>
  <c r="J46" i="10"/>
  <c r="AS28" i="9"/>
  <c r="J59" i="10"/>
  <c r="BF28" i="9"/>
  <c r="J77" i="10"/>
  <c r="BX28" i="9"/>
  <c r="J79" i="10"/>
  <c r="BZ28" i="9"/>
  <c r="F7" i="10"/>
  <c r="G7" i="10" s="1"/>
  <c r="E7" i="10"/>
  <c r="F52" i="10"/>
  <c r="G52" i="10" s="1"/>
  <c r="E52" i="10"/>
  <c r="F30" i="10"/>
  <c r="G30" i="10" s="1"/>
  <c r="E30" i="10"/>
  <c r="F28" i="10"/>
  <c r="G28" i="10" s="1"/>
  <c r="E28" i="10"/>
  <c r="F21" i="10"/>
  <c r="G21" i="10" s="1"/>
  <c r="E21" i="10"/>
  <c r="J78" i="10"/>
  <c r="BY28" i="9"/>
  <c r="F42" i="10"/>
  <c r="G42" i="10" s="1"/>
  <c r="E42" i="10"/>
  <c r="F33" i="10"/>
  <c r="G33" i="10" s="1"/>
  <c r="E33" i="10"/>
  <c r="F23" i="10"/>
  <c r="G23" i="10" s="1"/>
  <c r="E23" i="10"/>
  <c r="J68" i="10"/>
  <c r="BO28" i="9"/>
  <c r="F72" i="10"/>
  <c r="G72" i="10" s="1"/>
  <c r="E72" i="10"/>
  <c r="F65" i="10"/>
  <c r="G65" i="10" s="1"/>
  <c r="E65" i="10"/>
  <c r="J38" i="10"/>
  <c r="AK28" i="9"/>
  <c r="F35" i="10"/>
  <c r="G35" i="10" s="1"/>
  <c r="E35" i="10"/>
  <c r="J75" i="10"/>
  <c r="BV28" i="9"/>
  <c r="F18" i="10"/>
  <c r="G18" i="10" s="1"/>
  <c r="E18" i="10"/>
  <c r="F48" i="10"/>
  <c r="G48" i="10" s="1"/>
  <c r="E48" i="10"/>
  <c r="F61" i="10"/>
  <c r="G61" i="10" s="1"/>
  <c r="E61" i="10"/>
  <c r="F81" i="10"/>
  <c r="G81" i="10" s="1"/>
  <c r="E81" i="10"/>
  <c r="F12" i="10"/>
  <c r="G12" i="10" s="1"/>
  <c r="E12" i="10"/>
  <c r="F54" i="10"/>
  <c r="G54" i="10" s="1"/>
  <c r="E54" i="10"/>
  <c r="F17" i="10"/>
  <c r="G17" i="10" s="1"/>
  <c r="E17" i="10"/>
  <c r="F36" i="10"/>
  <c r="G36" i="10" s="1"/>
  <c r="E36" i="10"/>
  <c r="F25" i="10"/>
  <c r="G25" i="10" s="1"/>
  <c r="E25" i="10"/>
  <c r="F57" i="10"/>
  <c r="G57" i="10" s="1"/>
  <c r="E57" i="10"/>
  <c r="J56" i="10"/>
  <c r="BC28" i="9"/>
  <c r="F51" i="10"/>
  <c r="G51" i="10" s="1"/>
  <c r="E51" i="10"/>
  <c r="J45" i="10"/>
  <c r="AR28" i="9"/>
  <c r="F29" i="10"/>
  <c r="G29" i="10" s="1"/>
  <c r="E29" i="10"/>
  <c r="J42" i="10"/>
  <c r="AO28" i="9"/>
  <c r="J47" i="10"/>
  <c r="AT28" i="9"/>
  <c r="J21" i="10"/>
  <c r="T28" i="9"/>
  <c r="F59" i="10"/>
  <c r="G59" i="10" s="1"/>
  <c r="E59" i="10"/>
  <c r="F16" i="10"/>
  <c r="G16" i="10" s="1"/>
  <c r="E16" i="10"/>
  <c r="F8" i="10"/>
  <c r="G8" i="10" s="1"/>
  <c r="E8" i="10"/>
  <c r="J81" i="10"/>
  <c r="CB28" i="9"/>
  <c r="F64" i="10"/>
  <c r="G64" i="10" s="1"/>
  <c r="E64" i="10"/>
  <c r="F47" i="10"/>
  <c r="G47" i="10" s="1"/>
  <c r="E47" i="10"/>
  <c r="F80" i="10"/>
  <c r="G80" i="10" s="1"/>
  <c r="E80" i="10"/>
  <c r="F49" i="10"/>
  <c r="G49" i="10" s="1"/>
  <c r="E49" i="10"/>
  <c r="F76" i="10"/>
  <c r="G76" i="10" s="1"/>
  <c r="E76" i="10"/>
  <c r="F62" i="10"/>
  <c r="G62" i="10" s="1"/>
  <c r="E62" i="10"/>
  <c r="J69" i="10"/>
  <c r="BP28" i="9"/>
  <c r="J13" i="10"/>
  <c r="L28" i="9"/>
  <c r="F38" i="10"/>
  <c r="G38" i="10" s="1"/>
  <c r="E38" i="10"/>
  <c r="F9" i="10"/>
  <c r="G9" i="10" s="1"/>
  <c r="E9" i="10"/>
  <c r="F74" i="10"/>
  <c r="G74" i="10" s="1"/>
  <c r="E74" i="10"/>
  <c r="J71" i="10"/>
  <c r="BR28" i="9"/>
  <c r="F66" i="10"/>
  <c r="G66" i="10" s="1"/>
  <c r="E66" i="10"/>
  <c r="F78" i="10"/>
  <c r="G78" i="10" s="1"/>
  <c r="E78" i="10"/>
  <c r="F70" i="10"/>
  <c r="G70" i="10" s="1"/>
  <c r="E70" i="10"/>
  <c r="F34" i="10"/>
  <c r="G34" i="10" s="1"/>
  <c r="E34" i="10"/>
  <c r="J50" i="10"/>
  <c r="AW28" i="9"/>
  <c r="F68" i="10"/>
  <c r="G68" i="10" s="1"/>
  <c r="E68" i="10"/>
  <c r="H32" i="10"/>
  <c r="CD14" i="9"/>
  <c r="CF14" i="9" s="1"/>
  <c r="AH26" i="9"/>
  <c r="Q26" i="9"/>
  <c r="BS26" i="9"/>
  <c r="F26" i="10"/>
  <c r="G26" i="10" s="1"/>
  <c r="E26" i="10"/>
  <c r="J36" i="10"/>
  <c r="AI28" i="9"/>
  <c r="N26" i="9"/>
  <c r="J67" i="10"/>
  <c r="BN28" i="9"/>
  <c r="AX25" i="9"/>
  <c r="I51" i="10" s="1"/>
  <c r="BW25" i="9"/>
  <c r="I76" i="10" s="1"/>
  <c r="M19" i="12"/>
  <c r="N19" i="12" s="1"/>
  <c r="J19" i="12"/>
  <c r="K19" i="12" s="1"/>
  <c r="U26" i="9"/>
  <c r="BK26" i="9"/>
  <c r="CF7" i="9"/>
  <c r="AT25" i="9"/>
  <c r="I47" i="10" s="1"/>
  <c r="BW26" i="9"/>
  <c r="BF25" i="9"/>
  <c r="I59" i="10" s="1"/>
  <c r="BA25" i="9"/>
  <c r="I54" i="10" s="1"/>
  <c r="BQ26" i="9"/>
  <c r="H15" i="10"/>
  <c r="AV26" i="9"/>
  <c r="H39" i="10"/>
  <c r="H20" i="10"/>
  <c r="AS25" i="9"/>
  <c r="I46" i="10" s="1"/>
  <c r="H75" i="10"/>
  <c r="W26" i="9"/>
  <c r="H46" i="10"/>
  <c r="J31" i="10"/>
  <c r="AD28" i="9"/>
  <c r="T25" i="9"/>
  <c r="I21" i="10" s="1"/>
  <c r="BZ25" i="9"/>
  <c r="I79" i="10" s="1"/>
  <c r="H26" i="9"/>
  <c r="CD9" i="9"/>
  <c r="CF9" i="9" s="1"/>
  <c r="BE25" i="9"/>
  <c r="I58" i="10" s="1"/>
  <c r="H40" i="10"/>
  <c r="CB25" i="9"/>
  <c r="I81" i="10" s="1"/>
  <c r="H53" i="10"/>
  <c r="H82" i="10"/>
  <c r="AF25" i="9"/>
  <c r="I33" i="10" s="1"/>
  <c r="BP25" i="9"/>
  <c r="I69" i="10" s="1"/>
  <c r="CD19" i="9"/>
  <c r="CF19" i="9" s="1"/>
  <c r="BO25" i="9"/>
  <c r="I68" i="10" s="1"/>
  <c r="I26" i="9"/>
  <c r="M16" i="12"/>
  <c r="N16" i="12" s="1"/>
  <c r="J16" i="12"/>
  <c r="K16" i="12" s="1"/>
  <c r="BG26" i="9"/>
  <c r="J6" i="10"/>
  <c r="E28" i="9"/>
  <c r="J28" i="10"/>
  <c r="AA28" i="9"/>
  <c r="CD11" i="9"/>
  <c r="CF11" i="9" s="1"/>
  <c r="J33" i="10"/>
  <c r="AF28" i="9"/>
  <c r="F10" i="10"/>
  <c r="G10" i="10" s="1"/>
  <c r="E10" i="10"/>
  <c r="J26" i="10"/>
  <c r="Y28" i="9"/>
  <c r="P26" i="9"/>
  <c r="J32" i="10"/>
  <c r="AE28" i="9"/>
  <c r="J34" i="10"/>
  <c r="AG28" i="9"/>
  <c r="F58" i="10"/>
  <c r="G58" i="10" s="1"/>
  <c r="E58" i="10"/>
  <c r="F24" i="10"/>
  <c r="G24" i="10" s="1"/>
  <c r="E24" i="10"/>
  <c r="F79" i="10"/>
  <c r="G79" i="10" s="1"/>
  <c r="E79" i="10"/>
  <c r="F50" i="10"/>
  <c r="G50" i="10" s="1"/>
  <c r="E50" i="10"/>
  <c r="BM26" i="9"/>
  <c r="H56" i="10"/>
  <c r="AR25" i="9"/>
  <c r="I45" i="10" s="1"/>
  <c r="AB26" i="9"/>
  <c r="H77" i="10"/>
  <c r="AP26" i="9"/>
  <c r="M13" i="12"/>
  <c r="N13" i="12" s="1"/>
  <c r="J13" i="12"/>
  <c r="K13" i="12" s="1"/>
  <c r="BA26" i="9"/>
  <c r="H22" i="10"/>
  <c r="F69" i="10"/>
  <c r="G69" i="10" s="1"/>
  <c r="E69" i="10"/>
  <c r="F26" i="9"/>
  <c r="F31" i="10"/>
  <c r="G31" i="10" s="1"/>
  <c r="E31" i="10"/>
  <c r="F6" i="10"/>
  <c r="G6" i="10" s="1"/>
  <c r="E6" i="10"/>
  <c r="I5" i="10"/>
  <c r="AX26" i="9"/>
  <c r="F25" i="9"/>
  <c r="I7" i="10" s="1"/>
  <c r="CD22" i="9"/>
  <c r="CF22" i="9" s="1"/>
  <c r="H45" i="10"/>
  <c r="BK25" i="9"/>
  <c r="I64" i="10" s="1"/>
  <c r="H14" i="10"/>
  <c r="AC25" i="9"/>
  <c r="I30" i="10" s="1"/>
  <c r="V26" i="9"/>
  <c r="AV25" i="9"/>
  <c r="I49" i="10" s="1"/>
  <c r="H13" i="10"/>
  <c r="AB25" i="9"/>
  <c r="I29" i="10" s="1"/>
  <c r="H63" i="10"/>
  <c r="H44" i="10"/>
  <c r="BD26" i="9"/>
  <c r="H41" i="10"/>
  <c r="BH25" i="9"/>
  <c r="I61" i="10" s="1"/>
  <c r="CD21" i="9"/>
  <c r="CF21" i="9" s="1"/>
  <c r="H43" i="10"/>
  <c r="BU25" i="9"/>
  <c r="I74" i="10" s="1"/>
  <c r="M20" i="12"/>
  <c r="N20" i="12" s="1"/>
  <c r="J20" i="12"/>
  <c r="K20" i="12" s="1"/>
  <c r="BI26" i="9"/>
  <c r="L25" i="9"/>
  <c r="I13" i="10" s="1"/>
  <c r="C9" i="11"/>
  <c r="O42" i="7"/>
  <c r="Q42" i="7" s="1"/>
  <c r="AQ26" i="9"/>
  <c r="S26" i="9"/>
  <c r="BQ25" i="9"/>
  <c r="I70" i="10" s="1"/>
  <c r="CD10" i="9"/>
  <c r="CF10" i="9" s="1"/>
  <c r="K25" i="9"/>
  <c r="I12" i="10" s="1"/>
  <c r="CA25" i="9"/>
  <c r="I80" i="10" s="1"/>
  <c r="BV25" i="9"/>
  <c r="I75" i="10" s="1"/>
  <c r="Z26" i="9"/>
  <c r="X25" i="9"/>
  <c r="I25" i="10" s="1"/>
  <c r="AC26" i="9"/>
  <c r="V25" i="9"/>
  <c r="I23" i="10" s="1"/>
  <c r="CD8" i="9"/>
  <c r="CF8" i="9" s="1"/>
  <c r="O26" i="9"/>
  <c r="AU26" i="9"/>
  <c r="BD25" i="9"/>
  <c r="I57" i="10" s="1"/>
  <c r="G26" i="9"/>
  <c r="BH26" i="9"/>
  <c r="AY25" i="9"/>
  <c r="I52" i="10" s="1"/>
  <c r="BU26" i="9"/>
  <c r="M18" i="12"/>
  <c r="N18" i="12" s="1"/>
  <c r="J18" i="12"/>
  <c r="K18" i="12" s="1"/>
  <c r="BL26" i="9"/>
  <c r="BI25" i="9"/>
  <c r="I62" i="10" s="1"/>
  <c r="R11" i="13"/>
  <c r="Q11" i="13"/>
  <c r="D17" i="12"/>
  <c r="E17" i="12"/>
  <c r="G17" i="12" s="1"/>
  <c r="H17" i="12" s="1"/>
  <c r="D26" i="9"/>
  <c r="CD12" i="9"/>
  <c r="CF12" i="9" s="1"/>
  <c r="Q25" i="9"/>
  <c r="I18" i="10" s="1"/>
  <c r="J11" i="10"/>
  <c r="J28" i="9"/>
  <c r="M26" i="9"/>
  <c r="F67" i="10"/>
  <c r="G67" i="10" s="1"/>
  <c r="E67" i="10"/>
  <c r="H5" i="10"/>
  <c r="BJ26" i="9"/>
  <c r="H27" i="10"/>
  <c r="X26" i="9"/>
  <c r="AM26" i="9"/>
  <c r="AZ26" i="9"/>
  <c r="O25" i="9"/>
  <c r="I16" i="10" s="1"/>
  <c r="CC26" i="9"/>
  <c r="AU25" i="9"/>
  <c r="I48" i="10" s="1"/>
  <c r="G25" i="9"/>
  <c r="I8" i="10" s="1"/>
  <c r="AY26" i="9"/>
  <c r="M15" i="12"/>
  <c r="N15" i="12" s="1"/>
  <c r="J15" i="12"/>
  <c r="K15" i="12" s="1"/>
  <c r="BL25" i="9"/>
  <c r="I65" i="10" s="1"/>
  <c r="F60" i="10"/>
  <c r="G60" i="10" s="1"/>
  <c r="E60" i="10"/>
  <c r="AL26" i="9"/>
  <c r="AN26" i="9"/>
  <c r="F11" i="10"/>
  <c r="G11" i="10" s="1"/>
  <c r="E11" i="10"/>
  <c r="K26" i="9"/>
  <c r="CA26" i="9"/>
  <c r="M14" i="12"/>
  <c r="N14" i="12" s="1"/>
  <c r="J14" i="12"/>
  <c r="K14" i="12" s="1"/>
  <c r="J17" i="10" l="1"/>
  <c r="P28" i="9"/>
  <c r="F82" i="10"/>
  <c r="G82" i="10" s="1"/>
  <c r="E82" i="10"/>
  <c r="J18" i="10"/>
  <c r="Q28" i="9"/>
  <c r="L81" i="10"/>
  <c r="CB29" i="9"/>
  <c r="M81" i="10" s="1"/>
  <c r="CB30" i="9"/>
  <c r="N81" i="10" s="1"/>
  <c r="L47" i="10"/>
  <c r="AT29" i="9"/>
  <c r="M47" i="10" s="1"/>
  <c r="AT30" i="9"/>
  <c r="N47" i="10" s="1"/>
  <c r="J82" i="10"/>
  <c r="CC28" i="9"/>
  <c r="J40" i="10"/>
  <c r="AM28" i="9"/>
  <c r="J30" i="10"/>
  <c r="AC28" i="9"/>
  <c r="F41" i="10"/>
  <c r="G41" i="10" s="1"/>
  <c r="E41" i="10"/>
  <c r="J29" i="10"/>
  <c r="AB28" i="9"/>
  <c r="C18" i="11"/>
  <c r="J15" i="10"/>
  <c r="N28" i="9"/>
  <c r="L13" i="10"/>
  <c r="L29" i="9"/>
  <c r="M13" i="10" s="1"/>
  <c r="L30" i="9"/>
  <c r="N13" i="10" s="1"/>
  <c r="L77" i="10"/>
  <c r="BX29" i="9"/>
  <c r="M77" i="10" s="1"/>
  <c r="BX30" i="9"/>
  <c r="N77" i="10" s="1"/>
  <c r="L33" i="10"/>
  <c r="AF29" i="9"/>
  <c r="M33" i="10" s="1"/>
  <c r="AF30" i="9"/>
  <c r="N33" i="10" s="1"/>
  <c r="J10" i="10"/>
  <c r="I28" i="9"/>
  <c r="F20" i="10"/>
  <c r="G20" i="10" s="1"/>
  <c r="E20" i="10"/>
  <c r="C19" i="11"/>
  <c r="L36" i="10"/>
  <c r="AI29" i="9"/>
  <c r="M36" i="10" s="1"/>
  <c r="AI30" i="9"/>
  <c r="N36" i="10" s="1"/>
  <c r="L59" i="10"/>
  <c r="BF30" i="9"/>
  <c r="N59" i="10" s="1"/>
  <c r="BF29" i="9"/>
  <c r="M59" i="10" s="1"/>
  <c r="J25" i="10"/>
  <c r="X28" i="9"/>
  <c r="J74" i="10"/>
  <c r="BU28" i="9"/>
  <c r="C22" i="11"/>
  <c r="C14" i="11" s="1"/>
  <c r="C15" i="11"/>
  <c r="J7" i="10"/>
  <c r="F28" i="9"/>
  <c r="J5" i="10"/>
  <c r="CD26" i="9"/>
  <c r="D28" i="9"/>
  <c r="C25" i="11"/>
  <c r="F44" i="10"/>
  <c r="G44" i="10" s="1"/>
  <c r="E44" i="10"/>
  <c r="J49" i="10"/>
  <c r="AV28" i="9"/>
  <c r="J22" i="10"/>
  <c r="U28" i="9"/>
  <c r="J57" i="10"/>
  <c r="BD28" i="9"/>
  <c r="F45" i="10"/>
  <c r="G45" i="10" s="1"/>
  <c r="E45" i="10"/>
  <c r="F27" i="10"/>
  <c r="G27" i="10" s="1"/>
  <c r="E27" i="10"/>
  <c r="J27" i="10"/>
  <c r="Z28" i="9"/>
  <c r="L71" i="10"/>
  <c r="BR30" i="9"/>
  <c r="N71" i="10" s="1"/>
  <c r="BR29" i="9"/>
  <c r="M71" i="10" s="1"/>
  <c r="L45" i="10"/>
  <c r="AR30" i="9"/>
  <c r="N45" i="10" s="1"/>
  <c r="AR29" i="9"/>
  <c r="M45" i="10" s="1"/>
  <c r="J63" i="10"/>
  <c r="BJ28" i="9"/>
  <c r="J61" i="10"/>
  <c r="BH28" i="9"/>
  <c r="F63" i="10"/>
  <c r="G63" i="10" s="1"/>
  <c r="E63" i="10"/>
  <c r="J12" i="10"/>
  <c r="K28" i="9"/>
  <c r="F5" i="10"/>
  <c r="G5" i="10" s="1"/>
  <c r="E5" i="10"/>
  <c r="J51" i="10"/>
  <c r="AX28" i="9"/>
  <c r="F22" i="10"/>
  <c r="G22" i="10" s="1"/>
  <c r="E22" i="10"/>
  <c r="L32" i="10"/>
  <c r="AE30" i="9"/>
  <c r="N32" i="10" s="1"/>
  <c r="AE29" i="9"/>
  <c r="M32" i="10" s="1"/>
  <c r="L28" i="10"/>
  <c r="AA30" i="9"/>
  <c r="N28" i="10" s="1"/>
  <c r="AA29" i="9"/>
  <c r="M28" i="10" s="1"/>
  <c r="F15" i="10"/>
  <c r="G15" i="10" s="1"/>
  <c r="E15" i="10"/>
  <c r="L21" i="10"/>
  <c r="T29" i="9"/>
  <c r="M21" i="10" s="1"/>
  <c r="T30" i="9"/>
  <c r="N21" i="10" s="1"/>
  <c r="L46" i="10"/>
  <c r="AS29" i="9"/>
  <c r="M46" i="10" s="1"/>
  <c r="AS30" i="9"/>
  <c r="N46" i="10" s="1"/>
  <c r="F56" i="10"/>
  <c r="G56" i="10" s="1"/>
  <c r="E56" i="10"/>
  <c r="L34" i="10"/>
  <c r="AG30" i="9"/>
  <c r="N34" i="10" s="1"/>
  <c r="AG29" i="9"/>
  <c r="M34" i="10" s="1"/>
  <c r="J9" i="10"/>
  <c r="H28" i="9"/>
  <c r="F39" i="10"/>
  <c r="G39" i="10" s="1"/>
  <c r="E39" i="10"/>
  <c r="J64" i="10"/>
  <c r="BK28" i="9"/>
  <c r="L50" i="10"/>
  <c r="AW29" i="9"/>
  <c r="M50" i="10" s="1"/>
  <c r="AW30" i="9"/>
  <c r="N50" i="10" s="1"/>
  <c r="L69" i="10"/>
  <c r="BP30" i="9"/>
  <c r="N69" i="10" s="1"/>
  <c r="BP29" i="9"/>
  <c r="M69" i="10" s="1"/>
  <c r="L38" i="10"/>
  <c r="AK30" i="9"/>
  <c r="N38" i="10" s="1"/>
  <c r="AK29" i="9"/>
  <c r="M38" i="10" s="1"/>
  <c r="J80" i="10"/>
  <c r="CA28" i="9"/>
  <c r="M17" i="12"/>
  <c r="N17" i="12" s="1"/>
  <c r="J17" i="12"/>
  <c r="K17" i="12" s="1"/>
  <c r="J62" i="10"/>
  <c r="BI28" i="9"/>
  <c r="J66" i="10"/>
  <c r="BM28" i="9"/>
  <c r="J52" i="10"/>
  <c r="AY28" i="9"/>
  <c r="J8" i="10"/>
  <c r="G28" i="9"/>
  <c r="J51" i="13"/>
  <c r="N51" i="13"/>
  <c r="O51" i="13"/>
  <c r="G51" i="13"/>
  <c r="H51" i="13"/>
  <c r="P51" i="13"/>
  <c r="C51" i="13"/>
  <c r="R51" i="13"/>
  <c r="K51" i="13"/>
  <c r="I51" i="13"/>
  <c r="B51" i="13"/>
  <c r="E51" i="13"/>
  <c r="Q51" i="13"/>
  <c r="L51" i="13"/>
  <c r="D51" i="13"/>
  <c r="M51" i="13"/>
  <c r="F51" i="13"/>
  <c r="F13" i="10"/>
  <c r="G13" i="10" s="1"/>
  <c r="E13" i="10"/>
  <c r="CD25" i="9"/>
  <c r="J54" i="10"/>
  <c r="BA28" i="9"/>
  <c r="L31" i="10"/>
  <c r="AD30" i="9"/>
  <c r="N31" i="10" s="1"/>
  <c r="AD29" i="9"/>
  <c r="M31" i="10" s="1"/>
  <c r="J70" i="10"/>
  <c r="BQ28" i="9"/>
  <c r="J72" i="10"/>
  <c r="BS28" i="9"/>
  <c r="L58" i="10"/>
  <c r="BE29" i="9"/>
  <c r="M58" i="10" s="1"/>
  <c r="BE30" i="9"/>
  <c r="N58" i="10" s="1"/>
  <c r="J48" i="10"/>
  <c r="AU28" i="9"/>
  <c r="J16" i="10"/>
  <c r="O28" i="9"/>
  <c r="F43" i="10"/>
  <c r="G43" i="10" s="1"/>
  <c r="E43" i="10"/>
  <c r="J23" i="10"/>
  <c r="V28" i="9"/>
  <c r="L26" i="10"/>
  <c r="Y29" i="9"/>
  <c r="M26" i="10" s="1"/>
  <c r="Y30" i="9"/>
  <c r="N26" i="10" s="1"/>
  <c r="F53" i="10"/>
  <c r="G53" i="10" s="1"/>
  <c r="E53" i="10"/>
  <c r="F46" i="10"/>
  <c r="G46" i="10" s="1"/>
  <c r="E46" i="10"/>
  <c r="J35" i="10"/>
  <c r="AH28" i="9"/>
  <c r="L6" i="10"/>
  <c r="E29" i="9"/>
  <c r="M6" i="10" s="1"/>
  <c r="E30" i="9"/>
  <c r="N6" i="10" s="1"/>
  <c r="J43" i="10"/>
  <c r="AP28" i="9"/>
  <c r="J60" i="10"/>
  <c r="BG28" i="9"/>
  <c r="J24" i="10"/>
  <c r="W28" i="9"/>
  <c r="J76" i="10"/>
  <c r="BW28" i="9"/>
  <c r="L67" i="10"/>
  <c r="BN29" i="9"/>
  <c r="M67" i="10" s="1"/>
  <c r="BN30" i="9"/>
  <c r="N67" i="10" s="1"/>
  <c r="L42" i="10"/>
  <c r="AO29" i="9"/>
  <c r="M42" i="10" s="1"/>
  <c r="AO30" i="9"/>
  <c r="N42" i="10" s="1"/>
  <c r="L75" i="10"/>
  <c r="BV30" i="9"/>
  <c r="N75" i="10" s="1"/>
  <c r="BV29" i="9"/>
  <c r="M75" i="10" s="1"/>
  <c r="L68" i="10"/>
  <c r="BO30" i="9"/>
  <c r="N68" i="10" s="1"/>
  <c r="BO29" i="9"/>
  <c r="M68" i="10" s="1"/>
  <c r="L79" i="10"/>
  <c r="BZ29" i="9"/>
  <c r="M79" i="10" s="1"/>
  <c r="BZ30" i="9"/>
  <c r="N79" i="10" s="1"/>
  <c r="L56" i="10"/>
  <c r="BC29" i="9"/>
  <c r="M56" i="10" s="1"/>
  <c r="BC30" i="9"/>
  <c r="N56" i="10" s="1"/>
  <c r="L78" i="10"/>
  <c r="BY30" i="9"/>
  <c r="N78" i="10" s="1"/>
  <c r="BY29" i="9"/>
  <c r="M78" i="10" s="1"/>
  <c r="J41" i="10"/>
  <c r="AN28" i="9"/>
  <c r="J14" i="10"/>
  <c r="M28" i="9"/>
  <c r="J39" i="10"/>
  <c r="AL28" i="9"/>
  <c r="L11" i="10"/>
  <c r="J30" i="9"/>
  <c r="N11" i="10" s="1"/>
  <c r="J29" i="9"/>
  <c r="M11" i="10" s="1"/>
  <c r="J65" i="10"/>
  <c r="BL28" i="9"/>
  <c r="J20" i="10"/>
  <c r="S28" i="9"/>
  <c r="J53" i="10"/>
  <c r="AZ28" i="9"/>
  <c r="J44" i="10"/>
  <c r="AQ28" i="9"/>
  <c r="F14" i="10"/>
  <c r="G14" i="10" s="1"/>
  <c r="E14" i="10"/>
  <c r="F77" i="10"/>
  <c r="G77" i="10" s="1"/>
  <c r="E77" i="10"/>
  <c r="F40" i="10"/>
  <c r="G40" i="10" s="1"/>
  <c r="E40" i="10"/>
  <c r="F75" i="10"/>
  <c r="G75" i="10" s="1"/>
  <c r="E75" i="10"/>
  <c r="F32" i="10"/>
  <c r="G32" i="10" s="1"/>
  <c r="E32" i="10"/>
  <c r="L23" i="10" l="1"/>
  <c r="V29" i="9"/>
  <c r="M23" i="10" s="1"/>
  <c r="V30" i="9"/>
  <c r="N23" i="10" s="1"/>
  <c r="L41" i="10"/>
  <c r="AN30" i="9"/>
  <c r="N41" i="10" s="1"/>
  <c r="AN29" i="9"/>
  <c r="M41" i="10" s="1"/>
  <c r="L65" i="10"/>
  <c r="BL30" i="9"/>
  <c r="N65" i="10" s="1"/>
  <c r="BL29" i="9"/>
  <c r="M65" i="10" s="1"/>
  <c r="L54" i="10"/>
  <c r="BA30" i="9"/>
  <c r="N54" i="10" s="1"/>
  <c r="BA29" i="9"/>
  <c r="M54" i="10" s="1"/>
  <c r="L51" i="10"/>
  <c r="AX30" i="9"/>
  <c r="N51" i="10" s="1"/>
  <c r="AX29" i="9"/>
  <c r="M51" i="10" s="1"/>
  <c r="L63" i="10"/>
  <c r="BJ29" i="9"/>
  <c r="M63" i="10" s="1"/>
  <c r="BJ30" i="9"/>
  <c r="N63" i="10" s="1"/>
  <c r="L74" i="10"/>
  <c r="BU30" i="9"/>
  <c r="N74" i="10" s="1"/>
  <c r="BU29" i="9"/>
  <c r="M74" i="10" s="1"/>
  <c r="R12" i="13"/>
  <c r="Q12" i="13"/>
  <c r="L30" i="10"/>
  <c r="AC29" i="9"/>
  <c r="M30" i="10" s="1"/>
  <c r="AC30" i="9"/>
  <c r="N30" i="10" s="1"/>
  <c r="L25" i="10"/>
  <c r="X30" i="9"/>
  <c r="N25" i="10" s="1"/>
  <c r="X29" i="9"/>
  <c r="M25" i="10" s="1"/>
  <c r="L80" i="10"/>
  <c r="CA30" i="9"/>
  <c r="N80" i="10" s="1"/>
  <c r="CA29" i="9"/>
  <c r="M80" i="10" s="1"/>
  <c r="L35" i="10"/>
  <c r="AH30" i="9"/>
  <c r="N35" i="10" s="1"/>
  <c r="AH29" i="9"/>
  <c r="M35" i="10" s="1"/>
  <c r="L72" i="10"/>
  <c r="BS30" i="9"/>
  <c r="N72" i="10" s="1"/>
  <c r="BS29" i="9"/>
  <c r="M72" i="10" s="1"/>
  <c r="L64" i="10"/>
  <c r="BK30" i="9"/>
  <c r="N64" i="10" s="1"/>
  <c r="BK29" i="9"/>
  <c r="M64" i="10" s="1"/>
  <c r="CD28" i="9"/>
  <c r="CD30" i="9" s="1"/>
  <c r="L5" i="10"/>
  <c r="D30" i="9"/>
  <c r="N5" i="10" s="1"/>
  <c r="D29" i="9"/>
  <c r="L10" i="10"/>
  <c r="I30" i="9"/>
  <c r="N10" i="10" s="1"/>
  <c r="I29" i="9"/>
  <c r="M10" i="10" s="1"/>
  <c r="L40" i="10"/>
  <c r="AM30" i="9"/>
  <c r="N40" i="10" s="1"/>
  <c r="AM29" i="9"/>
  <c r="M40" i="10" s="1"/>
  <c r="L18" i="10"/>
  <c r="Q30" i="9"/>
  <c r="N18" i="10" s="1"/>
  <c r="Q29" i="9"/>
  <c r="M18" i="10" s="1"/>
  <c r="L12" i="10"/>
  <c r="K29" i="9"/>
  <c r="M12" i="10" s="1"/>
  <c r="K30" i="9"/>
  <c r="N12" i="10" s="1"/>
  <c r="L57" i="10"/>
  <c r="BD30" i="9"/>
  <c r="N57" i="10" s="1"/>
  <c r="BD29" i="9"/>
  <c r="M57" i="10" s="1"/>
  <c r="L15" i="10"/>
  <c r="N30" i="9"/>
  <c r="N15" i="10" s="1"/>
  <c r="N29" i="9"/>
  <c r="M15" i="10" s="1"/>
  <c r="L82" i="10"/>
  <c r="CC30" i="9"/>
  <c r="N82" i="10" s="1"/>
  <c r="CC29" i="9"/>
  <c r="M82" i="10" s="1"/>
  <c r="L53" i="10"/>
  <c r="AZ30" i="9"/>
  <c r="N53" i="10" s="1"/>
  <c r="AZ29" i="9"/>
  <c r="M53" i="10" s="1"/>
  <c r="L60" i="10"/>
  <c r="BG30" i="9"/>
  <c r="N60" i="10" s="1"/>
  <c r="BG29" i="9"/>
  <c r="M60" i="10" s="1"/>
  <c r="L16" i="10"/>
  <c r="O29" i="9"/>
  <c r="M16" i="10" s="1"/>
  <c r="O30" i="9"/>
  <c r="N16" i="10" s="1"/>
  <c r="L66" i="10"/>
  <c r="BM30" i="9"/>
  <c r="N66" i="10" s="1"/>
  <c r="BM29" i="9"/>
  <c r="M66" i="10" s="1"/>
  <c r="L22" i="10"/>
  <c r="U29" i="9"/>
  <c r="M22" i="10" s="1"/>
  <c r="U30" i="9"/>
  <c r="N22" i="10" s="1"/>
  <c r="L7" i="10"/>
  <c r="F29" i="9"/>
  <c r="M7" i="10" s="1"/>
  <c r="F30" i="9"/>
  <c r="N7" i="10" s="1"/>
  <c r="L52" i="10"/>
  <c r="AY30" i="9"/>
  <c r="N52" i="10" s="1"/>
  <c r="AY29" i="9"/>
  <c r="M52" i="10" s="1"/>
  <c r="L39" i="10"/>
  <c r="AL29" i="9"/>
  <c r="M39" i="10" s="1"/>
  <c r="AL30" i="9"/>
  <c r="N39" i="10" s="1"/>
  <c r="L14" i="10"/>
  <c r="M30" i="9"/>
  <c r="N14" i="10" s="1"/>
  <c r="M29" i="9"/>
  <c r="M14" i="10" s="1"/>
  <c r="L9" i="10"/>
  <c r="H29" i="9"/>
  <c r="M9" i="10" s="1"/>
  <c r="H30" i="9"/>
  <c r="N9" i="10" s="1"/>
  <c r="L29" i="10"/>
  <c r="AB29" i="9"/>
  <c r="M29" i="10" s="1"/>
  <c r="AB30" i="9"/>
  <c r="N29" i="10" s="1"/>
  <c r="L17" i="10"/>
  <c r="P29" i="9"/>
  <c r="M17" i="10" s="1"/>
  <c r="P30" i="9"/>
  <c r="N17" i="10" s="1"/>
  <c r="L76" i="10"/>
  <c r="BW30" i="9"/>
  <c r="N76" i="10" s="1"/>
  <c r="BW29" i="9"/>
  <c r="M76" i="10" s="1"/>
  <c r="L8" i="10"/>
  <c r="G30" i="9"/>
  <c r="N8" i="10" s="1"/>
  <c r="G29" i="9"/>
  <c r="M8" i="10" s="1"/>
  <c r="L44" i="10"/>
  <c r="AQ29" i="9"/>
  <c r="M44" i="10" s="1"/>
  <c r="AQ30" i="9"/>
  <c r="N44" i="10" s="1"/>
  <c r="L24" i="10"/>
  <c r="W30" i="9"/>
  <c r="N24" i="10" s="1"/>
  <c r="W29" i="9"/>
  <c r="M24" i="10" s="1"/>
  <c r="L70" i="10"/>
  <c r="BQ29" i="9"/>
  <c r="M70" i="10" s="1"/>
  <c r="BQ30" i="9"/>
  <c r="N70" i="10" s="1"/>
  <c r="L20" i="10"/>
  <c r="S30" i="9"/>
  <c r="N20" i="10" s="1"/>
  <c r="S29" i="9"/>
  <c r="M20" i="10" s="1"/>
  <c r="L43" i="10"/>
  <c r="AP29" i="9"/>
  <c r="M43" i="10" s="1"/>
  <c r="AP30" i="9"/>
  <c r="N43" i="10" s="1"/>
  <c r="L48" i="10"/>
  <c r="AU29" i="9"/>
  <c r="M48" i="10" s="1"/>
  <c r="AU30" i="9"/>
  <c r="N48" i="10" s="1"/>
  <c r="L62" i="10"/>
  <c r="BI30" i="9"/>
  <c r="N62" i="10" s="1"/>
  <c r="BI29" i="9"/>
  <c r="M62" i="10" s="1"/>
  <c r="L61" i="10"/>
  <c r="BH30" i="9"/>
  <c r="N61" i="10" s="1"/>
  <c r="BH29" i="9"/>
  <c r="M61" i="10" s="1"/>
  <c r="L27" i="10"/>
  <c r="Z30" i="9"/>
  <c r="N27" i="10" s="1"/>
  <c r="Z29" i="9"/>
  <c r="M27" i="10" s="1"/>
  <c r="L49" i="10"/>
  <c r="AV30" i="9"/>
  <c r="N49" i="10" s="1"/>
  <c r="AV29" i="9"/>
  <c r="M49" i="10" s="1"/>
  <c r="CD29" i="9" l="1"/>
  <c r="M5" i="10"/>
  <c r="G52" i="13"/>
  <c r="L52" i="13"/>
  <c r="R52" i="13"/>
  <c r="B52" i="13"/>
  <c r="P52" i="13"/>
  <c r="I52" i="13"/>
  <c r="F52" i="13"/>
  <c r="J52" i="13"/>
  <c r="D52" i="13"/>
  <c r="H52" i="13"/>
  <c r="K52" i="13"/>
  <c r="N52" i="13"/>
  <c r="M52" i="13"/>
  <c r="O52" i="13"/>
  <c r="Q52" i="13"/>
  <c r="C52" i="13"/>
  <c r="E52" i="13"/>
  <c r="C20" i="11"/>
  <c r="R13" i="13" l="1"/>
  <c r="Q13" i="13"/>
  <c r="G53" i="13" l="1"/>
  <c r="N53" i="13"/>
  <c r="R53" i="13"/>
  <c r="C53" i="13"/>
  <c r="P53" i="13"/>
  <c r="B53" i="13"/>
  <c r="I53" i="13"/>
  <c r="E53" i="13"/>
  <c r="D53" i="13"/>
  <c r="L53" i="13"/>
  <c r="H53" i="13"/>
  <c r="K53" i="13"/>
  <c r="O53" i="13"/>
  <c r="J53" i="13"/>
  <c r="Q53" i="13"/>
  <c r="F53" i="13"/>
  <c r="M53" i="13"/>
  <c r="R14" i="13" l="1"/>
  <c r="Q14" i="13"/>
  <c r="B54" i="13" l="1"/>
  <c r="J54" i="13"/>
  <c r="F54" i="13"/>
  <c r="P54" i="13"/>
  <c r="N54" i="13"/>
  <c r="G54" i="13"/>
  <c r="Q54" i="13"/>
  <c r="E54" i="13"/>
  <c r="K54" i="13"/>
  <c r="I54" i="13"/>
  <c r="M54" i="13"/>
  <c r="L54" i="13"/>
  <c r="O54" i="13"/>
  <c r="C54" i="13"/>
  <c r="R54" i="13"/>
  <c r="D54" i="13"/>
  <c r="H54" i="13"/>
  <c r="R15" i="13" l="1"/>
  <c r="Q15" i="13"/>
  <c r="E55" i="13" l="1"/>
  <c r="C55" i="13"/>
  <c r="F55" i="13"/>
  <c r="N55" i="13"/>
  <c r="H55" i="13"/>
  <c r="Q55" i="13"/>
  <c r="G55" i="13"/>
  <c r="I55" i="13"/>
  <c r="P55" i="13"/>
  <c r="M55" i="13"/>
  <c r="K55" i="13"/>
  <c r="B55" i="13"/>
  <c r="R55" i="13"/>
  <c r="O55" i="13"/>
  <c r="L55" i="13"/>
  <c r="D55" i="13"/>
  <c r="J55" i="13"/>
  <c r="R16" i="13" l="1"/>
  <c r="Q16" i="13"/>
  <c r="G56" i="13" l="1"/>
  <c r="B56" i="13"/>
  <c r="R56" i="13"/>
  <c r="P56" i="13"/>
  <c r="O56" i="13"/>
  <c r="D56" i="13"/>
  <c r="F56" i="13"/>
  <c r="J56" i="13"/>
  <c r="Q56" i="13"/>
  <c r="K56" i="13"/>
  <c r="I56" i="13"/>
  <c r="H56" i="13"/>
  <c r="E56" i="13"/>
  <c r="C56" i="13"/>
  <c r="N56" i="13"/>
  <c r="L56" i="13"/>
  <c r="M56" i="13"/>
  <c r="R17" i="13" l="1"/>
  <c r="Q17" i="13"/>
  <c r="K57" i="13" l="1"/>
  <c r="O57" i="13"/>
  <c r="J57" i="13"/>
  <c r="F57" i="13"/>
  <c r="P57" i="13"/>
  <c r="G57" i="13"/>
  <c r="B57" i="13"/>
  <c r="E57" i="13"/>
  <c r="M57" i="13"/>
  <c r="L57" i="13"/>
  <c r="C57" i="13"/>
  <c r="R57" i="13"/>
  <c r="Q57" i="13"/>
  <c r="I57" i="13"/>
  <c r="D57" i="13"/>
  <c r="N57" i="13"/>
  <c r="H57" i="13"/>
  <c r="R18" i="13" l="1"/>
  <c r="Q18" i="13"/>
  <c r="C58" i="13" l="1"/>
  <c r="O58" i="13"/>
  <c r="B58" i="13"/>
  <c r="N58" i="13"/>
  <c r="K58" i="13"/>
  <c r="I58" i="13"/>
  <c r="L58" i="13"/>
  <c r="G58" i="13"/>
  <c r="J58" i="13"/>
  <c r="H58" i="13"/>
  <c r="D58" i="13"/>
  <c r="F58" i="13"/>
  <c r="R58" i="13"/>
  <c r="M58" i="13"/>
  <c r="P58" i="13"/>
  <c r="E58" i="13"/>
  <c r="Q58" i="13"/>
  <c r="R19" i="13" l="1"/>
  <c r="Q19" i="13"/>
  <c r="C59" i="13" l="1"/>
  <c r="K59" i="13"/>
  <c r="D59" i="13"/>
  <c r="O59" i="13"/>
  <c r="G59" i="13"/>
  <c r="H59" i="13"/>
  <c r="E59" i="13"/>
  <c r="N59" i="13"/>
  <c r="Q59" i="13"/>
  <c r="R59" i="13"/>
  <c r="M59" i="13"/>
  <c r="P59" i="13"/>
  <c r="L59" i="13"/>
  <c r="F59" i="13"/>
  <c r="B59" i="13"/>
  <c r="J59" i="13"/>
  <c r="I59" i="13"/>
  <c r="R20" i="13" l="1"/>
  <c r="Q20" i="13"/>
  <c r="H60" i="13" l="1"/>
  <c r="F60" i="13"/>
  <c r="M60" i="13"/>
  <c r="B60" i="13"/>
  <c r="J60" i="13"/>
  <c r="D60" i="13"/>
  <c r="C60" i="13"/>
  <c r="G60" i="13"/>
  <c r="O60" i="13"/>
  <c r="P60" i="13"/>
  <c r="Q60" i="13"/>
  <c r="I60" i="13"/>
  <c r="L60" i="13"/>
  <c r="E60" i="13"/>
  <c r="K60" i="13"/>
  <c r="N60" i="13"/>
  <c r="R60" i="13"/>
  <c r="R21" i="13" l="1"/>
  <c r="Q21" i="13"/>
  <c r="K61" i="13" l="1"/>
  <c r="P61" i="13"/>
  <c r="I61" i="13"/>
  <c r="O61" i="13"/>
  <c r="B61" i="13"/>
  <c r="N61" i="13"/>
  <c r="H61" i="13"/>
  <c r="R61" i="13"/>
  <c r="L61" i="13"/>
  <c r="E61" i="13"/>
  <c r="C61" i="13"/>
  <c r="D61" i="13"/>
  <c r="G61" i="13"/>
  <c r="Q61" i="13"/>
  <c r="J61" i="13"/>
  <c r="F61" i="13"/>
  <c r="M61" i="13"/>
  <c r="R22" i="13" l="1"/>
  <c r="R23" i="13" s="1"/>
  <c r="L7" i="13" s="1"/>
  <c r="Q22" i="13"/>
  <c r="M7" i="13" l="1"/>
  <c r="N7" i="13"/>
  <c r="O7" i="13" s="1"/>
</calcChain>
</file>

<file path=xl/sharedStrings.xml><?xml version="1.0" encoding="utf-8"?>
<sst xmlns="http://schemas.openxmlformats.org/spreadsheetml/2006/main" count="568" uniqueCount="480">
  <si>
    <t>PLAN MAESTRO DE FABRICACIÓN — LÍNEA VOLPAK 4</t>
  </si>
  <si>
    <t>Presentado por: Sebastian Parra - CC: 1003935397 / Septiembre 2026  ·  Optimización de secuencia con tiempos de cambio dependientes de la secuencia</t>
  </si>
  <si>
    <t>EL PROBLEMA</t>
  </si>
  <si>
    <t>Contexto</t>
  </si>
  <si>
    <t>Pregunta de decisión</t>
  </si>
  <si>
    <t>¿En qué orden y en qué turno debe fabricarse cada producto para cubrir el 100% de la necesidad del mes perdiendo el mínimo tiempo posible en cambios de referencia?</t>
  </si>
  <si>
    <t>Naturaleza del problema</t>
  </si>
  <si>
    <t>Es un problema de secuenciación en máquina única con tiempos de preparación dependientes de la secuencia (single-machine scheduling with sequence-dependent setup times). Formalmente equivale a un Problema del Agente Viajero (TSP) de camino abierto.</t>
  </si>
  <si>
    <t>EL RESULTADO</t>
  </si>
  <si>
    <t>Secuencia óptima</t>
  </si>
  <si>
    <t>Tiempo total de cambio</t>
  </si>
  <si>
    <t>840 minutos = 14 horas = 1,75 turnos. Son 7 cambios de 120 min y CERO cambios de 180 min.</t>
  </si>
  <si>
    <t>Cierre del plan</t>
  </si>
  <si>
    <t>CÓMO LEER ESTE LIBRO</t>
  </si>
  <si>
    <t>Regla de construcción</t>
  </si>
  <si>
    <t>Hoja principal</t>
  </si>
  <si>
    <t>08_PLAN_MAESTRO — la entrega: cantidades a fabricar por producto, turno y día.</t>
  </si>
  <si>
    <t>Verificación</t>
  </si>
  <si>
    <t>ÍNDICE</t>
  </si>
  <si>
    <t>01_Supuestos</t>
  </si>
  <si>
    <t>02_Datos_Maestros</t>
  </si>
  <si>
    <t>17 SKUs: tasa de producción y tiempo unitario</t>
  </si>
  <si>
    <t>03_Demanda_ABC</t>
  </si>
  <si>
    <t>Necesidad del mes, carga en turnos y clasificación ABC</t>
  </si>
  <si>
    <t>04_Matriz_Cambios</t>
  </si>
  <si>
    <t>05_Modelo_Solver</t>
  </si>
  <si>
    <t>Modelo de optimización listo para ejecutar con Solver de Excel</t>
  </si>
  <si>
    <t>06_Secuencia_Optima</t>
  </si>
  <si>
    <t>Solución, prueba de optimalidad y motor de cálculo del plan</t>
  </si>
  <si>
    <t>07_Calendario</t>
  </si>
  <si>
    <t>Malla de turnos de septiembre 2026</t>
  </si>
  <si>
    <t>08_PLAN_MAESTRO</t>
  </si>
  <si>
    <t>◄ LA ENTREGA: cantidades por producto-turno-día</t>
  </si>
  <si>
    <t>09_Detalle_Turnos</t>
  </si>
  <si>
    <t>Qué ocurre en cada uno de los 74 turnos</t>
  </si>
  <si>
    <t>10_KPIs</t>
  </si>
  <si>
    <t>Indicadores y cuadres de verificación</t>
  </si>
  <si>
    <t>11_Sensibilidad</t>
  </si>
  <si>
    <t>¿Hasta cuánto crece la demanda antes de romper la capacidad?</t>
  </si>
  <si>
    <t>12_Comparativa</t>
  </si>
  <si>
    <t>Cuánto cuesta secuenciar mal</t>
  </si>
  <si>
    <t>13_Info_Adicional</t>
  </si>
  <si>
    <t>Información adicional requerida para escalar a las demás líneas</t>
  </si>
  <si>
    <t>SUPUESTOS DEL MODELO</t>
  </si>
  <si>
    <t>Todo modelo es una simplificación. Estos son los límites de éste, declarados de frente.</t>
  </si>
  <si>
    <t xml:space="preserve">RÉGIMEN DE OPERACIÓN </t>
  </si>
  <si>
    <t xml:space="preserve">«En la planta se trabaja de lunes a sábado, cada día tiene tres (3) turnos de 8 horas cada turno y el sábado se trabajan dos (2) turnos (es posible que esto cambie dependiendo de la línea de producción, la cual puede trabajar de domingo a domingo 3 turnos dependiendo del volumen de producción)» </t>
  </si>
  <si>
    <t>Lo que este libro modela como caso BASE</t>
  </si>
  <si>
    <t>Exactamente ese régimen: lunes a viernes con 3 turnos de 8 horas (24 horas de operación esos días), sábado con 2 turnos (16 horas), y domingo la línea está DETENIDA — no se programa nada ese día.</t>
  </si>
  <si>
    <t>Dónde aparece la variante «domingo a domingo»</t>
  </si>
  <si>
    <t>Únicamente como ESCENARIO DE COMPARACIÓN en la hoja 11_Sensibilidad (3 turnos los 7 días = 90 turnos al mes). No es el plan que se entrega: el plan de la hoja 08 usa siempre el régimen base de arriba.</t>
  </si>
  <si>
    <t>#</t>
  </si>
  <si>
    <t>Supuesto</t>
  </si>
  <si>
    <t>En palabras simples</t>
  </si>
  <si>
    <t>Formalización técnica</t>
  </si>
  <si>
    <t>Por qué es razonable</t>
  </si>
  <si>
    <t>Impacto si no se cumple</t>
  </si>
  <si>
    <t>Cada producto se fabrica una sola vez en el mes, de corrido</t>
  </si>
  <si>
    <t>No se parte la producción de un mismo SKU en varios bloques separados a lo largo del mes: se fabrica toda la necesidad de una vez y se pasa al siguiente producto.</t>
  </si>
  <si>
    <t>Una sola campaña por producto (sin fraccionar el lote).</t>
  </si>
  <si>
    <t>Si existiera vida útil corta, límite de bodega o fechas de entrega intermedias dentro del mes, habría que fraccionar y el modelo pasaría a ser uno de lotes con capacidad (lot-sizing capacitado, CLSD).</t>
  </si>
  <si>
    <t>El mes arranca con la línea «en blanco»</t>
  </si>
  <si>
    <t>El 1 de septiembre no se sabe (ni se asume) qué se fabricó en agosto, así que el primer producto del mes no paga ningún cambio de referencia.</t>
  </si>
  <si>
    <t>Línea libre al arrancar el mes: no se hereda montaje del período anterior.</t>
  </si>
  <si>
    <t>Si se conociera el último producto fabricado en agosto, ese dato fijaría el punto de partida del recorrido y el costo total podría subir hasta 180 minutos. Es justamente uno de los datos pedidos en la hoja 13.</t>
  </si>
  <si>
    <t>La velocidad de cada producto ya es la real, no la de catálogo</t>
  </si>
  <si>
    <t>La tasa cartones/turno del archivo maestro se interpreta como producción real esperada, no como capacidad teórica de placa.</t>
  </si>
  <si>
    <t>Si el dato fuera capacidad teórica de máquina, habría que multiplicarlo por el OEE real y toda la carga del mes subiría en la misma proporción. Es otro de los datos pedidos en la hoja 13.</t>
  </si>
  <si>
    <t>DATOS MAESTROS DE PRODUCTO</t>
  </si>
  <si>
    <t>Fuente: «Asignación Productos Linea Fabricación.xlsx» · Línea Volpak 4</t>
  </si>
  <si>
    <t>Id</t>
  </si>
  <si>
    <t>Descripción</t>
  </si>
  <si>
    <t>Línea</t>
  </si>
  <si>
    <t>Presentación</t>
  </si>
  <si>
    <t>Formato (gr)</t>
  </si>
  <si>
    <t>Cartones/Turno</t>
  </si>
  <si>
    <t>Min/Cartón</t>
  </si>
  <si>
    <t>Cartones/Hora</t>
  </si>
  <si>
    <t>Bloque (familia)</t>
  </si>
  <si>
    <t>SALSA MAYONESA (12DP/1/380g)</t>
  </si>
  <si>
    <t>Volpak 4</t>
  </si>
  <si>
    <t>Doypack</t>
  </si>
  <si>
    <t>VINAGRE BLANCO (24DP/1/230ml)</t>
  </si>
  <si>
    <t>SALSA ROSADA (12DP/1/380g)</t>
  </si>
  <si>
    <t>SALSA MAYONESA (12DP/1/1000g)</t>
  </si>
  <si>
    <t>MOSTANEZA (12DP/1/380g)</t>
  </si>
  <si>
    <t>MOSTANEZA AJO (12DP/1/380g)</t>
  </si>
  <si>
    <t>SALSA DE TOMATE ZEV (20DP/1/500g)</t>
  </si>
  <si>
    <t>MOSTANEZA DEL RANCHO (12DP/1/380g)</t>
  </si>
  <si>
    <t>SALSA BARBECUE (12DP/1/400g)</t>
  </si>
  <si>
    <t>SALSA DE PIÑA (12DP/1/400g)</t>
  </si>
  <si>
    <t>SALSA MAYONESA (12DP/1/600g)</t>
  </si>
  <si>
    <t>SALSA NAPOLITANA (24DP/1/200g)</t>
  </si>
  <si>
    <t>SALSA MAYONESA-V(12DP/1/380g)</t>
  </si>
  <si>
    <t>SALSA DE TOMATE SAVORIA (12DP/1/500g)</t>
  </si>
  <si>
    <t>SALSA DE TOMATE SAVORIA (12DP/1/1000g)</t>
  </si>
  <si>
    <t>SALSA DE MAYONESA ZEV (24DP/1/400G)</t>
  </si>
  <si>
    <t>SALSA DE MAYONESA LINE (21DP/1/500G)</t>
  </si>
  <si>
    <t>Nota:</t>
  </si>
  <si>
    <t>La columna «Bloque» NO está digitada: se deduce con MINIFS sobre la matriz de cambios. Devuelve el menor Id con el que el producto tiene cambio de 0 minutos, que identifica su familia tecnológica.</t>
  </si>
  <si>
    <t>NECESIDAD DE FABRICACIÓN Y CLASIFICACIÓN ABC</t>
  </si>
  <si>
    <t>Fuente: «Necesidad Fabricación Septiembre 2026.xlsx» · La carga se mide en TURNOS, no en cartones: 1.000 cartones de un SKU lento pesan más que 1.000 de uno rápido.</t>
  </si>
  <si>
    <t>Necesidad (cartones)</t>
  </si>
  <si>
    <t>Turnos requeridos</t>
  </si>
  <si>
    <t>Minutos requeridos</t>
  </si>
  <si>
    <t>% carga</t>
  </si>
  <si>
    <t>% acumulado</t>
  </si>
  <si>
    <t>Clase ABC</t>
  </si>
  <si>
    <t>TOTAL</t>
  </si>
  <si>
    <t>MATRIZ DE TIEMPOS DE CAMBIO (minutos)</t>
  </si>
  <si>
    <t>De \ A</t>
  </si>
  <si>
    <t>(vector Id)</t>
  </si>
  <si>
    <t>LECTURA DEL DATO</t>
  </si>
  <si>
    <t>Simetría</t>
  </si>
  <si>
    <t>La matriz es perfectamente simétrica: cambiar de A a B cuesta lo mismo que de B a A. Esto permite tratar el problema como un TSP simétrico (más fácil de resolver que el asimétrico).</t>
  </si>
  <si>
    <t>FAMILIAS DETECTADAS</t>
  </si>
  <si>
    <t>Bloque</t>
  </si>
  <si>
    <t>Nombre</t>
  </si>
  <si>
    <t>Productos</t>
  </si>
  <si>
    <t>N°</t>
  </si>
  <si>
    <t>B1</t>
  </si>
  <si>
    <t>F1 Mostazas</t>
  </si>
  <si>
    <t>3757, 3925, 6616</t>
  </si>
  <si>
    <t>B2</t>
  </si>
  <si>
    <t>S1 Barbecue</t>
  </si>
  <si>
    <t>B3</t>
  </si>
  <si>
    <t>F2 Emulsiones</t>
  </si>
  <si>
    <t>17246, 16816, 3749, 3278, 7590, 15795</t>
  </si>
  <si>
    <t>B4</t>
  </si>
  <si>
    <t>S2 Piña</t>
  </si>
  <si>
    <t>B5</t>
  </si>
  <si>
    <t>F3 Tomate</t>
  </si>
  <si>
    <t>16787, 15881, 5998</t>
  </si>
  <si>
    <t>B6</t>
  </si>
  <si>
    <t>S3 Napolitana</t>
  </si>
  <si>
    <t>B7</t>
  </si>
  <si>
    <t>S4 Rosada</t>
  </si>
  <si>
    <t>B8</t>
  </si>
  <si>
    <t>S5 Vinagre</t>
  </si>
  <si>
    <t>MODELO DE OPTIMIZACIÓN — TSP DE CAMINO ABIERTO</t>
  </si>
  <si>
    <t>FORMULACIÓN MATEMÁTICA</t>
  </si>
  <si>
    <t>CELDA OBJETIVO (minimizar)</t>
  </si>
  <si>
    <t>CONJUNTOS</t>
  </si>
  <si>
    <t>Z = Σ d(i,j)·x(i,j)</t>
  </si>
  <si>
    <t xml:space="preserve">   N = {0,1,…,8}   nodos (0 = origen ficticio, 1-8 = bloques)</t>
  </si>
  <si>
    <t>Cota inferior teórica</t>
  </si>
  <si>
    <t>¿Solución = cota inferior?</t>
  </si>
  <si>
    <t>PARÁMETROS</t>
  </si>
  <si>
    <t xml:space="preserve">   d(i,j) = tiempo mínimo de cambio entre el bloque i y el j</t>
  </si>
  <si>
    <t>Nodo</t>
  </si>
  <si>
    <t>Rep. Id</t>
  </si>
  <si>
    <t>d(i,j)</t>
  </si>
  <si>
    <t xml:space="preserve">   d(0,j) = d(i,0) = 0   (el origen ficticio no cuesta)</t>
  </si>
  <si>
    <t>(origen ficticio)</t>
  </si>
  <si>
    <t>—</t>
  </si>
  <si>
    <t>VARIABLES DE DECISIÓN</t>
  </si>
  <si>
    <t xml:space="preserve">   x(i,j) ∈ {0,1}   1 si tras el bloque i se fabrica el bloque j</t>
  </si>
  <si>
    <t xml:space="preserve">   u(i) ∈ [1,8]     posición del bloque i en la secuencia</t>
  </si>
  <si>
    <t>FUNCIÓN OBJETIVO</t>
  </si>
  <si>
    <t xml:space="preserve">   Min  Z = Σi Σj  d(i,j) · x(i,j)</t>
  </si>
  <si>
    <t>SUJETO A</t>
  </si>
  <si>
    <t xml:space="preserve">   (1)  Σj x(i,j) = 1        ∀i    de cada bloque se sale una vez</t>
  </si>
  <si>
    <t xml:space="preserve">   (2)  Σi x(i,j) = 1        ∀j    a cada bloque se entra una vez</t>
  </si>
  <si>
    <t xml:space="preserve">   (3)  x(i,i) = 0           ∀i    sin autolazos</t>
  </si>
  <si>
    <t xml:space="preserve">   (4)  u(i) − u(j) + 9·x(i,j) ≤ 8   ∀i,j ≥ 1, i≠j   (MTZ: prohíbe subtoures)</t>
  </si>
  <si>
    <t>VARIABLES DE DECISIÓN x(i,j) — celdas amarillas</t>
  </si>
  <si>
    <t xml:space="preserve">   (5)  x(i,j) binaria,  u(i) entera</t>
  </si>
  <si>
    <t>x(i,j)</t>
  </si>
  <si>
    <t>Σ fila</t>
  </si>
  <si>
    <t>=</t>
  </si>
  <si>
    <t>u(i)</t>
  </si>
  <si>
    <t>POR QUÉ EL NODO FICTICIO</t>
  </si>
  <si>
    <t xml:space="preserve">   El TSP clásico busca un CICLO cerrado, pero un plan de producción</t>
  </si>
  <si>
    <t xml:space="preserve">   es un CAMINO: se arranca en un producto y se termina en otro, sin</t>
  </si>
  <si>
    <t xml:space="preserve">   volver al inicio. Se añade un nodo 0 a distancia cero de todos:</t>
  </si>
  <si>
    <t xml:space="preserve">   el ciclo óptimo sobre 9 nodos equivale al camino óptimo sobre 8.</t>
  </si>
  <si>
    <t>POR QUÉ 8 NODOS Y NO 17</t>
  </si>
  <si>
    <t xml:space="preserve">   Dentro de una familia el cambio cuesta 0 y el orden interno es</t>
  </si>
  <si>
    <t xml:space="preserve">   irrelevante. Optimizar sobre bloques es exacto y baja el espacio</t>
  </si>
  <si>
    <t>Σ col</t>
  </si>
  <si>
    <t xml:space="preserve">   de búsqueda de 17! ≈ 3,6×10¹⁴ a 8! = 40.320. Además cabe en el</t>
  </si>
  <si>
    <t xml:space="preserve">   límite de 200 variables del Solver estándar de Excel.</t>
  </si>
  <si>
    <t>RESTRICCIÓN (4) MTZ:  u(i) − u(j) + 9·x(i,j)   debe ser ≤ 8</t>
  </si>
  <si>
    <t>i \ j</t>
  </si>
  <si>
    <t>Máximo de la matriz MTZ:</t>
  </si>
  <si>
    <t>CÓMO EJECUTAR EL SOLVER (Datos ▸ Solver)</t>
  </si>
  <si>
    <t>Establecer objetivo</t>
  </si>
  <si>
    <t>$C$6</t>
  </si>
  <si>
    <t>Para</t>
  </si>
  <si>
    <t>Mín</t>
  </si>
  <si>
    <t>Cambiando las celdas de variables</t>
  </si>
  <si>
    <t>$F$26:$N$34, $Q$27:$Q$34</t>
  </si>
  <si>
    <t>Restricción 1 — salida</t>
  </si>
  <si>
    <t>$O$26:$O$34 = $P$26:$P$34</t>
  </si>
  <si>
    <t>Restricción 2 — entrada</t>
  </si>
  <si>
    <t>$F$35:$N$35 = $F$36:$N$36</t>
  </si>
  <si>
    <t>Restricción 3 — binarias</t>
  </si>
  <si>
    <t>$F$26:$N$34 = binario</t>
  </si>
  <si>
    <t>Restricción 4 — MTZ</t>
  </si>
  <si>
    <t>$F$41:$M$48 &lt;= 8</t>
  </si>
  <si>
    <t>Restricción 5 — orden entero</t>
  </si>
  <si>
    <t>$Q$27:$Q$34 = entero;  $Q$27:$Q$34 &gt;= 1;  $Q$27:$Q$34 &lt;= 8</t>
  </si>
  <si>
    <t>Método de resolución</t>
  </si>
  <si>
    <t>LP Simplex  (el modelo es lineal entero)</t>
  </si>
  <si>
    <t>Resultado esperado</t>
  </si>
  <si>
    <t>Z = 840 minutos</t>
  </si>
  <si>
    <t>EN PALABRAS SIMPLES — ¿QUÉ HACE ESTE MODELO?</t>
  </si>
  <si>
    <t>¿Qué es «el problema del agente viajero»?</t>
  </si>
  <si>
    <t>Imagine un viajero que debe visitar 8 ciudades (aquí, 8 familias de producto) exactamente una vez cada una, y quiere hacerlo gastando el menor tiempo posible en los traslados entre ciudades. La única diferencia es que aquí el viajero no vuelve a la ciudad de partida: llega a la última y termina ahí, porque un plan de fabricación no es un círculo, es un recorrido con principio y fin.</t>
  </si>
  <si>
    <t>¿Qué son x(i,j) y u(i)?</t>
  </si>
  <si>
    <t>x(i,j) es simplemente un interruptor: vale 1 si, en el plan, justo después de fabricar la familia i se pasa a fabricar la familia j, y 0 en cualquier otro caso. u(i) es el número de turno de salida de cada familia (1ª, 2ª, 3ª… en la fila), es decir, en qué posición del recorrido queda cada una.</t>
  </si>
  <si>
    <t>¿Para qué sirve la restricción (4), la que tiene la letra rara (MTZ)?</t>
  </si>
  <si>
    <t>¿Por qué hay que decírselo a Excel con números (9, ≤8) en vez de solo explicarlo?</t>
  </si>
  <si>
    <t>Porque el Solver de Excel no entiende explicaciones: solo entiende sumas, restas y desigualdades. La fórmula u(i) − u(j) + 9·x(i,j) ≤ 8 es la forma matemática de decir exactamente la idea de arriba, y funciona porque 9 es un número mayor que las 8 posiciones posibles del recorrido — es un detalle técnico de construcción, no algo que el lector necesite memorizar para entender el resultado.</t>
  </si>
  <si>
    <t>TABLA AUXILIAR DE ARISTAS (289 pares) — alimenta la matriz d(i,j) por MINIFS</t>
  </si>
  <si>
    <t>Id desde</t>
  </si>
  <si>
    <t>Id hasta</t>
  </si>
  <si>
    <t>Cambio (min)</t>
  </si>
  <si>
    <t>Bloque desde</t>
  </si>
  <si>
    <t>Bloque hasta</t>
  </si>
  <si>
    <t>SECUENCIA ÓPTIMA Y PRUEBA DE OPTIMALIDAD</t>
  </si>
  <si>
    <t>Vía 1 — Cota inferior combinatoria (se demuestra sin computador)</t>
  </si>
  <si>
    <t>Los cambios de 0 minutos parten los 17 productos en 8 bloques disjuntos, y no existe ningún cambio de 0 minutos entre bloques distintos. Por lo tanto CUALQUIER secuencia de los 17 productos cruza al menos 7 veces de un bloque a otro, y cada uno de esos cruces cuesta como mínimo 120 minutos. Luego ninguna secuencia puede costar menos de 7 × 120 = 840 minutos.</t>
  </si>
  <si>
    <t>Conclusión</t>
  </si>
  <si>
    <t>Cota inferior (7 cruces × 120 min)</t>
  </si>
  <si>
    <t>RUTA ÓPTIMA DE BLOQUES (leída desde las variables u(i) del Solver)</t>
  </si>
  <si>
    <t>Posición</t>
  </si>
  <si>
    <t>Familia</t>
  </si>
  <si>
    <t>MOTOR DE CÁLCULO DEL PLAN — línea de tiempo continua en minutos desde el arranque del mes</t>
  </si>
  <si>
    <t>AUXILIAR — reconstrucción del orden</t>
  </si>
  <si>
    <t>Orden</t>
  </si>
  <si>
    <t>Producto
anterior</t>
  </si>
  <si>
    <t>Tiempo
cambio (min)</t>
  </si>
  <si>
    <t>Necesidad
(cartones)</t>
  </si>
  <si>
    <t>Cartones
/Turno</t>
  </si>
  <si>
    <t>Min
/Cartón</t>
  </si>
  <si>
    <t>Minutos
producción</t>
  </si>
  <si>
    <t>Inicio
cambio</t>
  </si>
  <si>
    <t>Inicio
producción</t>
  </si>
  <si>
    <t>Fin
producción</t>
  </si>
  <si>
    <t>Turno
inicio</t>
  </si>
  <si>
    <t>Turno
fin</t>
  </si>
  <si>
    <t>Fecha
inicio</t>
  </si>
  <si>
    <t>Fecha
fin</t>
  </si>
  <si>
    <t>Pos.blq</t>
  </si>
  <si>
    <t>Rank int.</t>
  </si>
  <si>
    <t>Clave</t>
  </si>
  <si>
    <t>MALLA DE TURNOS — SEPTIEMBRE 2026</t>
  </si>
  <si>
    <t>Régimen base: lunes a viernes 3 turnos de 8 h; sábado 2 turnos; domingo no se opera. Las fechas se generan por fórmula: si cambia el mes, la malla se reconstruye sola.</t>
  </si>
  <si>
    <t>Fecha</t>
  </si>
  <si>
    <t>Día</t>
  </si>
  <si>
    <t>Turno
del día</t>
  </si>
  <si>
    <t>¿Hábil?</t>
  </si>
  <si>
    <t>N° turno
global</t>
  </si>
  <si>
    <t>Min inicio
(acum.)</t>
  </si>
  <si>
    <t>Min fin
(acum.)</t>
  </si>
  <si>
    <t>Días hábiles (L-S)</t>
  </si>
  <si>
    <t>Turnos disponibles</t>
  </si>
  <si>
    <t>Minutos disponibles</t>
  </si>
  <si>
    <t>PLAN MAESTRO DE FABRICACIÓN — CANTIDADES POR PRODUCTO · TURNO · DÍA</t>
  </si>
  <si>
    <t>Total
plan</t>
  </si>
  <si>
    <t>Necesidad</t>
  </si>
  <si>
    <t>Cuadre</t>
  </si>
  <si>
    <t>Cartones fabricados</t>
  </si>
  <si>
    <t>Minutos de producción</t>
  </si>
  <si>
    <t>Minutos de cambio</t>
  </si>
  <si>
    <t>Minutos ocupados</t>
  </si>
  <si>
    <t>Minutos ociosos</t>
  </si>
  <si>
    <t>% utilización del turno</t>
  </si>
  <si>
    <t>DETALLE TURNO A TURNO</t>
  </si>
  <si>
    <t>N° turno</t>
  </si>
  <si>
    <t>Turno
día</t>
  </si>
  <si>
    <t>Estado</t>
  </si>
  <si>
    <t>Producto
principal</t>
  </si>
  <si>
    <t>N°
SKUs</t>
  </si>
  <si>
    <t>Cartones</t>
  </si>
  <si>
    <t>Min
producción</t>
  </si>
  <si>
    <t>Min
cambio</t>
  </si>
  <si>
    <t>Min
ocupados</t>
  </si>
  <si>
    <t>Min
ociosos</t>
  </si>
  <si>
    <t>% utiliz.</t>
  </si>
  <si>
    <t>INDICADORES DEL PLAN Y CUADRES DE VERIFICACIÓN</t>
  </si>
  <si>
    <t>CARGA Y CAPACIDAD</t>
  </si>
  <si>
    <t>Demanda total del mes</t>
  </si>
  <si>
    <t>Necesidad de fabricación de los 17 SKUs asignados a la línea.</t>
  </si>
  <si>
    <t>Minutos de producción neta</t>
  </si>
  <si>
    <t>Suma de necesidad ÷ tasa, convertida a minutos. Es tiempo irreducible: no depende de cómo se secuencie.</t>
  </si>
  <si>
    <t>Minutos de cambio de referencia</t>
  </si>
  <si>
    <t>Única parte del tiempo que la programación puede reducir. Aquí es donde actúa el modelo.</t>
  </si>
  <si>
    <t>Minutos totales requeridos</t>
  </si>
  <si>
    <t>Turnos disponibles (L-S)</t>
  </si>
  <si>
    <t>26 días hábiles: L-V con 3 turnos y sábado con 2.</t>
  </si>
  <si>
    <t>Utilización de la capacidad</t>
  </si>
  <si>
    <t>Peso del cambio sobre el tiempo total</t>
  </si>
  <si>
    <t>Sólo el 2,9% del tiempo se pierde en cambios. Es el resultado de la optimización.</t>
  </si>
  <si>
    <t>Fecha de cierre del plan</t>
  </si>
  <si>
    <t>Día en que termina la última campaña si se arranca el 1 de septiembre.</t>
  </si>
  <si>
    <t>Cartones por turno operativo (promedio)</t>
  </si>
  <si>
    <t>Ritmo medio del plan.</t>
  </si>
  <si>
    <t>CUADRES DE VERIFICACIÓN</t>
  </si>
  <si>
    <t>Cuadre de demanda — total</t>
  </si>
  <si>
    <t>La suma de todo el plan maestro debe igualar exactamente la necesidad del mes.</t>
  </si>
  <si>
    <t>Cuadre de demanda — por SKU</t>
  </si>
  <si>
    <t>Cada uno de los 17 productos debe cuadrar individualmente, no sólo el total.</t>
  </si>
  <si>
    <t>Cuadre de capacidad por turno</t>
  </si>
  <si>
    <t>Optimalidad de la secuencia</t>
  </si>
  <si>
    <t>Plan cabe en el mes</t>
  </si>
  <si>
    <t>Los turnos requeridos no pueden superar los disponibles.</t>
  </si>
  <si>
    <t>Todos los productos programados</t>
  </si>
  <si>
    <t>ANÁLISIS DE SENSIBILIDAD Y ESCENARIOS DE CAPACIDAD</t>
  </si>
  <si>
    <t>Minutos de producción base</t>
  </si>
  <si>
    <t>Minutos de cambio (fijos: 1 campaña por SKU)</t>
  </si>
  <si>
    <t>Turnos disponibles — régimen L-S</t>
  </si>
  <si>
    <t>Turnos disponibles — régimen domingo a domingo</t>
  </si>
  <si>
    <t>PUNTO DE QUIEBRE — crecimiento máximo (L-S)</t>
  </si>
  <si>
    <t>PUNTO DE QUIEBRE — crecimiento máximo (D-D)</t>
  </si>
  <si>
    <t>Escenario</t>
  </si>
  <si>
    <t>Factor</t>
  </si>
  <si>
    <t>Demanda
(cartones)</t>
  </si>
  <si>
    <t>Min totales</t>
  </si>
  <si>
    <t>Turnos
requeridos</t>
  </si>
  <si>
    <t>Turnos L-S</t>
  </si>
  <si>
    <t>Holgura L-S</t>
  </si>
  <si>
    <t>Estado L-S</t>
  </si>
  <si>
    <t>Turnos D-D</t>
  </si>
  <si>
    <t>Holgura D-D</t>
  </si>
  <si>
    <t>Estado D-D</t>
  </si>
  <si>
    <t>Caída 10%</t>
  </si>
  <si>
    <t>Base (plan actual)</t>
  </si>
  <si>
    <t>Crecimiento 10%</t>
  </si>
  <si>
    <t>Crecimiento 20%</t>
  </si>
  <si>
    <t>Punto de quiebre</t>
  </si>
  <si>
    <t>Crecimiento 30%</t>
  </si>
  <si>
    <t>Crecimiento 40%</t>
  </si>
  <si>
    <t>Crecimiento 50%</t>
  </si>
  <si>
    <t>LECTURA GERENCIAL</t>
  </si>
  <si>
    <t>•</t>
  </si>
  <si>
    <t>Por código
Id ascendente</t>
  </si>
  <si>
    <t>Cambio
(min)</t>
  </si>
  <si>
    <t>Por demanda
descendente</t>
  </si>
  <si>
    <t>Secuencia
ÓPTIMA</t>
  </si>
  <si>
    <t>Regla de secuenciación</t>
  </si>
  <si>
    <t>Minutos
de cambio</t>
  </si>
  <si>
    <t>Turnos
equivalentes</t>
  </si>
  <si>
    <t>Sobrecosto
vs óptimo</t>
  </si>
  <si>
    <t>Vecino más
cercano</t>
  </si>
  <si>
    <t>Heurística del vecino más cercano (arranca en el mismo producto que «código ascendente»)</t>
  </si>
  <si>
    <t>LO QUE ESTO SIGNIFICA</t>
  </si>
  <si>
    <t>AUXILIAR — no tocar: reconstruye el vecino más cercano paso a paso</t>
  </si>
  <si>
    <t>INFORMACIÓN ADICIONAL REQUERIDA</t>
  </si>
  <si>
    <t>Respuesta a la consigna: qué haría falta para llevar este modelo de una línea a todas las líneas de la planta.</t>
  </si>
  <si>
    <t>Dato requerido</t>
  </si>
  <si>
    <t>Por qué se necesita</t>
  </si>
  <si>
    <t>Qué cambia en el modelo si se tiene</t>
  </si>
  <si>
    <t>Criticidad</t>
  </si>
  <si>
    <t>Asignación producto → línea de las demás líneas</t>
  </si>
  <si>
    <t>Sin saber qué SKU corre en qué línea no se puede replicar el ejercicio fuera de Volpak 4.</t>
  </si>
  <si>
    <t>BLOQUEANTE</t>
  </si>
  <si>
    <t>SKUs que pueden correr en MÁS DE UNA línea</t>
  </si>
  <si>
    <t>Es el dato más importante que falta. Si un producto puede ir en dos líneas, la decisión ya no es sólo en qué orden fabricar, sino también dónde.</t>
  </si>
  <si>
    <t>El problema deja de ser secuenciación pura y pasa a ser asignación + secuenciación simultáneas (modelo de máquinas paralelas no relacionadas). Es un modelo distinto y bastante más grande.</t>
  </si>
  <si>
    <t>Matriz de tiempos de cambio de cada línea</t>
  </si>
  <si>
    <t>Cada línea tiene su propia mecánica de montaje: la matriz no es trasladable.</t>
  </si>
  <si>
    <t>Tasa cartones/turno por producto y por línea</t>
  </si>
  <si>
    <t>La velocidad de un mismo SKU cambia según la máquina.</t>
  </si>
  <si>
    <t>Permite comparar líneas y decidir dónde conviene cargar cada producto.</t>
  </si>
  <si>
    <t>ALTO IMPACTO</t>
  </si>
  <si>
    <t>Fecha de requerimiento de cada SKU dentro del mes</t>
  </si>
  <si>
    <t>La demanda llega agregada al mes. Si hay compromisos de entrega intermedios, la secuencia óptima en tiempo de cambio puede incumplirlos.</t>
  </si>
  <si>
    <t>El objetivo pasa de «mínimo cambio» a un objetivo doble: mínimo cambio sujeto a cero incumplimientos. Puede obligar a fraccionar campañas.</t>
  </si>
  <si>
    <t>Último producto fabricado en agosto en cada línea</t>
  </si>
  <si>
    <t>Define el montaje con el que arranca el mes y por lo tanto el costo del primer cambio.</t>
  </si>
  <si>
    <t>Fija el nodo de origen del camino en lugar de dejarlo libre.</t>
  </si>
  <si>
    <t>Paradas programadas: mantenimiento, sanitización, festivos</t>
  </si>
  <si>
    <t>Un turno bloqueado por mantenimiento no es capacidad disponible.</t>
  </si>
  <si>
    <t>Reglas de alérgenos y secuencias prohibidas</t>
  </si>
  <si>
    <t>En alimentos hay pares de productos que no pueden ir seguidos por contaminación cruzada, aunque el tiempo de cambio sea bajo.</t>
  </si>
  <si>
    <t>Se agregan restricciones x(i,j) = 0 sobre los pares prohibidos. El modelo las absorbe sin cambiar de estructura.</t>
  </si>
  <si>
    <t>OEE real y merma por SKU</t>
  </si>
  <si>
    <t>Permite saber si la tasa cartones/turno es capacidad teórica o producción real esperada.</t>
  </si>
  <si>
    <t>Ajusta los tiempos de producción y por lo tanto la carga total.</t>
  </si>
  <si>
    <t>REFINAMIENTO</t>
  </si>
  <si>
    <t>Lote mínimo y máximo por campaña, y vida útil</t>
  </si>
  <si>
    <t>Determina si es viable fabricar toda la necesidad de un SKU de corrido.</t>
  </si>
  <si>
    <t>Obliga a fraccionar campañas: el modelo pasa a lot-sizing capacitado con setups (CLSD).</t>
  </si>
  <si>
    <t>Disponibilidad de material de empaque y capacidad aguas arriba</t>
  </si>
  <si>
    <t>De nada sirve programar un turno si no hay doypack o no hay producto de proceso.</t>
  </si>
  <si>
    <t>Agrega restricciones de disponibilidad por período.</t>
  </si>
  <si>
    <t>Costo de turno, recargo nocturno y dominical</t>
  </si>
  <si>
    <t>Hoy se minimiza TIEMPO. Con costos se puede minimizar DINERO, que no es lo mismo.</t>
  </si>
  <si>
    <t>La función objetivo pasa a costo total: cambios + mano de obra + recargos. Permite decidir con criterio económico si vale la pena habilitar domingos.</t>
  </si>
  <si>
    <t>Capacidad de almacenamiento de producto terminado</t>
  </si>
  <si>
    <t>Campañas grandes generan picos de inventario que la bodega puede no absorber.</t>
  </si>
  <si>
    <t>Agrega restricciones de inventario máximo por período.</t>
  </si>
  <si>
    <t>NOTA DE CIERRE</t>
  </si>
  <si>
    <t>Volpak 4 debe fabricar 17 referencias en septiembre de 2026. El modelo minimiza los cambios de referencia con la matriz suministrada y distribuye cartones completos por turno.</t>
  </si>
  <si>
    <t>La secuencia base alcanza la cota inferior de 840 minutos. La prueba verifica los 17 productos y sus transiciones (hoja 06).</t>
  </si>
  <si>
    <t>Diferencia frente al orden por código</t>
  </si>
  <si>
    <t>780 minutos = 13 horas menos de cambios frente a la regla por código. No representa ahorro observado en planta ni ahorro monetario.</t>
  </si>
  <si>
    <t>El caso base termina el 24 de septiembre, en el turno operativo 60. La holgura incluye turnos completos y una fracción del último turno utilizado; consultar hoja 10.</t>
  </si>
  <si>
    <t>Las fórmulas actualizan tiempos y cantidades para estos 17 productos. Si cambia la matriz, volver a ejecutar Solver. Nuevos productos, familias o meses requieren adaptar rangos y calendario.</t>
  </si>
  <si>
    <t>La hoja 10 comprueba cantidades, capacidad, productos distintos y tiempos. Estos controles no sustituyen validar los supuestos con la planta.</t>
  </si>
  <si>
    <t>Cuatro supuestos operativos y reglas de redondeo y alcance</t>
  </si>
  <si>
    <t>Matriz 17×17 y agrupación válida para el caso base</t>
  </si>
  <si>
    <t>Continuidad y pausas entre turnos</t>
  </si>
  <si>
    <t>Los cambios pueden continuar en el siguiente turno. La producción se asigna en cartones completos; un cartón no se reparte entre turnos.</t>
  </si>
  <si>
    <t>Calendario en minutos operativos: los cierres no consumen tiempo de proceso. Se permite retomar lotes y cambios después de una pausa, sin preparación adicional.</t>
  </si>
  <si>
    <t>Supuesto por confirmar con planta. No implica trabajar domingos ni turnos cerrados.</t>
  </si>
  <si>
    <t>Si un cartón no cabe al cierre del turno, ese tiempo queda libre. Se registra en la columna AB de la hoja 06. Las tasas del libro deben ser cartones enteros por turno de 8 horas.</t>
  </si>
  <si>
    <t>Para esta matriz, una secuencia con una campaña por referencia alcanza la cota inferior de cambios. No se generaliza a otras matrices o restricciones.</t>
  </si>
  <si>
    <t>Supuesto optimista por falta de información, pendiente de confirmar; no es una condición observada de la línea.</t>
  </si>
  <si>
    <t>Se interpreta cartones/turno como capacidad efectiva de un turno de 8 horas, sin descontar nuevamente pérdidas ya incluidas.</t>
  </si>
  <si>
    <t>Confirmar con planta si la tasa es efectiva o teórica y qué pérdidas contempla.</t>
  </si>
  <si>
    <t>Fuente: Matriz Tiempos Cambio.xlsx. Se interpreta fila = salida, columna = entrada y unidad = minutos; confirmar con planta.</t>
  </si>
  <si>
    <t>Valores</t>
  </si>
  <si>
    <t>Los datos toman valores 0, 120 y 180. Hay 30 transiciones dirigidas de 180 minutos (15 pares simétricos). No se ha confirmado qué actividades incluye cada cambio.</t>
  </si>
  <si>
    <t>Grupos</t>
  </si>
  <si>
    <t>En el caso base hay ocho grupos completos con cambios internos de cero. Su orden interno puede afectar el costo de entrada o salida del grupo.</t>
  </si>
  <si>
    <t>Alcance</t>
  </si>
  <si>
    <t>La agrupación permite una cota inferior y un modelo reducido para este caso. El costo mínimo entre grupos debe comprobarse en la secuencia expandida de productos; no basta el costo agregado.</t>
  </si>
  <si>
    <t>Modelo reducido para las ocho familias del caso base. Ejecutar Solver con todas las restricciones, incluida la diagonal cero. Verificar después la secuencia de los 17 productos.</t>
  </si>
  <si>
    <t>Suma de diagonal (debe ser 0)</t>
  </si>
  <si>
    <t>Restricción 6 — diagonal cero</t>
  </si>
  <si>
    <t>$E$51 = 0</t>
  </si>
  <si>
    <t>Variables amarillas precargadas. Para reoptimizar: configurar las seis restricciones y ejecutar Solver. La diagonal debe sumar cero; no basta con iniciar esas celdas en cero.</t>
  </si>
  <si>
    <t>MTZ elimina ciclos entre nodos distintos. La restricción adicional de diagonal cero elimina autolazos; ambas son necesarias junto con las entradas, salidas y cotas de orden.</t>
  </si>
  <si>
    <t>Ruta reconstruida desde variables de Solver. Las fórmulas recalculan el programa, pero no ejecutan automáticamente la optimización.</t>
  </si>
  <si>
    <t>PRUEBA DE OPTIMALIDAD DEL CASO BASE</t>
  </si>
  <si>
    <t>Verificación de la secuencia</t>
  </si>
  <si>
    <t>La ruta expandida visita una vez cada producto y suma 840 minutos en la matriz original. Al alcanzar la cota inferior, prueba la optimalidad de cambios del caso base. No se adjunta una ejecución independiente de Held-Karp.</t>
  </si>
  <si>
    <t>La secuencia base alcanza 840 minutos con siete cambios de 120. La matriz contiene 30 transiciones de 180 minutos (15 pares). La optimalidad se refiere al tiempo de cambio, no a costos o fechas de entrega.</t>
  </si>
  <si>
    <t>Solución</t>
  </si>
  <si>
    <t>La ruta se lee de las posiciones u(i) de Solver. Después de cambiar la matriz, ejecutar Solver y verificar la ruta a nivel de producto.</t>
  </si>
  <si>
    <t>El fin de cada referencia incluye la pequeña espera necesaria para no dividir cartones entre turnos. El tiempo productivo neto sigue siendo necesidad × minutos/cartón.</t>
  </si>
  <si>
    <t>Min hasta cierre
del primer turno</t>
  </si>
  <si>
    <t>Cartones que caben
en primer turno</t>
  </si>
  <si>
    <t>Espera por cartón
completo (min)</t>
  </si>
  <si>
    <t>Cartones completos por producto y turno. El remanente de un turno que no alcanza para otro cartón queda libre. Las filas siguen la secuencia; gris = no operativo.</t>
  </si>
  <si>
    <t>Detalle de los 78 espacios de turno (74 operativos). Los periodos libres o cerrados no tienen producto principal.</t>
  </si>
  <si>
    <t>Controles del programa dentro de los supuestos declarados. La factibilidad de planta requiere confirmar materiales, calendario y compromisos de entrega.</t>
  </si>
  <si>
    <t>Turnos equivalentes hasta el cierre</t>
  </si>
  <si>
    <t>Incluye producción, cambios y pequeñas esperas por cartones completos. No es el número entero de turnos utilizados.</t>
  </si>
  <si>
    <t>Utilización = producción + cambios, dividido por capacidad. No se aplica un umbral universal de holgura.</t>
  </si>
  <si>
    <t>Holgura total en turnos equivalentes</t>
  </si>
  <si>
    <t>Tiempo sin producción ni cambio, incluyendo esperas por cartones completos y capacidad posterior al cierre.</t>
  </si>
  <si>
    <t>Tiempo ocupado no mayor de 480 min; solo se redondea a 8 decimales para eliminar ruido numérico. Sin tolerancia operativa de un minuto.</t>
  </si>
  <si>
    <t>La ruta debe ser válida, cubrir productos distintos y alcanzar una cota inferior vigente. Si no la alcanza, no se demuestra optimalidad.</t>
  </si>
  <si>
    <t>Cada código del maestro debe aparecer exactamente una vez; se rechazan duplicados, omisiones y códigos ajenos.</t>
  </si>
  <si>
    <t>Tiempos reconciliados</t>
  </si>
  <si>
    <t>La suma de tiempos por turno debe coincidir con la fabricación y cambios del plan completo.</t>
  </si>
  <si>
    <t>Espera por cartones completos (min)</t>
  </si>
  <si>
    <t>Tasas y necesidades enteras válidas</t>
  </si>
  <si>
    <t>Esta versión del Excel requiere tasas enteras por 8 horas y necesidades enteras no negativas.</t>
  </si>
  <si>
    <t>Agrupación vigente para la cota</t>
  </si>
  <si>
    <t>La cota requiere ocho grupos completos de cambios cero, sin cambios gratuitos entre grupos. Si cambian, adaptar el modelo.</t>
  </si>
  <si>
    <t>Sensibilidad agregada: crecimiento proporcional del mismo conjunto de productos. No reprograma el calendario ni incorpora el redondeo entero de cada referencia.</t>
  </si>
  <si>
    <t>Umbral teórico de capacidad agregada, con cambios fijos. Un escenario cercano al límite requiere programar cantidades enteras y revisar el calendario.</t>
  </si>
  <si>
    <t>La utilización base se consulta en la hoja 10. La capacidad restante no garantiza cumplimiento ante restricciones no incluidas.</t>
  </si>
  <si>
    <t>El crecimiento proporcional admisible es aproximado: no contempla nuevas referencias, fechas de entrega ni redondeo de cantidades.</t>
  </si>
  <si>
    <t>El régimen de tres turnos todos los días aumenta la capacidad. Su conveniencia depende de costos, personal y autorización de planta.</t>
  </si>
  <si>
    <t>Los cambios permanecen fijos solo al conservar referencias y una campaña por producto. Esta tabla es sensibilidad de capacidad, no un nuevo plan por turno.</t>
  </si>
  <si>
    <t>COMPARACIÓN DE REGLAS DE SECUENCIACIÓN</t>
  </si>
  <si>
    <t>Comparación reproducible para los datos del caso. No se conoce la regla actualmente usada en planta.</t>
  </si>
  <si>
    <t>Código, demanda y vecino más cercano son reglas de comparación. El costo de cada secuencia se calcula con la misma matriz. La cota superior de 16 × máximo cambio no implica que exista un recorrido que la alcance.</t>
  </si>
  <si>
    <t>Horas adicionales
de cambio</t>
  </si>
  <si>
    <t>Secuencia validada del caso base</t>
  </si>
  <si>
    <t>Por demanda descendente</t>
  </si>
  <si>
    <t>Por código ascendente</t>
  </si>
  <si>
    <t>Cota superior simple (no necesariamente alcanzable)</t>
  </si>
  <si>
    <t>El orden por código requiere 13 horas más de cambios en el caso base. Es una comparación hipotética; no equivale a ahorro observado o monetario.</t>
  </si>
  <si>
    <t>El orden por demanda requiere nueve horas más de cambios en el caso base. Si hubiera entregas intermedias, priorizar demanda o urgencia podría responder a otro objetivo.</t>
  </si>
  <si>
    <t>El vecino más cercano inicia en el mismo producto que la regla por código y usa 900 minutos en el caso base. La regla local no certifica optimalidad global.</t>
  </si>
  <si>
    <t>La mejora se mide en minutos de cambio frente a reglas explícitas. Para cuantificar un beneficio económico se requieren costos y un plan de uso de la capacidad.</t>
  </si>
  <si>
    <t>Adaptar datos, rangos, familias y calendario por línea; validar el modelo antes de usarlo.</t>
  </si>
  <si>
    <t>Cada matriz requiere revisar agrupaciones y restricciones, y ejecutar nuevamente la optimización.</t>
  </si>
  <si>
    <t>Unidad y definición de necesidad; inventarios</t>
  </si>
  <si>
    <t>Confirmar que la necesidad está en cartones y si ya descuenta inventario y contempla stock de seguridad.</t>
  </si>
  <si>
    <t>Usar necesidad neta confirmada. No restar inventarios otra vez si ya están descontados.</t>
  </si>
  <si>
    <t>El calendario de este archivo está fijado a septiembre de 2026. Adaptar fechas y espacios de turno; revisar continuidad al retirar turnos.</t>
  </si>
  <si>
    <t>El libro resuelve una instancia de 17 productos, ocho familias y septiembre de 2026. Cambiar demanda o tasas actualiza fórmulas; cambiar la matriz requiere reoptimizar. Nuevos productos, familias, meses o restricciones exigen adaptar el modelo. La app configurable será una implementación separada.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</si>
</sst>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0.0%"/>
    <numFmt numFmtId="167" formatCode="#,##0\ &quot;min&quot;"/>
    <numFmt numFmtId="168" formatCode="dd/mm/yyyy"/>
    <numFmt numFmtId="169" formatCode="#,##0;;"/>
    <numFmt numFmtId="170" formatCode="0%;;"/>
    <numFmt numFmtId="171" formatCode="#,##0\ &quot; cartones&quot;"/>
    <numFmt numFmtId="172" formatCode="#,##0\ &quot; min&quot;"/>
    <numFmt numFmtId="173" formatCode="0.00\ &quot; turnos&quot;"/>
    <numFmt numFmtId="174" formatCode="0\ &quot; turnos&quot;"/>
    <numFmt numFmtId="175" formatCode="\+0.0%;\-0.0%"/>
    <numFmt numFmtId="176" formatCode="0.0000"/>
    <numFmt numFmtId="177" formatCode="0.00;[Red]\-0.00;&quot;—&quot;"/>
  </numFmts>
  <fonts count="31" x14ac:knownFonts="1">
    <font>
      <sz val="11"/>
      <color theme="1"/>
      <name val="Calibri"/>
    </font>
    <font>
      <b/>
      <sz val="20"/>
      <color rgb="FF1F3864"/>
      <name val="Calibri"/>
      <family val="2"/>
    </font>
    <font>
      <i/>
      <sz val="11"/>
      <color rgb="FF555555"/>
      <name val="Calibri"/>
      <family val="2"/>
    </font>
    <font>
      <b/>
      <sz val="12"/>
      <color rgb="FFFFFFFF"/>
      <name val="Calibri"/>
      <family val="2"/>
    </font>
    <font>
      <b/>
      <sz val="10"/>
      <color rgb="FF1F3864"/>
      <name val="Calibri"/>
      <family val="2"/>
    </font>
    <font>
      <sz val="10"/>
      <name val="Calibri"/>
      <family val="2"/>
    </font>
    <font>
      <b/>
      <sz val="10"/>
      <color rgb="FF0563C1"/>
      <name val="Calibri"/>
      <family val="2"/>
    </font>
    <font>
      <b/>
      <sz val="10"/>
      <color rgb="FFFFFFFF"/>
      <name val="Calibri"/>
      <family val="2"/>
    </font>
    <font>
      <sz val="9"/>
      <name val="Calibri"/>
      <family val="2"/>
    </font>
    <font>
      <b/>
      <sz val="11"/>
      <color rgb="FFFFFFFF"/>
      <name val="Calibri"/>
      <family val="2"/>
    </font>
    <font>
      <b/>
      <sz val="10"/>
      <color rgb="FFFFFFFF"/>
      <name val="Calibri"/>
      <family val="2"/>
    </font>
    <font>
      <sz val="8"/>
      <color rgb="FF888888"/>
      <name val="Calibri"/>
      <family val="2"/>
    </font>
    <font>
      <b/>
      <sz val="12"/>
      <color rgb="FF1F3864"/>
      <name val="Calibri"/>
      <family val="2"/>
    </font>
    <font>
      <b/>
      <sz val="11"/>
      <color rgb="FF1F3864"/>
      <name val="Calibri"/>
      <family val="2"/>
    </font>
    <font>
      <b/>
      <sz val="9"/>
      <color rgb="FF1F3864"/>
      <name val="Consolas"/>
      <family val="2"/>
    </font>
    <font>
      <sz val="9"/>
      <color rgb="FF222222"/>
      <name val="Consolas"/>
      <family val="2"/>
    </font>
    <font>
      <b/>
      <sz val="14"/>
      <color rgb="FFFFFFFF"/>
      <name val="Calibri"/>
      <family val="2"/>
    </font>
    <font>
      <i/>
      <sz val="9"/>
      <name val="Calibri"/>
      <family val="2"/>
    </font>
    <font>
      <b/>
      <sz val="11"/>
      <color rgb="FFFFFFFF"/>
      <name val="Calibri"/>
      <family val="2"/>
    </font>
    <font>
      <i/>
      <sz val="9"/>
      <color rgb="FF47616C"/>
      <name val="Calibri"/>
      <family val="2"/>
    </font>
    <font>
      <b/>
      <sz val="9"/>
      <color rgb="FFFFFFFF"/>
      <name val="Calibri"/>
      <family val="2"/>
    </font>
    <font>
      <b/>
      <sz val="11"/>
      <name val="Calibri"/>
      <family val="2"/>
    </font>
    <font>
      <b/>
      <sz val="11"/>
      <color rgb="FF9E2A2B"/>
      <name val="Calibri"/>
      <family val="2"/>
    </font>
    <font>
      <b/>
      <sz val="13"/>
      <color rgb="FFFFFFFF"/>
      <name val="Calibri"/>
      <family val="2"/>
    </font>
    <font>
      <b/>
      <sz val="9"/>
      <color rgb="FF9E2A2B"/>
      <name val="Calibri"/>
      <family val="2"/>
    </font>
    <font>
      <b/>
      <sz val="9"/>
      <color rgb="FFB8860B"/>
      <name val="Calibri"/>
      <family val="2"/>
    </font>
    <font>
      <b/>
      <sz val="9"/>
      <color rgb="FF1E7B4F"/>
      <name val="Calibri"/>
      <family val="2"/>
    </font>
    <font>
      <i/>
      <sz val="11"/>
      <color rgb="FF555555"/>
      <name val="Calibri"/>
      <family val="2"/>
    </font>
    <font>
      <i/>
      <sz val="10"/>
      <color rgb="FF1F3864"/>
      <name val="Calibri"/>
      <family val="2"/>
    </font>
    <font>
      <b/>
      <sz val="12"/>
      <color rgb="FFFFFFFF"/>
      <name val="Calibri"/>
      <family val="2"/>
    </font>
    <font>
      <b/>
      <sz val="11"/>
      <color rgb="FF203864"/>
      <name val="Calibri"/>
      <family val="2"/>
    </font>
  </fonts>
  <fills count="15">
    <fill>
      <patternFill patternType="none"/>
    </fill>
    <fill>
      <patternFill patternType="gray125"/>
    </fill>
    <fill>
      <patternFill patternType="solid">
        <fgColor rgb="FF1F3864"/>
      </patternFill>
    </fill>
    <fill>
      <patternFill patternType="solid">
        <fgColor rgb="FF2E5090"/>
      </patternFill>
    </fill>
    <fill>
      <patternFill patternType="solid">
        <fgColor rgb="FF1E7B4F"/>
      </patternFill>
    </fill>
    <fill>
      <patternFill patternType="solid">
        <fgColor rgb="FFFFF3C4"/>
      </patternFill>
    </fill>
    <fill>
      <patternFill patternType="solid">
        <fgColor rgb="FFD9D9D9"/>
      </patternFill>
    </fill>
    <fill>
      <patternFill patternType="solid">
        <fgColor rgb="FFEEF2F8"/>
      </patternFill>
    </fill>
    <fill>
      <patternFill patternType="solid">
        <fgColor rgb="FF9E2A2B"/>
      </patternFill>
    </fill>
    <fill>
      <patternFill patternType="solid">
        <fgColor rgb="FFC6E7D0"/>
      </patternFill>
    </fill>
    <fill>
      <patternFill patternType="solid">
        <fgColor rgb="FFF8CBAD"/>
      </patternFill>
    </fill>
    <fill>
      <patternFill patternType="solid">
        <fgColor rgb="FFFFF2CC"/>
      </patternFill>
    </fill>
    <fill>
      <patternFill patternType="solid">
        <fgColor rgb="FFE2EFDA"/>
      </patternFill>
    </fill>
    <fill>
      <patternFill patternType="solid">
        <fgColor rgb="FFFFFF00"/>
      </patternFill>
    </fill>
    <fill>
      <patternFill patternType="solid">
        <fgColor rgb="FF203864"/>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indexed="64"/>
      </bottom>
      <diagonal/>
    </border>
    <border>
      <left style="thin">
        <color indexed="64"/>
      </left>
      <right style="thin">
        <color indexed="64"/>
      </right>
      <top style="thin">
        <color indexed="64"/>
      </top>
      <bottom style="thin">
        <color indexed="64"/>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AAAAAA"/>
      </left>
      <right/>
      <top style="thin">
        <color rgb="FFAAAAAA"/>
      </top>
      <bottom style="thin">
        <color indexed="64"/>
      </bottom>
      <diagonal/>
    </border>
    <border>
      <left/>
      <right style="thin">
        <color rgb="FFAAAAAA"/>
      </right>
      <top/>
      <bottom/>
      <diagonal/>
    </border>
  </borders>
  <cellStyleXfs count="1">
    <xf numFmtId="0" fontId="0" fillId="0" borderId="0"/>
  </cellStyleXfs>
  <cellXfs count="148">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applyAlignment="1">
      <alignment horizontal="left" vertical="top" wrapText="1"/>
    </xf>
    <xf numFmtId="0" fontId="6" fillId="0" borderId="0" xfId="0" applyFont="1"/>
    <xf numFmtId="0" fontId="5" fillId="0" borderId="0" xfId="0" applyFont="1" applyAlignment="1">
      <alignment horizontal="left" vertical="center"/>
    </xf>
    <xf numFmtId="0" fontId="4" fillId="0" borderId="0" xfId="0" applyFont="1"/>
    <xf numFmtId="0" fontId="7"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0" fontId="8" fillId="0" borderId="0" xfId="0" applyFont="1" applyAlignment="1">
      <alignment horizontal="left" vertical="top" wrapText="1"/>
    </xf>
    <xf numFmtId="3" fontId="4" fillId="0" borderId="1" xfId="0"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0" fontId="10" fillId="3" borderId="1" xfId="0" applyFont="1" applyFill="1" applyBorder="1" applyAlignment="1">
      <alignment horizontal="center" vertical="center" wrapText="1"/>
    </xf>
    <xf numFmtId="3" fontId="10" fillId="3" borderId="1" xfId="0" applyNumberFormat="1" applyFont="1" applyFill="1" applyBorder="1" applyAlignment="1">
      <alignment horizontal="center" vertical="center" wrapText="1"/>
    </xf>
    <xf numFmtId="2" fontId="10" fillId="3" borderId="1" xfId="0" applyNumberFormat="1" applyFont="1" applyFill="1" applyBorder="1" applyAlignment="1">
      <alignment horizontal="center" vertical="center" wrapText="1"/>
    </xf>
    <xf numFmtId="166" fontId="10" fillId="3" borderId="1" xfId="0" applyNumberFormat="1" applyFont="1" applyFill="1" applyBorder="1" applyAlignment="1">
      <alignment horizontal="center" vertical="center" wrapText="1"/>
    </xf>
    <xf numFmtId="0" fontId="7" fillId="2" borderId="0" xfId="0" applyFont="1" applyFill="1" applyAlignment="1">
      <alignment horizontal="center" vertical="center" wrapText="1"/>
    </xf>
    <xf numFmtId="0" fontId="11" fillId="0" borderId="0" xfId="0" applyFont="1"/>
    <xf numFmtId="0" fontId="11" fillId="0" borderId="0" xfId="0" applyFont="1" applyAlignment="1">
      <alignment horizontal="center" vertical="center" wrapText="1"/>
    </xf>
    <xf numFmtId="0" fontId="12" fillId="0" borderId="0" xfId="0" applyFont="1"/>
    <xf numFmtId="0" fontId="13" fillId="0" borderId="0" xfId="0" applyFont="1"/>
    <xf numFmtId="0" fontId="14" fillId="0" borderId="0" xfId="0" applyFont="1"/>
    <xf numFmtId="0" fontId="5" fillId="0" borderId="0" xfId="0" applyFont="1"/>
    <xf numFmtId="167" fontId="16" fillId="4" borderId="0" xfId="0" applyNumberFormat="1" applyFont="1" applyFill="1" applyAlignment="1">
      <alignment horizontal="center" vertical="center" wrapText="1"/>
    </xf>
    <xf numFmtId="0" fontId="15" fillId="0" borderId="0" xfId="0" applyFont="1"/>
    <xf numFmtId="167"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17" fillId="0" borderId="1" xfId="0" applyFont="1" applyBorder="1"/>
    <xf numFmtId="0" fontId="0" fillId="0" borderId="1" xfId="0" applyBorder="1" applyAlignment="1">
      <alignment horizontal="center" vertical="center" wrapText="1"/>
    </xf>
    <xf numFmtId="0" fontId="5" fillId="0" borderId="1" xfId="0" applyFont="1" applyBorder="1"/>
    <xf numFmtId="0" fontId="7" fillId="3" borderId="1" xfId="0" applyFont="1" applyFill="1" applyBorder="1" applyAlignment="1">
      <alignment horizontal="center" vertical="center" wrapText="1"/>
    </xf>
    <xf numFmtId="0" fontId="7" fillId="3"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0" borderId="0" xfId="0" applyFont="1"/>
    <xf numFmtId="168" fontId="5"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68" fontId="0" fillId="0" borderId="1" xfId="0" applyNumberFormat="1" applyBorder="1" applyAlignment="1">
      <alignment horizontal="center" vertical="center" wrapText="1"/>
    </xf>
    <xf numFmtId="1" fontId="4" fillId="5" borderId="1" xfId="0" applyNumberFormat="1"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169" fontId="8" fillId="0" borderId="1" xfId="0" applyNumberFormat="1" applyFont="1" applyBorder="1" applyAlignment="1">
      <alignment horizontal="center" vertical="center" wrapText="1"/>
    </xf>
    <xf numFmtId="170" fontId="8" fillId="0" borderId="1"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wrapText="1"/>
    </xf>
    <xf numFmtId="0" fontId="8" fillId="0" borderId="1" xfId="0" applyFont="1" applyBorder="1" applyAlignment="1">
      <alignment horizontal="left" vertical="center"/>
    </xf>
    <xf numFmtId="3" fontId="8"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171" fontId="12" fillId="7" borderId="1" xfId="0" applyNumberFormat="1" applyFont="1" applyFill="1" applyBorder="1" applyAlignment="1">
      <alignment horizontal="center" vertical="center" wrapText="1"/>
    </xf>
    <xf numFmtId="172" fontId="12" fillId="7" borderId="1" xfId="0" applyNumberFormat="1" applyFont="1" applyFill="1" applyBorder="1" applyAlignment="1">
      <alignment horizontal="center" vertical="center" wrapText="1"/>
    </xf>
    <xf numFmtId="173" fontId="12" fillId="7" borderId="1" xfId="0" applyNumberFormat="1" applyFont="1" applyFill="1" applyBorder="1" applyAlignment="1">
      <alignment horizontal="center" vertical="center" wrapText="1"/>
    </xf>
    <xf numFmtId="174" fontId="12" fillId="7" borderId="1" xfId="0" applyNumberFormat="1" applyFont="1" applyFill="1" applyBorder="1" applyAlignment="1">
      <alignment horizontal="center" vertical="center" wrapText="1"/>
    </xf>
    <xf numFmtId="166" fontId="12" fillId="7" borderId="1" xfId="0" applyNumberFormat="1" applyFont="1" applyFill="1" applyBorder="1" applyAlignment="1">
      <alignment horizontal="center" vertical="center" wrapText="1"/>
    </xf>
    <xf numFmtId="168" fontId="12"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3" fontId="4" fillId="7" borderId="0" xfId="0" applyNumberFormat="1" applyFont="1" applyFill="1"/>
    <xf numFmtId="0" fontId="4" fillId="7" borderId="0" xfId="0" applyFont="1" applyFill="1"/>
    <xf numFmtId="0" fontId="22" fillId="0" borderId="0" xfId="0" applyFont="1"/>
    <xf numFmtId="175" fontId="23" fillId="8" borderId="0" xfId="0" applyNumberFormat="1" applyFont="1" applyFill="1" applyAlignment="1">
      <alignment horizontal="center" vertical="center" wrapText="1"/>
    </xf>
    <xf numFmtId="175" fontId="23" fillId="2" borderId="0" xfId="0" applyNumberFormat="1" applyFont="1" applyFill="1" applyAlignment="1">
      <alignment horizontal="center" vertical="center" wrapText="1"/>
    </xf>
    <xf numFmtId="175"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4" fillId="5" borderId="1" xfId="0" applyFont="1" applyFill="1" applyBorder="1" applyAlignment="1">
      <alignment horizontal="left" vertical="center"/>
    </xf>
    <xf numFmtId="175" fontId="0" fillId="5" borderId="1" xfId="0" applyNumberFormat="1" applyFill="1" applyBorder="1" applyAlignment="1">
      <alignment horizontal="center" vertical="center" wrapText="1"/>
    </xf>
    <xf numFmtId="3" fontId="0" fillId="5" borderId="1" xfId="0" applyNumberFormat="1" applyFill="1" applyBorder="1" applyAlignment="1">
      <alignment horizontal="center" vertical="center" wrapText="1"/>
    </xf>
    <xf numFmtId="2" fontId="0" fillId="5" borderId="1" xfId="0" applyNumberFormat="1" applyFill="1" applyBorder="1" applyAlignment="1">
      <alignment horizontal="center" vertical="center" wrapText="1"/>
    </xf>
    <xf numFmtId="1" fontId="0" fillId="5" borderId="1" xfId="0" applyNumberFormat="1" applyFill="1" applyBorder="1" applyAlignment="1">
      <alignment horizontal="center" vertical="center" wrapText="1"/>
    </xf>
    <xf numFmtId="3" fontId="0" fillId="9" borderId="1" xfId="0" applyNumberFormat="1" applyFill="1" applyBorder="1" applyAlignment="1">
      <alignment horizontal="center" vertical="center" wrapText="1"/>
    </xf>
    <xf numFmtId="2" fontId="0" fillId="9" borderId="1" xfId="0" applyNumberFormat="1" applyFill="1" applyBorder="1" applyAlignment="1">
      <alignment horizontal="center" vertical="center" wrapText="1"/>
    </xf>
    <xf numFmtId="165" fontId="0" fillId="9" borderId="1" xfId="0" applyNumberFormat="1" applyFill="1" applyBorder="1" applyAlignment="1">
      <alignment horizontal="center" vertical="center" wrapText="1"/>
    </xf>
    <xf numFmtId="165" fontId="0" fillId="0" borderId="1" xfId="0" applyNumberFormat="1" applyBorder="1" applyAlignment="1">
      <alignment horizontal="center" vertical="center" wrapText="1"/>
    </xf>
    <xf numFmtId="0" fontId="9" fillId="3" borderId="1" xfId="0"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6" fillId="12" borderId="1" xfId="0" applyFont="1" applyFill="1" applyBorder="1" applyAlignment="1">
      <alignment horizontal="center" vertical="center" wrapText="1"/>
    </xf>
    <xf numFmtId="0" fontId="27" fillId="0" borderId="0" xfId="0" applyFont="1"/>
    <xf numFmtId="0" fontId="5" fillId="0" borderId="0" xfId="0" applyFont="1" applyAlignment="1">
      <alignment horizontal="left" vertical="center" wrapText="1"/>
    </xf>
    <xf numFmtId="0" fontId="4" fillId="0" borderId="0" xfId="0" applyFont="1" applyAlignment="1">
      <alignment vertical="center"/>
    </xf>
    <xf numFmtId="0" fontId="29" fillId="2" borderId="0" xfId="0" applyFont="1" applyFill="1"/>
    <xf numFmtId="0" fontId="8" fillId="0" borderId="0" xfId="0" applyFont="1" applyAlignment="1">
      <alignment horizontal="left" vertical="center" wrapText="1"/>
    </xf>
    <xf numFmtId="0" fontId="4"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8" fillId="13" borderId="0" xfId="0" applyFont="1" applyFill="1" applyAlignment="1">
      <alignment horizontal="left" vertical="top" wrapText="1"/>
    </xf>
    <xf numFmtId="0" fontId="4" fillId="0" borderId="0" xfId="0" applyFont="1" applyAlignment="1">
      <alignment horizontal="center" vertical="center"/>
    </xf>
    <xf numFmtId="0" fontId="4" fillId="0" borderId="0" xfId="0" applyFont="1" applyAlignment="1">
      <alignment horizontal="right" vertical="center"/>
    </xf>
    <xf numFmtId="0" fontId="0" fillId="3" borderId="1" xfId="0" applyFill="1" applyBorder="1" applyAlignment="1">
      <alignment horizontal="center"/>
    </xf>
    <xf numFmtId="3" fontId="0" fillId="0" borderId="0" xfId="0" applyNumberFormat="1" applyAlignment="1">
      <alignment horizontal="center"/>
    </xf>
    <xf numFmtId="0" fontId="7" fillId="14" borderId="0" xfId="0" applyFont="1" applyFill="1" applyAlignment="1">
      <alignment wrapText="1"/>
    </xf>
    <xf numFmtId="176" fontId="0" fillId="0" borderId="0" xfId="0" applyNumberFormat="1"/>
    <xf numFmtId="0" fontId="0" fillId="0" borderId="0" xfId="0" applyAlignment="1">
      <alignment wrapText="1"/>
    </xf>
    <xf numFmtId="0" fontId="2" fillId="0" borderId="0" xfId="0" applyFont="1" applyAlignment="1">
      <alignment wrapText="1"/>
    </xf>
    <xf numFmtId="0" fontId="5" fillId="0" borderId="0" xfId="0" applyFont="1" applyAlignment="1">
      <alignment wrapText="1"/>
    </xf>
    <xf numFmtId="0" fontId="1" fillId="0" borderId="0" xfId="0" applyFont="1" applyAlignment="1">
      <alignment wrapText="1"/>
    </xf>
    <xf numFmtId="0" fontId="4" fillId="9" borderId="1" xfId="0" applyFont="1" applyFill="1" applyBorder="1" applyAlignment="1">
      <alignment horizontal="left" vertical="center" wrapText="1"/>
    </xf>
    <xf numFmtId="0" fontId="5" fillId="0" borderId="1" xfId="0" applyFont="1" applyBorder="1" applyAlignment="1">
      <alignment horizontal="left" vertical="center" wrapText="1"/>
    </xf>
    <xf numFmtId="177" fontId="8" fillId="0" borderId="1" xfId="0" applyNumberFormat="1" applyFont="1" applyBorder="1" applyAlignment="1">
      <alignment horizontal="center" vertical="center" wrapText="1"/>
    </xf>
    <xf numFmtId="0" fontId="5" fillId="0" borderId="0" xfId="0" applyFont="1" applyAlignment="1">
      <alignment horizontal="left" vertical="top" wrapText="1"/>
    </xf>
    <xf numFmtId="0" fontId="0" fillId="0" borderId="0" xfId="0"/>
    <xf numFmtId="0" fontId="5" fillId="0" borderId="0" xfId="0" applyFont="1" applyAlignment="1">
      <alignment horizontal="left" vertical="center" wrapText="1"/>
    </xf>
    <xf numFmtId="0" fontId="0" fillId="0" borderId="0" xfId="0" applyAlignment="1">
      <alignment vertical="center"/>
    </xf>
    <xf numFmtId="0" fontId="28" fillId="0" borderId="0" xfId="0" applyFont="1" applyAlignment="1">
      <alignment horizontal="left" vertical="top" wrapText="1"/>
    </xf>
    <xf numFmtId="0" fontId="8" fillId="0" borderId="0" xfId="0" applyFont="1" applyAlignment="1">
      <alignment horizontal="left" vertical="center" wrapText="1"/>
    </xf>
    <xf numFmtId="0" fontId="5" fillId="0" borderId="5" xfId="0" applyFont="1" applyBorder="1" applyAlignment="1">
      <alignment horizontal="center" vertical="center"/>
    </xf>
    <xf numFmtId="0" fontId="7" fillId="2" borderId="2"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4" fillId="0" borderId="0" xfId="0" applyFont="1"/>
    <xf numFmtId="0" fontId="5" fillId="0" borderId="0" xfId="0" applyFont="1"/>
    <xf numFmtId="0" fontId="14" fillId="0" borderId="0" xfId="0" applyFont="1" applyAlignment="1">
      <alignment horizontal="left" vertical="center"/>
    </xf>
    <xf numFmtId="0" fontId="4" fillId="0" borderId="0" xfId="0" applyFont="1" applyAlignment="1">
      <alignment horizontal="left" vertical="top" wrapText="1"/>
    </xf>
    <xf numFmtId="0" fontId="8" fillId="0" borderId="0" xfId="0" applyFont="1" applyAlignment="1">
      <alignment horizontal="left" vertical="top" wrapText="1"/>
    </xf>
    <xf numFmtId="0" fontId="0" fillId="0" borderId="0" xfId="0" applyAlignment="1">
      <alignment wrapText="1"/>
    </xf>
    <xf numFmtId="0" fontId="30" fillId="0" borderId="0" xfId="0" applyFont="1" applyAlignment="1">
      <alignment wrapText="1"/>
    </xf>
    <xf numFmtId="0" fontId="12" fillId="0" borderId="0" xfId="0" applyFont="1"/>
    <xf numFmtId="0" fontId="18" fillId="4" borderId="0" xfId="0" applyFont="1" applyFill="1" applyAlignment="1">
      <alignment horizontal="center" vertical="center" wrapText="1"/>
    </xf>
    <xf numFmtId="0" fontId="19" fillId="0" borderId="0" xfId="0" applyFont="1" applyAlignment="1">
      <alignment horizontal="left" vertical="top" wrapText="1"/>
    </xf>
    <xf numFmtId="0" fontId="3" fillId="2" borderId="0" xfId="0" applyFont="1" applyFill="1"/>
    <xf numFmtId="0" fontId="0" fillId="2" borderId="0" xfId="0" applyFill="1"/>
    <xf numFmtId="0" fontId="20" fillId="3" borderId="0" xfId="0" applyFont="1" applyFill="1" applyAlignment="1">
      <alignment horizontal="left" vertical="center"/>
    </xf>
    <xf numFmtId="0" fontId="0" fillId="3" borderId="0" xfId="0" applyFill="1"/>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xf>
    <xf numFmtId="168" fontId="7" fillId="2" borderId="1" xfId="0" applyNumberFormat="1" applyFont="1" applyFill="1" applyBorder="1" applyAlignment="1">
      <alignment horizontal="center" vertical="center"/>
    </xf>
    <xf numFmtId="0" fontId="0" fillId="2" borderId="1" xfId="0" applyFill="1" applyBorder="1" applyAlignment="1">
      <alignment horizontal="center" vertical="center" wrapText="1"/>
    </xf>
    <xf numFmtId="0" fontId="0" fillId="0" borderId="3" xfId="0" applyBorder="1"/>
    <xf numFmtId="168" fontId="7" fillId="3" borderId="1" xfId="0" applyNumberFormat="1" applyFont="1" applyFill="1" applyBorder="1" applyAlignment="1">
      <alignment horizontal="center" vertical="center"/>
    </xf>
    <xf numFmtId="0" fontId="0" fillId="0" borderId="0" xfId="0" applyAlignment="1">
      <alignment horizontal="left" vertical="center"/>
    </xf>
    <xf numFmtId="0" fontId="2" fillId="0" borderId="0" xfId="0" applyFont="1" applyAlignment="1"/>
    <xf numFmtId="0" fontId="0" fillId="0" borderId="0" xfId="0" applyAlignment="1">
      <alignment vertical="center" wrapText="1"/>
    </xf>
    <xf numFmtId="0" fontId="30" fillId="0" borderId="0" xfId="0" applyFont="1" applyAlignment="1">
      <alignment horizontal="center" vertical="center" wrapText="1"/>
    </xf>
    <xf numFmtId="176" fontId="30" fillId="0" borderId="0" xfId="0" applyNumberFormat="1"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21">
    <dxf>
      <font>
        <b/>
        <color rgb="FF9E2A2B"/>
      </font>
      <fill>
        <patternFill>
          <bgColor rgb="FFF8CBAD"/>
        </patternFill>
      </fill>
    </dxf>
    <dxf>
      <font>
        <b/>
        <color rgb="FF1E7B4F"/>
      </font>
      <fill>
        <patternFill>
          <bgColor rgb="FFC6E7D0"/>
        </patternFill>
      </fill>
    </dxf>
    <dxf>
      <font>
        <b/>
        <color rgb="FF9E2A2B"/>
      </font>
      <fill>
        <patternFill>
          <bgColor rgb="FFF8CBAD"/>
        </patternFill>
      </fill>
    </dxf>
    <dxf>
      <font>
        <b/>
        <color rgb="FF1E7B4F"/>
      </font>
      <fill>
        <patternFill>
          <bgColor rgb="FFC6E7D0"/>
        </patternFill>
      </fill>
    </dxf>
    <dxf>
      <font>
        <b/>
        <color rgb="FF9E2A2B"/>
      </font>
      <fill>
        <patternFill>
          <bgColor rgb="FFF8CBAD"/>
        </patternFill>
      </fill>
    </dxf>
    <dxf>
      <font>
        <b/>
        <color rgb="FF1E7B4F"/>
      </font>
      <fill>
        <patternFill>
          <bgColor rgb="FFC6E7D0"/>
        </patternFill>
      </fill>
    </dxf>
    <dxf>
      <font>
        <b/>
        <color rgb="FF9E2A2B"/>
      </font>
      <fill>
        <patternFill>
          <bgColor rgb="FFF8CBAD"/>
        </patternFill>
      </fill>
    </dxf>
    <dxf>
      <fill>
        <patternFill>
          <bgColor rgb="FFFFF2CC"/>
        </patternFill>
      </fill>
    </dxf>
    <dxf>
      <font>
        <color rgb="FF888888"/>
      </font>
      <fill>
        <patternFill>
          <bgColor rgb="FFD9D9D9"/>
        </patternFill>
      </fill>
    </dxf>
    <dxf>
      <font>
        <b/>
        <color rgb="FF9E2A2B"/>
      </font>
      <fill>
        <patternFill>
          <bgColor rgb="FFF8CBAD"/>
        </patternFill>
      </fill>
    </dxf>
    <dxf>
      <font>
        <b/>
        <color rgb="FF1E7B4F"/>
      </font>
      <fill>
        <patternFill>
          <bgColor rgb="FFC6E7D0"/>
        </patternFill>
      </fill>
    </dxf>
    <dxf>
      <fill>
        <patternFill>
          <bgColor rgb="FFD7E4F5"/>
        </patternFill>
      </fill>
    </dxf>
    <dxf>
      <font>
        <color rgb="FF999999"/>
      </font>
      <fill>
        <patternFill>
          <bgColor rgb="FFD9D9D9"/>
        </patternFill>
      </fill>
    </dxf>
    <dxf>
      <fill>
        <patternFill>
          <bgColor rgb="FFFFF2CC"/>
        </patternFill>
      </fill>
    </dxf>
    <dxf>
      <font>
        <b/>
        <color rgb="FF9E2A2B"/>
      </font>
      <fill>
        <patternFill>
          <bgColor rgb="FFF8CBAD"/>
        </patternFill>
      </fill>
    </dxf>
    <dxf>
      <fill>
        <patternFill>
          <bgColor rgb="FFFFF2CC"/>
        </patternFill>
      </fill>
    </dxf>
    <dxf>
      <fill>
        <patternFill>
          <bgColor rgb="FFF8CBAD"/>
        </patternFill>
      </fill>
    </dxf>
    <dxf>
      <font>
        <b/>
        <color rgb="FF9E2A2B"/>
      </font>
      <fill>
        <patternFill>
          <bgColor rgb="FFF8CBAD"/>
        </patternFill>
      </fill>
    </dxf>
    <dxf>
      <fill>
        <patternFill>
          <bgColor rgb="FFFFF2CC"/>
        </patternFill>
      </fill>
    </dxf>
    <dxf>
      <font>
        <b/>
        <color rgb="FF1E7B4F"/>
      </font>
      <fill>
        <patternFill>
          <bgColor rgb="FFC6E7D0"/>
        </patternFill>
      </fill>
    </dxf>
    <dxf>
      <fill>
        <patternFill>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10"/>
  <c:chart>
    <c:title>
      <c:tx>
        <c:rich>
          <a:bodyPr/>
          <a:lstStyle/>
          <a:p>
            <a:r>
              <a:rPr lang="es-CO" sz="1400"/>
              <a:t>Turnos requeridos por escenario vs capacidad disponible</a:t>
            </a:r>
          </a:p>
        </c:rich>
      </c:tx>
      <c:layout>
        <c:manualLayout>
          <c:xMode val="edge"/>
          <c:yMode val="edge"/>
          <c:x val="0.18568808472111717"/>
          <c:y val="3.4129692832764505E-3"/>
        </c:manualLayout>
      </c:layout>
      <c:overlay val="1"/>
    </c:title>
    <c:autoTitleDeleted val="0"/>
    <c:plotArea>
      <c:layout/>
      <c:barChart>
        <c:barDir val="col"/>
        <c:grouping val="clustered"/>
        <c:varyColors val="1"/>
        <c:ser>
          <c:idx val="0"/>
          <c:order val="0"/>
          <c:tx>
            <c:strRef>
              <c:f>'11_Sensibilidad'!$H$12</c:f>
              <c:strCache>
                <c:ptCount val="1"/>
                <c:pt idx="0">
                  <c:v>Turnos
requeridos</c:v>
                </c:pt>
              </c:strCache>
            </c:strRef>
          </c:tx>
          <c:spPr>
            <a:ln>
              <a:prstDash val="solid"/>
            </a:ln>
          </c:spPr>
          <c:invertIfNegative val="1"/>
          <c:cat>
            <c:strRef>
              <c:f>'11_Sensibilidad'!$B$13:$B$20</c:f>
              <c:strCache>
                <c:ptCount val="8"/>
                <c:pt idx="0">
                  <c:v>Caída 10%</c:v>
                </c:pt>
                <c:pt idx="1">
                  <c:v>Base (plan actual)</c:v>
                </c:pt>
                <c:pt idx="2">
                  <c:v>Crecimiento 10%</c:v>
                </c:pt>
                <c:pt idx="3">
                  <c:v>Crecimiento 20%</c:v>
                </c:pt>
                <c:pt idx="4">
                  <c:v>Punto de quiebre</c:v>
                </c:pt>
                <c:pt idx="5">
                  <c:v>Crecimiento 30%</c:v>
                </c:pt>
                <c:pt idx="6">
                  <c:v>Crecimiento 40%</c:v>
                </c:pt>
                <c:pt idx="7">
                  <c:v>Crecimiento 50%</c:v>
                </c:pt>
              </c:strCache>
            </c:strRef>
          </c:cat>
          <c:val>
            <c:numRef>
              <c:f>'11_Sensibilidad'!$H$13:$H$20</c:f>
              <c:numCache>
                <c:formatCode>0.00</c:formatCode>
                <c:ptCount val="8"/>
                <c:pt idx="0">
                  <c:v>53.911797595569524</c:v>
                </c:pt>
                <c:pt idx="1">
                  <c:v>59.707552883966137</c:v>
                </c:pt>
                <c:pt idx="2">
                  <c:v>65.50330817236275</c:v>
                </c:pt>
                <c:pt idx="3">
                  <c:v>71.299063460759356</c:v>
                </c:pt>
                <c:pt idx="4">
                  <c:v>74</c:v>
                </c:pt>
                <c:pt idx="5">
                  <c:v>77.094818749155976</c:v>
                </c:pt>
                <c:pt idx="6">
                  <c:v>82.890574037552582</c:v>
                </c:pt>
                <c:pt idx="7">
                  <c:v>88.686329325949202</c:v>
                </c:pt>
              </c:numCache>
            </c:numRef>
          </c:val>
          <c:extLst>
            <c:ext xmlns:c16="http://schemas.microsoft.com/office/drawing/2014/chart" uri="{C3380CC4-5D6E-409C-BE32-E72D297353CC}">
              <c16:uniqueId val="{00000000-99EC-0744-8F08-DD711E369BFA}"/>
            </c:ext>
          </c:extLst>
        </c:ser>
        <c:ser>
          <c:idx val="1"/>
          <c:order val="1"/>
          <c:tx>
            <c:strRef>
              <c:f>'11_Sensibilidad'!$I$12</c:f>
              <c:strCache>
                <c:ptCount val="1"/>
                <c:pt idx="0">
                  <c:v>Turnos L-S</c:v>
                </c:pt>
              </c:strCache>
            </c:strRef>
          </c:tx>
          <c:spPr>
            <a:ln>
              <a:prstDash val="solid"/>
            </a:ln>
          </c:spPr>
          <c:invertIfNegative val="1"/>
          <c:cat>
            <c:strRef>
              <c:f>'11_Sensibilidad'!$B$13:$B$20</c:f>
              <c:strCache>
                <c:ptCount val="8"/>
                <c:pt idx="0">
                  <c:v>Caída 10%</c:v>
                </c:pt>
                <c:pt idx="1">
                  <c:v>Base (plan actual)</c:v>
                </c:pt>
                <c:pt idx="2">
                  <c:v>Crecimiento 10%</c:v>
                </c:pt>
                <c:pt idx="3">
                  <c:v>Crecimiento 20%</c:v>
                </c:pt>
                <c:pt idx="4">
                  <c:v>Punto de quiebre</c:v>
                </c:pt>
                <c:pt idx="5">
                  <c:v>Crecimiento 30%</c:v>
                </c:pt>
                <c:pt idx="6">
                  <c:v>Crecimiento 40%</c:v>
                </c:pt>
                <c:pt idx="7">
                  <c:v>Crecimiento 50%</c:v>
                </c:pt>
              </c:strCache>
            </c:strRef>
          </c:cat>
          <c:val>
            <c:numRef>
              <c:f>'11_Sensibilidad'!$I$13:$I$20</c:f>
              <c:numCache>
                <c:formatCode>0</c:formatCode>
                <c:ptCount val="8"/>
                <c:pt idx="0">
                  <c:v>74</c:v>
                </c:pt>
                <c:pt idx="1">
                  <c:v>74</c:v>
                </c:pt>
                <c:pt idx="2">
                  <c:v>74</c:v>
                </c:pt>
                <c:pt idx="3">
                  <c:v>74</c:v>
                </c:pt>
                <c:pt idx="4">
                  <c:v>74</c:v>
                </c:pt>
                <c:pt idx="5">
                  <c:v>74</c:v>
                </c:pt>
                <c:pt idx="6">
                  <c:v>74</c:v>
                </c:pt>
                <c:pt idx="7">
                  <c:v>74</c:v>
                </c:pt>
              </c:numCache>
            </c:numRef>
          </c:val>
          <c:extLst>
            <c:ext xmlns:c16="http://schemas.microsoft.com/office/drawing/2014/chart" uri="{C3380CC4-5D6E-409C-BE32-E72D297353CC}">
              <c16:uniqueId val="{00000001-99EC-0744-8F08-DD711E369BFA}"/>
            </c:ext>
          </c:extLst>
        </c:ser>
        <c:ser>
          <c:idx val="2"/>
          <c:order val="2"/>
          <c:tx>
            <c:strRef>
              <c:f>'11_Sensibilidad'!$L$12</c:f>
              <c:strCache>
                <c:ptCount val="1"/>
                <c:pt idx="0">
                  <c:v>Turnos D-D</c:v>
                </c:pt>
              </c:strCache>
            </c:strRef>
          </c:tx>
          <c:spPr>
            <a:ln>
              <a:prstDash val="solid"/>
            </a:ln>
          </c:spPr>
          <c:invertIfNegative val="1"/>
          <c:cat>
            <c:strRef>
              <c:f>'11_Sensibilidad'!$B$13:$B$20</c:f>
              <c:strCache>
                <c:ptCount val="8"/>
                <c:pt idx="0">
                  <c:v>Caída 10%</c:v>
                </c:pt>
                <c:pt idx="1">
                  <c:v>Base (plan actual)</c:v>
                </c:pt>
                <c:pt idx="2">
                  <c:v>Crecimiento 10%</c:v>
                </c:pt>
                <c:pt idx="3">
                  <c:v>Crecimiento 20%</c:v>
                </c:pt>
                <c:pt idx="4">
                  <c:v>Punto de quiebre</c:v>
                </c:pt>
                <c:pt idx="5">
                  <c:v>Crecimiento 30%</c:v>
                </c:pt>
                <c:pt idx="6">
                  <c:v>Crecimiento 40%</c:v>
                </c:pt>
                <c:pt idx="7">
                  <c:v>Crecimiento 50%</c:v>
                </c:pt>
              </c:strCache>
            </c:strRef>
          </c:cat>
          <c:val>
            <c:numRef>
              <c:f>'11_Sensibilidad'!$L$13:$L$20</c:f>
              <c:numCache>
                <c:formatCode>0</c:formatCode>
                <c:ptCount val="8"/>
                <c:pt idx="0">
                  <c:v>90</c:v>
                </c:pt>
                <c:pt idx="1">
                  <c:v>90</c:v>
                </c:pt>
                <c:pt idx="2">
                  <c:v>90</c:v>
                </c:pt>
                <c:pt idx="3">
                  <c:v>90</c:v>
                </c:pt>
                <c:pt idx="4">
                  <c:v>90</c:v>
                </c:pt>
                <c:pt idx="5">
                  <c:v>90</c:v>
                </c:pt>
                <c:pt idx="6">
                  <c:v>90</c:v>
                </c:pt>
                <c:pt idx="7">
                  <c:v>90</c:v>
                </c:pt>
              </c:numCache>
            </c:numRef>
          </c:val>
          <c:extLst>
            <c:ext xmlns:c16="http://schemas.microsoft.com/office/drawing/2014/chart" uri="{C3380CC4-5D6E-409C-BE32-E72D297353CC}">
              <c16:uniqueId val="{00000002-99EC-0744-8F08-DD711E369BF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title>
          <c:tx>
            <c:rich>
              <a:bodyPr/>
              <a:lstStyle/>
              <a:p>
                <a:r>
                  <a:rPr lang="es-CO" sz="1200"/>
                  <a:t>Turnos</a:t>
                </a:r>
                <a:endParaRPr lang="es-CO"/>
              </a:p>
            </c:rich>
          </c:tx>
          <c:layout>
            <c:manualLayout>
              <c:xMode val="edge"/>
              <c:yMode val="edge"/>
              <c:x val="1.7421602787456446E-3"/>
              <c:y val="0.36772029776141463"/>
            </c:manualLayout>
          </c:layout>
          <c:overlay val="1"/>
        </c:title>
        <c:numFmt formatCode="0.00" sourceLinked="1"/>
        <c:majorTickMark val="none"/>
        <c:minorTickMark val="none"/>
        <c:tickLblPos val="nextTo"/>
        <c:crossAx val="10"/>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10"/>
  <c:chart>
    <c:title>
      <c:tx>
        <c:rich>
          <a:bodyPr/>
          <a:lstStyle/>
          <a:p>
            <a:r>
              <a:rPr lang="es-CO" sz="1100"/>
              <a:t>Minutos perdidos en cambios de referencia según la regla usada</a:t>
            </a:r>
          </a:p>
        </c:rich>
      </c:tx>
      <c:overlay val="1"/>
    </c:title>
    <c:autoTitleDeleted val="0"/>
    <c:plotArea>
      <c:layout/>
      <c:barChart>
        <c:barDir val="bar"/>
        <c:grouping val="clustered"/>
        <c:varyColors val="1"/>
        <c:ser>
          <c:idx val="0"/>
          <c:order val="0"/>
          <c:tx>
            <c:strRef>
              <c:f>'12_Comparativa'!$L$5</c:f>
              <c:strCache>
                <c:ptCount val="1"/>
                <c:pt idx="0">
                  <c:v>Minutos
de cambio</c:v>
                </c:pt>
              </c:strCache>
            </c:strRef>
          </c:tx>
          <c:spPr>
            <a:ln>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'12_Comparativa'!$K$6:$K$10</c:f>
              <c:strCache>
                <c:ptCount val="5"/>
                <c:pt idx="0">
                  <c:v>Secuencia validada del caso base</c:v>
                </c:pt>
                <c:pt idx="1">
                  <c:v>Heurística del vecino más cercano (arranca en el mismo producto que «código ascendente»)</c:v>
                </c:pt>
                <c:pt idx="2">
                  <c:v>Por demanda descendente</c:v>
                </c:pt>
                <c:pt idx="3">
                  <c:v>Por código ascendente</c:v>
                </c:pt>
                <c:pt idx="4">
                  <c:v>Cota superior simple (no necesariamente alcanzable)</c:v>
                </c:pt>
              </c:strCache>
            </c:strRef>
          </c:cat>
          <c:val>
            <c:numRef>
              <c:f>'12_Comparativa'!$L$6:$L$10</c:f>
              <c:numCache>
                <c:formatCode>#,##0</c:formatCode>
                <c:ptCount val="5"/>
                <c:pt idx="0">
                  <c:v>840</c:v>
                </c:pt>
                <c:pt idx="1">
                  <c:v>900</c:v>
                </c:pt>
                <c:pt idx="2">
                  <c:v>1380</c:v>
                </c:pt>
                <c:pt idx="3">
                  <c:v>1620</c:v>
                </c:pt>
                <c:pt idx="4">
                  <c:v>2880</c:v>
                </c:pt>
              </c:numCache>
            </c:numRef>
          </c:val>
          <c:extLst>
            <c:ext xmlns:c16="http://schemas.microsoft.com/office/drawing/2014/chart" uri="{C3380CC4-5D6E-409C-BE32-E72D297353CC}">
              <c16:uniqueId val="{00000000-C2C5-F24D-B0AF-52BB9F3E490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0" sourceLinked="1"/>
        <c:majorTickMark val="none"/>
        <c:minorTickMark val="none"/>
        <c:tickLblPos val="nextTo"/>
        <c:crossAx val="10"/>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2</xdr:col>
      <xdr:colOff>63500</xdr:colOff>
      <xdr:row>20</xdr:row>
      <xdr:rowOff>127000</xdr:rowOff>
    </xdr:from>
    <xdr:ext cx="7289800" cy="3721100"/>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10</xdr:col>
      <xdr:colOff>12700</xdr:colOff>
      <xdr:row>11</xdr:row>
      <xdr:rowOff>0</xdr:rowOff>
    </xdr:from>
    <xdr:ext cx="6400800" cy="2857500"/>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E33"/>
  <sheetViews>
    <sheetView showGridLines="0" topLeftCell="A7" workbookViewId="0">
      <selection activeCell="C11" sqref="C11:E11"/>
    </sheetView>
  </sheetViews>
  <sheetFormatPr baseColWidth="10" defaultColWidth="8.83203125" defaultRowHeight="15" x14ac:dyDescent="0.2"/>
  <cols>
    <col min="1" max="1" width="4" customWidth="1"/>
    <col min="2" max="2" width="30" customWidth="1"/>
    <col min="3" max="3" width="62" customWidth="1"/>
    <col min="4" max="4" width="30" customWidth="1"/>
    <col min="5" max="5" width="18" customWidth="1"/>
  </cols>
  <sheetData>
    <row r="1" spans="1:5" ht="26" customHeight="1" x14ac:dyDescent="0.3">
      <c r="A1" s="1" t="s">
        <v>0</v>
      </c>
    </row>
    <row r="2" spans="1:5" x14ac:dyDescent="0.2">
      <c r="A2" s="89" t="s">
        <v>1</v>
      </c>
    </row>
    <row r="4" spans="1:5" ht="20" customHeight="1" x14ac:dyDescent="0.2">
      <c r="B4" s="3" t="s">
        <v>2</v>
      </c>
      <c r="C4" s="4"/>
      <c r="D4" s="4"/>
      <c r="E4" s="4"/>
    </row>
    <row r="5" spans="1:5" ht="42" customHeight="1" x14ac:dyDescent="0.2">
      <c r="B5" s="5" t="s">
        <v>3</v>
      </c>
      <c r="C5" s="112" t="s">
        <v>395</v>
      </c>
      <c r="D5" s="113"/>
      <c r="E5" s="113"/>
    </row>
    <row r="6" spans="1:5" ht="28" customHeight="1" x14ac:dyDescent="0.2">
      <c r="B6" s="5" t="s">
        <v>4</v>
      </c>
      <c r="C6" s="112" t="s">
        <v>5</v>
      </c>
      <c r="D6" s="113"/>
      <c r="E6" s="113"/>
    </row>
    <row r="7" spans="1:5" ht="42" customHeight="1" x14ac:dyDescent="0.2">
      <c r="B7" s="5" t="s">
        <v>6</v>
      </c>
      <c r="C7" s="112" t="s">
        <v>7</v>
      </c>
      <c r="D7" s="113"/>
      <c r="E7" s="113"/>
    </row>
    <row r="9" spans="1:5" ht="20" customHeight="1" x14ac:dyDescent="0.2">
      <c r="B9" s="3" t="s">
        <v>8</v>
      </c>
      <c r="C9" s="4"/>
      <c r="D9" s="4"/>
      <c r="E9" s="4"/>
    </row>
    <row r="10" spans="1:5" ht="14" customHeight="1" x14ac:dyDescent="0.2">
      <c r="B10" s="5" t="s">
        <v>9</v>
      </c>
      <c r="C10" s="112" t="s">
        <v>396</v>
      </c>
      <c r="D10" s="113"/>
      <c r="E10" s="113"/>
    </row>
    <row r="11" spans="1:5" ht="14" customHeight="1" x14ac:dyDescent="0.2">
      <c r="B11" s="5" t="s">
        <v>10</v>
      </c>
      <c r="C11" s="112" t="s">
        <v>11</v>
      </c>
      <c r="D11" s="113"/>
      <c r="E11" s="113"/>
    </row>
    <row r="12" spans="1:5" ht="14" customHeight="1" x14ac:dyDescent="0.2">
      <c r="B12" s="5" t="s">
        <v>397</v>
      </c>
      <c r="C12" s="112" t="s">
        <v>398</v>
      </c>
      <c r="D12" s="113"/>
      <c r="E12" s="113"/>
    </row>
    <row r="13" spans="1:5" ht="28" customHeight="1" x14ac:dyDescent="0.2">
      <c r="B13" s="5" t="s">
        <v>12</v>
      </c>
      <c r="C13" s="112" t="s">
        <v>399</v>
      </c>
      <c r="D13" s="113"/>
      <c r="E13" s="113"/>
    </row>
    <row r="15" spans="1:5" ht="20" customHeight="1" x14ac:dyDescent="0.2">
      <c r="B15" s="3" t="s">
        <v>13</v>
      </c>
      <c r="C15" s="4"/>
      <c r="D15" s="4"/>
      <c r="E15" s="4"/>
    </row>
    <row r="16" spans="1:5" ht="60" customHeight="1" x14ac:dyDescent="0.2">
      <c r="B16" s="5" t="s">
        <v>14</v>
      </c>
      <c r="C16" s="112" t="s">
        <v>400</v>
      </c>
      <c r="D16" s="113"/>
      <c r="E16" s="113"/>
    </row>
    <row r="17" spans="2:5" ht="14" customHeight="1" x14ac:dyDescent="0.2">
      <c r="B17" s="5" t="s">
        <v>15</v>
      </c>
      <c r="C17" s="112" t="s">
        <v>16</v>
      </c>
      <c r="D17" s="113"/>
      <c r="E17" s="113"/>
    </row>
    <row r="18" spans="2:5" ht="14" customHeight="1" x14ac:dyDescent="0.2">
      <c r="B18" s="5" t="s">
        <v>17</v>
      </c>
      <c r="C18" s="112" t="s">
        <v>401</v>
      </c>
      <c r="D18" s="113"/>
      <c r="E18" s="113"/>
    </row>
    <row r="20" spans="2:5" ht="16" x14ac:dyDescent="0.2">
      <c r="B20" s="3" t="s">
        <v>18</v>
      </c>
      <c r="C20" s="4"/>
      <c r="D20" s="4"/>
      <c r="E20" s="4"/>
    </row>
    <row r="21" spans="2:5" x14ac:dyDescent="0.2">
      <c r="B21" s="6" t="s">
        <v>19</v>
      </c>
      <c r="C21" s="90" t="s">
        <v>402</v>
      </c>
    </row>
    <row r="22" spans="2:5" x14ac:dyDescent="0.2">
      <c r="B22" s="6" t="s">
        <v>20</v>
      </c>
      <c r="C22" s="7" t="s">
        <v>21</v>
      </c>
    </row>
    <row r="23" spans="2:5" x14ac:dyDescent="0.2">
      <c r="B23" s="6" t="s">
        <v>22</v>
      </c>
      <c r="C23" s="7" t="s">
        <v>23</v>
      </c>
    </row>
    <row r="24" spans="2:5" x14ac:dyDescent="0.2">
      <c r="B24" s="6" t="s">
        <v>24</v>
      </c>
      <c r="C24" s="90" t="s">
        <v>403</v>
      </c>
    </row>
    <row r="25" spans="2:5" x14ac:dyDescent="0.2">
      <c r="B25" s="6" t="s">
        <v>25</v>
      </c>
      <c r="C25" s="7" t="s">
        <v>26</v>
      </c>
    </row>
    <row r="26" spans="2:5" x14ac:dyDescent="0.2">
      <c r="B26" s="6" t="s">
        <v>27</v>
      </c>
      <c r="C26" s="7" t="s">
        <v>28</v>
      </c>
    </row>
    <row r="27" spans="2:5" x14ac:dyDescent="0.2">
      <c r="B27" s="6" t="s">
        <v>29</v>
      </c>
      <c r="C27" s="7" t="s">
        <v>30</v>
      </c>
    </row>
    <row r="28" spans="2:5" x14ac:dyDescent="0.2">
      <c r="B28" s="6" t="s">
        <v>31</v>
      </c>
      <c r="C28" s="7" t="s">
        <v>32</v>
      </c>
    </row>
    <row r="29" spans="2:5" x14ac:dyDescent="0.2">
      <c r="B29" s="6" t="s">
        <v>33</v>
      </c>
      <c r="C29" s="7" t="s">
        <v>34</v>
      </c>
    </row>
    <row r="30" spans="2:5" x14ac:dyDescent="0.2">
      <c r="B30" s="6" t="s">
        <v>35</v>
      </c>
      <c r="C30" s="7" t="s">
        <v>36</v>
      </c>
    </row>
    <row r="31" spans="2:5" x14ac:dyDescent="0.2">
      <c r="B31" s="6" t="s">
        <v>37</v>
      </c>
      <c r="C31" s="7" t="s">
        <v>38</v>
      </c>
    </row>
    <row r="32" spans="2:5" x14ac:dyDescent="0.2">
      <c r="B32" s="6" t="s">
        <v>39</v>
      </c>
      <c r="C32" s="7" t="s">
        <v>40</v>
      </c>
    </row>
    <row r="33" spans="2:3" x14ac:dyDescent="0.2">
      <c r="B33" s="6" t="s">
        <v>41</v>
      </c>
      <c r="C33" s="7" t="s">
        <v>42</v>
      </c>
    </row>
  </sheetData>
  <mergeCells count="10">
    <mergeCell ref="C16:E16"/>
    <mergeCell ref="C11:E11"/>
    <mergeCell ref="C5:E5"/>
    <mergeCell ref="C13:E13"/>
    <mergeCell ref="C18:E18"/>
    <mergeCell ref="C17:E17"/>
    <mergeCell ref="C7:E7"/>
    <mergeCell ref="C12:E12"/>
    <mergeCell ref="C6:E6"/>
    <mergeCell ref="C10:E10"/>
  </mergeCells>
  <hyperlinks>
    <hyperlink ref="B21" location="'01_Supuestos'!A1" display="01_Supuestos" xr:uid="{00000000-0004-0000-0000-000000000000}"/>
    <hyperlink ref="B22" location="'02_Datos_Maestros'!A1" display="02_Datos_Maestros" xr:uid="{00000000-0004-0000-0000-000001000000}"/>
    <hyperlink ref="B23" location="'03_Demanda_ABC'!A1" display="03_Demanda_ABC" xr:uid="{00000000-0004-0000-0000-000002000000}"/>
    <hyperlink ref="B24" location="'04_Matriz_Cambios'!A1" display="04_Matriz_Cambios" xr:uid="{00000000-0004-0000-0000-000003000000}"/>
    <hyperlink ref="B25" location="'05_Modelo_Solver'!A1" display="05_Modelo_Solver" xr:uid="{00000000-0004-0000-0000-000004000000}"/>
    <hyperlink ref="B26" location="'06_Secuencia_Optima'!A1" display="06_Secuencia_Optima" xr:uid="{00000000-0004-0000-0000-000005000000}"/>
    <hyperlink ref="B27" location="'07_Calendario'!A1" display="07_Calendario" xr:uid="{00000000-0004-0000-0000-000006000000}"/>
    <hyperlink ref="B28" location="'08_PLAN_MAESTRO'!A1" display="08_PLAN_MAESTRO" xr:uid="{00000000-0004-0000-0000-000007000000}"/>
    <hyperlink ref="B29" location="'09_Detalle_Turnos'!A1" display="09_Detalle_Turnos" xr:uid="{00000000-0004-0000-0000-000008000000}"/>
    <hyperlink ref="B30" location="'10_KPIs'!A1" display="10_KPIs" xr:uid="{00000000-0004-0000-0000-000009000000}"/>
    <hyperlink ref="B31" location="'11_Sensibilidad'!A1" display="11_Sensibilidad" xr:uid="{00000000-0004-0000-0000-00000A000000}"/>
    <hyperlink ref="B32" location="'12_Comparativa'!A1" display="12_Comparativa" xr:uid="{00000000-0004-0000-0000-00000B000000}"/>
    <hyperlink ref="B33" location="'13_Info_Adicional'!A1" display="13_Info_Adicional"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9DB"/>
  </sheetPr>
  <dimension ref="A1:F15"/>
  <sheetViews>
    <sheetView showGridLines="0" topLeftCell="A3" workbookViewId="0"/>
  </sheetViews>
  <sheetFormatPr baseColWidth="10" defaultColWidth="8.83203125" defaultRowHeight="15" x14ac:dyDescent="0.2"/>
  <cols>
    <col min="1" max="1" width="4" customWidth="1"/>
    <col min="2" max="2" width="34.1640625" customWidth="1"/>
    <col min="3" max="5" width="42" customWidth="1"/>
    <col min="6" max="6" width="26" customWidth="1"/>
  </cols>
  <sheetData>
    <row r="1" spans="1:6" ht="26" customHeight="1" x14ac:dyDescent="0.3">
      <c r="A1" s="1" t="s">
        <v>43</v>
      </c>
    </row>
    <row r="2" spans="1:6" x14ac:dyDescent="0.2">
      <c r="A2" s="2" t="s">
        <v>44</v>
      </c>
    </row>
    <row r="4" spans="1:6" ht="20" customHeight="1" x14ac:dyDescent="0.2">
      <c r="B4" s="92" t="s">
        <v>45</v>
      </c>
      <c r="C4" s="4"/>
      <c r="D4" s="4"/>
      <c r="E4" s="4"/>
      <c r="F4" s="4"/>
    </row>
    <row r="5" spans="1:6" ht="44" customHeight="1" x14ac:dyDescent="0.2">
      <c r="B5" s="116" t="s">
        <v>46</v>
      </c>
      <c r="C5" s="113"/>
      <c r="D5" s="113"/>
      <c r="E5" s="113"/>
      <c r="F5" s="113"/>
    </row>
    <row r="6" spans="1:6" x14ac:dyDescent="0.2">
      <c r="B6" s="113"/>
      <c r="C6" s="113"/>
      <c r="D6" s="113"/>
      <c r="E6" s="113"/>
      <c r="F6" s="113"/>
    </row>
    <row r="7" spans="1:6" x14ac:dyDescent="0.2">
      <c r="B7" s="113"/>
      <c r="C7" s="113"/>
      <c r="D7" s="113"/>
      <c r="E7" s="113"/>
      <c r="F7" s="113"/>
    </row>
    <row r="8" spans="1:6" ht="30" customHeight="1" x14ac:dyDescent="0.2">
      <c r="B8" s="91" t="s">
        <v>47</v>
      </c>
      <c r="C8" s="114" t="s">
        <v>48</v>
      </c>
      <c r="D8" s="115"/>
      <c r="E8" s="115"/>
      <c r="F8" s="115"/>
    </row>
    <row r="9" spans="1:6" ht="30" customHeight="1" x14ac:dyDescent="0.2">
      <c r="B9" s="91" t="s">
        <v>49</v>
      </c>
      <c r="C9" s="114" t="s">
        <v>50</v>
      </c>
      <c r="D9" s="115"/>
      <c r="E9" s="115"/>
      <c r="F9" s="115"/>
    </row>
    <row r="11" spans="1:6" ht="30" customHeight="1" x14ac:dyDescent="0.2">
      <c r="A11" s="9" t="s">
        <v>51</v>
      </c>
      <c r="B11" s="9" t="s">
        <v>52</v>
      </c>
      <c r="C11" s="9" t="s">
        <v>53</v>
      </c>
      <c r="D11" s="9" t="s">
        <v>54</v>
      </c>
      <c r="E11" s="9" t="s">
        <v>55</v>
      </c>
      <c r="F11" s="9" t="s">
        <v>56</v>
      </c>
    </row>
    <row r="12" spans="1:6" ht="92" customHeight="1" x14ac:dyDescent="0.2">
      <c r="A12" s="10">
        <v>1</v>
      </c>
      <c r="B12" s="11" t="s">
        <v>404</v>
      </c>
      <c r="C12" s="12" t="s">
        <v>405</v>
      </c>
      <c r="D12" s="12" t="s">
        <v>406</v>
      </c>
      <c r="E12" s="12" t="s">
        <v>407</v>
      </c>
      <c r="F12" s="12" t="s">
        <v>408</v>
      </c>
    </row>
    <row r="13" spans="1:6" ht="92" customHeight="1" x14ac:dyDescent="0.2">
      <c r="A13" s="10">
        <v>2</v>
      </c>
      <c r="B13" s="11" t="s">
        <v>57</v>
      </c>
      <c r="C13" s="12" t="s">
        <v>58</v>
      </c>
      <c r="D13" s="12" t="s">
        <v>59</v>
      </c>
      <c r="E13" s="12" t="s">
        <v>409</v>
      </c>
      <c r="F13" s="12" t="s">
        <v>60</v>
      </c>
    </row>
    <row r="14" spans="1:6" ht="92" customHeight="1" x14ac:dyDescent="0.2">
      <c r="A14" s="10">
        <v>3</v>
      </c>
      <c r="B14" s="11" t="s">
        <v>61</v>
      </c>
      <c r="C14" s="12" t="s">
        <v>62</v>
      </c>
      <c r="D14" s="12" t="s">
        <v>63</v>
      </c>
      <c r="E14" s="12" t="s">
        <v>410</v>
      </c>
      <c r="F14" s="12" t="s">
        <v>64</v>
      </c>
    </row>
    <row r="15" spans="1:6" ht="92" customHeight="1" x14ac:dyDescent="0.2">
      <c r="A15" s="10">
        <v>4</v>
      </c>
      <c r="B15" s="11" t="s">
        <v>65</v>
      </c>
      <c r="C15" s="12" t="s">
        <v>411</v>
      </c>
      <c r="D15" s="12" t="s">
        <v>66</v>
      </c>
      <c r="E15" s="12" t="s">
        <v>412</v>
      </c>
      <c r="F15" s="12" t="s">
        <v>67</v>
      </c>
    </row>
  </sheetData>
  <mergeCells count="3">
    <mergeCell ref="C8:F8"/>
    <mergeCell ref="C9:F9"/>
    <mergeCell ref="B5: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9DB"/>
  </sheetPr>
  <dimension ref="A1:I23"/>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5" x14ac:dyDescent="0.2"/>
  <cols>
    <col min="1" max="1" width="10" customWidth="1"/>
    <col min="2" max="2" width="40" customWidth="1"/>
    <col min="3" max="3" width="13" customWidth="1"/>
    <col min="4" max="4" width="14" customWidth="1"/>
    <col min="5" max="5" width="12" customWidth="1"/>
    <col min="6" max="7" width="14" customWidth="1"/>
    <col min="8" max="8" width="16" customWidth="1"/>
    <col min="9" max="9" width="18" customWidth="1"/>
  </cols>
  <sheetData>
    <row r="1" spans="1:9" ht="26" customHeight="1" x14ac:dyDescent="0.3">
      <c r="A1" s="1" t="s">
        <v>68</v>
      </c>
    </row>
    <row r="2" spans="1:9" x14ac:dyDescent="0.2">
      <c r="A2" s="2" t="s">
        <v>69</v>
      </c>
    </row>
    <row r="4" spans="1:9" ht="30" customHeight="1" x14ac:dyDescent="0.2">
      <c r="A4" s="9" t="s">
        <v>70</v>
      </c>
      <c r="B4" s="9" t="s">
        <v>71</v>
      </c>
      <c r="C4" s="9" t="s">
        <v>72</v>
      </c>
      <c r="D4" s="9" t="s">
        <v>73</v>
      </c>
      <c r="E4" s="9" t="s">
        <v>74</v>
      </c>
      <c r="F4" s="9" t="s">
        <v>75</v>
      </c>
      <c r="G4" s="9" t="s">
        <v>76</v>
      </c>
      <c r="H4" s="9" t="s">
        <v>77</v>
      </c>
      <c r="I4" s="9" t="s">
        <v>78</v>
      </c>
    </row>
    <row r="5" spans="1:9" x14ac:dyDescent="0.2">
      <c r="A5" s="10">
        <v>3278</v>
      </c>
      <c r="B5" s="13" t="s">
        <v>79</v>
      </c>
      <c r="C5" s="14" t="s">
        <v>80</v>
      </c>
      <c r="D5" s="14" t="s">
        <v>81</v>
      </c>
      <c r="E5" s="14">
        <v>400</v>
      </c>
      <c r="F5" s="10">
        <v>2460</v>
      </c>
      <c r="G5" s="15">
        <f t="shared" ref="G5:G21" si="0">480/F5</f>
        <v>0.1951219512195122</v>
      </c>
      <c r="H5" s="16">
        <f t="shared" ref="H5:H21" si="1">F5/8</f>
        <v>307.5</v>
      </c>
      <c r="I5" s="14">
        <f>_xlfn.MINIFS('04_Matriz_Cambios'!$B$5:$R$5,'04_Matriz_Cambios'!$B$17:$R$17,0)</f>
        <v>3278</v>
      </c>
    </row>
    <row r="6" spans="1:9" x14ac:dyDescent="0.2">
      <c r="A6" s="10">
        <v>3533</v>
      </c>
      <c r="B6" s="13" t="s">
        <v>82</v>
      </c>
      <c r="C6" s="14" t="s">
        <v>80</v>
      </c>
      <c r="D6" s="14" t="s">
        <v>81</v>
      </c>
      <c r="E6" s="14">
        <v>230</v>
      </c>
      <c r="F6" s="10">
        <v>1123</v>
      </c>
      <c r="G6" s="15">
        <f t="shared" si="0"/>
        <v>0.42742653606411396</v>
      </c>
      <c r="H6" s="16">
        <f t="shared" si="1"/>
        <v>140.375</v>
      </c>
      <c r="I6" s="14">
        <f>_xlfn.MINIFS('04_Matriz_Cambios'!$B$5:$R$5,'04_Matriz_Cambios'!$B$22:$R$22,0)</f>
        <v>3533</v>
      </c>
    </row>
    <row r="7" spans="1:9" x14ac:dyDescent="0.2">
      <c r="A7" s="10">
        <v>3643</v>
      </c>
      <c r="B7" s="13" t="s">
        <v>83</v>
      </c>
      <c r="C7" s="14" t="s">
        <v>80</v>
      </c>
      <c r="D7" s="14" t="s">
        <v>81</v>
      </c>
      <c r="E7" s="14">
        <v>400</v>
      </c>
      <c r="F7" s="10">
        <v>2460</v>
      </c>
      <c r="G7" s="15">
        <f t="shared" si="0"/>
        <v>0.1951219512195122</v>
      </c>
      <c r="H7" s="16">
        <f t="shared" si="1"/>
        <v>307.5</v>
      </c>
      <c r="I7" s="14">
        <f>_xlfn.MINIFS('04_Matriz_Cambios'!$B$5:$R$5,'04_Matriz_Cambios'!$B$21:$R$21,0)</f>
        <v>3643</v>
      </c>
    </row>
    <row r="8" spans="1:9" x14ac:dyDescent="0.2">
      <c r="A8" s="10">
        <v>3749</v>
      </c>
      <c r="B8" s="13" t="s">
        <v>84</v>
      </c>
      <c r="C8" s="14" t="s">
        <v>80</v>
      </c>
      <c r="D8" s="14" t="s">
        <v>81</v>
      </c>
      <c r="E8" s="14">
        <v>1000</v>
      </c>
      <c r="F8" s="10">
        <v>1352</v>
      </c>
      <c r="G8" s="15">
        <f t="shared" si="0"/>
        <v>0.35502958579881655</v>
      </c>
      <c r="H8" s="16">
        <f t="shared" si="1"/>
        <v>169</v>
      </c>
      <c r="I8" s="14">
        <f>_xlfn.MINIFS('04_Matriz_Cambios'!$B$5:$R$5,'04_Matriz_Cambios'!$B$16:$R$16,0)</f>
        <v>3278</v>
      </c>
    </row>
    <row r="9" spans="1:9" x14ac:dyDescent="0.2">
      <c r="A9" s="10">
        <v>3757</v>
      </c>
      <c r="B9" s="13" t="s">
        <v>85</v>
      </c>
      <c r="C9" s="14" t="s">
        <v>80</v>
      </c>
      <c r="D9" s="14" t="s">
        <v>81</v>
      </c>
      <c r="E9" s="14">
        <v>400</v>
      </c>
      <c r="F9" s="10">
        <v>2444</v>
      </c>
      <c r="G9" s="15">
        <f t="shared" si="0"/>
        <v>0.19639934533551553</v>
      </c>
      <c r="H9" s="16">
        <f t="shared" si="1"/>
        <v>305.5</v>
      </c>
      <c r="I9" s="14">
        <f>_xlfn.MINIFS('04_Matriz_Cambios'!$B$5:$R$5,'04_Matriz_Cambios'!$B$6:$R$6,0)</f>
        <v>3757</v>
      </c>
    </row>
    <row r="10" spans="1:9" x14ac:dyDescent="0.2">
      <c r="A10" s="10">
        <v>3925</v>
      </c>
      <c r="B10" s="13" t="s">
        <v>86</v>
      </c>
      <c r="C10" s="14" t="s">
        <v>80</v>
      </c>
      <c r="D10" s="14" t="s">
        <v>81</v>
      </c>
      <c r="E10" s="14">
        <v>400</v>
      </c>
      <c r="F10" s="10">
        <v>2437</v>
      </c>
      <c r="G10" s="15">
        <f t="shared" si="0"/>
        <v>0.19696347968814115</v>
      </c>
      <c r="H10" s="16">
        <f t="shared" si="1"/>
        <v>304.625</v>
      </c>
      <c r="I10" s="14">
        <f>_xlfn.MINIFS('04_Matriz_Cambios'!$B$5:$R$5,'04_Matriz_Cambios'!$B$7:$R$7,0)</f>
        <v>3757</v>
      </c>
    </row>
    <row r="11" spans="1:9" x14ac:dyDescent="0.2">
      <c r="A11" s="10">
        <v>5998</v>
      </c>
      <c r="B11" s="13" t="s">
        <v>87</v>
      </c>
      <c r="C11" s="14" t="s">
        <v>80</v>
      </c>
      <c r="D11" s="14" t="s">
        <v>81</v>
      </c>
      <c r="E11" s="14">
        <v>500</v>
      </c>
      <c r="F11" s="10">
        <v>1476</v>
      </c>
      <c r="G11" s="15">
        <f t="shared" si="0"/>
        <v>0.32520325203252032</v>
      </c>
      <c r="H11" s="16">
        <f t="shared" si="1"/>
        <v>184.5</v>
      </c>
      <c r="I11" s="14">
        <f>_xlfn.MINIFS('04_Matriz_Cambios'!$B$5:$R$5,'04_Matriz_Cambios'!$B$15:$R$15,0)</f>
        <v>5998</v>
      </c>
    </row>
    <row r="12" spans="1:9" x14ac:dyDescent="0.2">
      <c r="A12" s="10">
        <v>6616</v>
      </c>
      <c r="B12" s="13" t="s">
        <v>88</v>
      </c>
      <c r="C12" s="14" t="s">
        <v>80</v>
      </c>
      <c r="D12" s="14" t="s">
        <v>81</v>
      </c>
      <c r="E12" s="14">
        <v>400</v>
      </c>
      <c r="F12" s="10">
        <v>2444</v>
      </c>
      <c r="G12" s="15">
        <f t="shared" si="0"/>
        <v>0.19639934533551553</v>
      </c>
      <c r="H12" s="16">
        <f t="shared" si="1"/>
        <v>305.5</v>
      </c>
      <c r="I12" s="14">
        <f>_xlfn.MINIFS('04_Matriz_Cambios'!$B$5:$R$5,'04_Matriz_Cambios'!$B$8:$R$8,0)</f>
        <v>3757</v>
      </c>
    </row>
    <row r="13" spans="1:9" x14ac:dyDescent="0.2">
      <c r="A13" s="10">
        <v>6639</v>
      </c>
      <c r="B13" s="13" t="s">
        <v>89</v>
      </c>
      <c r="C13" s="14" t="s">
        <v>80</v>
      </c>
      <c r="D13" s="14" t="s">
        <v>81</v>
      </c>
      <c r="E13" s="14">
        <v>400</v>
      </c>
      <c r="F13" s="10">
        <v>2493</v>
      </c>
      <c r="G13" s="15">
        <f t="shared" si="0"/>
        <v>0.19253910950661854</v>
      </c>
      <c r="H13" s="16">
        <f t="shared" si="1"/>
        <v>311.625</v>
      </c>
      <c r="I13" s="14">
        <f>_xlfn.MINIFS('04_Matriz_Cambios'!$B$5:$R$5,'04_Matriz_Cambios'!$B$9:$R$9,0)</f>
        <v>6639</v>
      </c>
    </row>
    <row r="14" spans="1:9" x14ac:dyDescent="0.2">
      <c r="A14" s="10">
        <v>6743</v>
      </c>
      <c r="B14" s="13" t="s">
        <v>90</v>
      </c>
      <c r="C14" s="14" t="s">
        <v>80</v>
      </c>
      <c r="D14" s="14" t="s">
        <v>81</v>
      </c>
      <c r="E14" s="14">
        <v>400</v>
      </c>
      <c r="F14" s="10">
        <v>1502</v>
      </c>
      <c r="G14" s="15">
        <f t="shared" si="0"/>
        <v>0.31957390146471371</v>
      </c>
      <c r="H14" s="16">
        <f t="shared" si="1"/>
        <v>187.75</v>
      </c>
      <c r="I14" s="14">
        <f>_xlfn.MINIFS('04_Matriz_Cambios'!$B$5:$R$5,'04_Matriz_Cambios'!$B$12:$R$12,0)</f>
        <v>6743</v>
      </c>
    </row>
    <row r="15" spans="1:9" x14ac:dyDescent="0.2">
      <c r="A15" s="10">
        <v>7590</v>
      </c>
      <c r="B15" s="13" t="s">
        <v>91</v>
      </c>
      <c r="C15" s="14" t="s">
        <v>80</v>
      </c>
      <c r="D15" s="14" t="s">
        <v>81</v>
      </c>
      <c r="E15" s="14">
        <v>600</v>
      </c>
      <c r="F15" s="10">
        <v>2001</v>
      </c>
      <c r="G15" s="15">
        <f t="shared" si="0"/>
        <v>0.23988005997001499</v>
      </c>
      <c r="H15" s="16">
        <f t="shared" si="1"/>
        <v>250.125</v>
      </c>
      <c r="I15" s="14">
        <f>_xlfn.MINIFS('04_Matriz_Cambios'!$B$5:$R$5,'04_Matriz_Cambios'!$B$18:$R$18,0)</f>
        <v>3278</v>
      </c>
    </row>
    <row r="16" spans="1:9" x14ac:dyDescent="0.2">
      <c r="A16" s="10">
        <v>15564</v>
      </c>
      <c r="B16" s="13" t="s">
        <v>92</v>
      </c>
      <c r="C16" s="14" t="s">
        <v>80</v>
      </c>
      <c r="D16" s="14" t="s">
        <v>81</v>
      </c>
      <c r="E16" s="14">
        <v>230</v>
      </c>
      <c r="F16" s="10">
        <v>1684</v>
      </c>
      <c r="G16" s="15">
        <f t="shared" si="0"/>
        <v>0.28503562945368172</v>
      </c>
      <c r="H16" s="16">
        <f t="shared" si="1"/>
        <v>210.5</v>
      </c>
      <c r="I16" s="14">
        <f>_xlfn.MINIFS('04_Matriz_Cambios'!$B$5:$R$5,'04_Matriz_Cambios'!$B$20:$R$20,0)</f>
        <v>15564</v>
      </c>
    </row>
    <row r="17" spans="1:9" x14ac:dyDescent="0.2">
      <c r="A17" s="10">
        <v>15795</v>
      </c>
      <c r="B17" s="13" t="s">
        <v>93</v>
      </c>
      <c r="C17" s="14" t="s">
        <v>80</v>
      </c>
      <c r="D17" s="14" t="s">
        <v>81</v>
      </c>
      <c r="E17" s="14">
        <v>400</v>
      </c>
      <c r="F17" s="10">
        <v>2001</v>
      </c>
      <c r="G17" s="15">
        <f t="shared" si="0"/>
        <v>0.23988005997001499</v>
      </c>
      <c r="H17" s="16">
        <f t="shared" si="1"/>
        <v>250.125</v>
      </c>
      <c r="I17" s="14">
        <f>_xlfn.MINIFS('04_Matriz_Cambios'!$B$5:$R$5,'04_Matriz_Cambios'!$B$19:$R$19,0)</f>
        <v>3278</v>
      </c>
    </row>
    <row r="18" spans="1:9" x14ac:dyDescent="0.2">
      <c r="A18" s="10">
        <v>15881</v>
      </c>
      <c r="B18" s="13" t="s">
        <v>94</v>
      </c>
      <c r="C18" s="14" t="s">
        <v>80</v>
      </c>
      <c r="D18" s="14" t="s">
        <v>81</v>
      </c>
      <c r="E18" s="14">
        <v>500</v>
      </c>
      <c r="F18" s="10">
        <v>1476</v>
      </c>
      <c r="G18" s="15">
        <f t="shared" si="0"/>
        <v>0.32520325203252032</v>
      </c>
      <c r="H18" s="16">
        <f t="shared" si="1"/>
        <v>184.5</v>
      </c>
      <c r="I18" s="14">
        <f>_xlfn.MINIFS('04_Matriz_Cambios'!$B$5:$R$5,'04_Matriz_Cambios'!$B$14:$R$14,0)</f>
        <v>5998</v>
      </c>
    </row>
    <row r="19" spans="1:9" x14ac:dyDescent="0.2">
      <c r="A19" s="10">
        <v>16787</v>
      </c>
      <c r="B19" s="13" t="s">
        <v>95</v>
      </c>
      <c r="C19" s="14" t="s">
        <v>80</v>
      </c>
      <c r="D19" s="14" t="s">
        <v>81</v>
      </c>
      <c r="E19" s="14">
        <v>1000</v>
      </c>
      <c r="F19" s="10">
        <v>1686</v>
      </c>
      <c r="G19" s="15">
        <f t="shared" si="0"/>
        <v>0.28469750889679718</v>
      </c>
      <c r="H19" s="16">
        <f t="shared" si="1"/>
        <v>210.75</v>
      </c>
      <c r="I19" s="14">
        <f>_xlfn.MINIFS('04_Matriz_Cambios'!$B$5:$R$5,'04_Matriz_Cambios'!$B$13:$R$13,0)</f>
        <v>5998</v>
      </c>
    </row>
    <row r="20" spans="1:9" x14ac:dyDescent="0.2">
      <c r="A20" s="10">
        <v>16816</v>
      </c>
      <c r="B20" s="13" t="s">
        <v>96</v>
      </c>
      <c r="C20" s="14" t="s">
        <v>80</v>
      </c>
      <c r="D20" s="14" t="s">
        <v>81</v>
      </c>
      <c r="E20" s="14">
        <v>400</v>
      </c>
      <c r="F20" s="10">
        <v>1200</v>
      </c>
      <c r="G20" s="15">
        <f t="shared" si="0"/>
        <v>0.4</v>
      </c>
      <c r="H20" s="16">
        <f t="shared" si="1"/>
        <v>150</v>
      </c>
      <c r="I20" s="14">
        <f>_xlfn.MINIFS('04_Matriz_Cambios'!$B$5:$R$5,'04_Matriz_Cambios'!$B$11:$R$11,0)</f>
        <v>3278</v>
      </c>
    </row>
    <row r="21" spans="1:9" x14ac:dyDescent="0.2">
      <c r="A21" s="10">
        <v>17246</v>
      </c>
      <c r="B21" s="13" t="s">
        <v>97</v>
      </c>
      <c r="C21" s="14" t="s">
        <v>80</v>
      </c>
      <c r="D21" s="14" t="s">
        <v>81</v>
      </c>
      <c r="E21" s="14">
        <v>500</v>
      </c>
      <c r="F21" s="10">
        <v>1144</v>
      </c>
      <c r="G21" s="15">
        <f t="shared" si="0"/>
        <v>0.41958041958041958</v>
      </c>
      <c r="H21" s="16">
        <f t="shared" si="1"/>
        <v>143</v>
      </c>
      <c r="I21" s="14">
        <f>_xlfn.MINIFS('04_Matriz_Cambios'!$B$5:$R$5,'04_Matriz_Cambios'!$B$10:$R$10,0)</f>
        <v>3278</v>
      </c>
    </row>
    <row r="23" spans="1:9" ht="30" customHeight="1" x14ac:dyDescent="0.2">
      <c r="A23" s="91" t="s">
        <v>98</v>
      </c>
      <c r="B23" s="117" t="s">
        <v>99</v>
      </c>
      <c r="C23" s="115"/>
      <c r="D23" s="115"/>
      <c r="E23" s="115"/>
      <c r="F23" s="115"/>
      <c r="G23" s="115"/>
      <c r="H23" s="115"/>
      <c r="I23" s="115"/>
    </row>
  </sheetData>
  <mergeCells count="1">
    <mergeCell ref="B23:I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sheetPr>
  <dimension ref="A1:I22"/>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5" x14ac:dyDescent="0.2"/>
  <cols>
    <col min="1" max="1" width="10" customWidth="1"/>
    <col min="2" max="2" width="40" customWidth="1"/>
    <col min="3" max="3" width="15" customWidth="1"/>
    <col min="4" max="6" width="14" customWidth="1"/>
    <col min="7" max="8" width="12" customWidth="1"/>
    <col min="9" max="9" width="10" customWidth="1"/>
  </cols>
  <sheetData>
    <row r="1" spans="1:9" ht="26" customHeight="1" x14ac:dyDescent="0.3">
      <c r="A1" s="1" t="s">
        <v>100</v>
      </c>
    </row>
    <row r="2" spans="1:9" x14ac:dyDescent="0.2">
      <c r="A2" s="2" t="s">
        <v>101</v>
      </c>
    </row>
    <row r="4" spans="1:9" ht="30" customHeight="1" x14ac:dyDescent="0.2">
      <c r="A4" s="9" t="s">
        <v>70</v>
      </c>
      <c r="B4" s="9" t="s">
        <v>71</v>
      </c>
      <c r="C4" s="9" t="s">
        <v>102</v>
      </c>
      <c r="D4" s="9" t="s">
        <v>75</v>
      </c>
      <c r="E4" s="9" t="s">
        <v>103</v>
      </c>
      <c r="F4" s="9" t="s">
        <v>104</v>
      </c>
      <c r="G4" s="9" t="s">
        <v>105</v>
      </c>
      <c r="H4" s="9" t="s">
        <v>106</v>
      </c>
      <c r="I4" s="9" t="s">
        <v>107</v>
      </c>
    </row>
    <row r="5" spans="1:9" x14ac:dyDescent="0.2">
      <c r="A5" s="10">
        <v>16816</v>
      </c>
      <c r="B5" s="13" t="str">
        <f>IFERROR(INDEX('02_Datos_Maestros'!$B$5:$B$21,MATCH($A5,'02_Datos_Maestros'!$A$5:$A$21,0)),"")</f>
        <v>SALSA DE MAYONESA ZEV (24DP/1/400G)</v>
      </c>
      <c r="C5" s="18">
        <v>19200</v>
      </c>
      <c r="D5" s="19">
        <f>INDEX('02_Datos_Maestros'!$F$5:$F$21,MATCH($A5,'02_Datos_Maestros'!$A$5:$A$21,0))</f>
        <v>1200</v>
      </c>
      <c r="E5" s="20">
        <f t="shared" ref="E5:E21" si="0">C5/D5</f>
        <v>16</v>
      </c>
      <c r="F5" s="19">
        <f t="shared" ref="F5:F21" si="1">E5*480</f>
        <v>7680</v>
      </c>
      <c r="G5" s="21">
        <f t="shared" ref="G5:G21" si="2">E5/SUM($E$5:$E$21)</f>
        <v>0.27606410560557626</v>
      </c>
      <c r="H5" s="21">
        <f>SUM($G$5:G5)</f>
        <v>0.27606410560557626</v>
      </c>
      <c r="I5" s="10" t="str">
        <f t="shared" ref="I5:I21" si="3">IF(H5&lt;=0.8,"A",IF(H5&lt;=0.95,"B","C"))</f>
        <v>A</v>
      </c>
    </row>
    <row r="6" spans="1:9" x14ac:dyDescent="0.2">
      <c r="A6" s="10">
        <v>5998</v>
      </c>
      <c r="B6" s="13" t="str">
        <f>IFERROR(INDEX('02_Datos_Maestros'!$B$5:$B$21,MATCH($A6,'02_Datos_Maestros'!$A$5:$A$21,0)),"")</f>
        <v>SALSA DE TOMATE ZEV (20DP/1/500g)</v>
      </c>
      <c r="C6" s="18">
        <v>20286</v>
      </c>
      <c r="D6" s="19">
        <f>INDEX('02_Datos_Maestros'!$F$5:$F$21,MATCH($A6,'02_Datos_Maestros'!$A$5:$A$21,0))</f>
        <v>1476</v>
      </c>
      <c r="E6" s="20">
        <f t="shared" si="0"/>
        <v>13.74390243902439</v>
      </c>
      <c r="F6" s="19">
        <f t="shared" si="1"/>
        <v>6597.0731707317073</v>
      </c>
      <c r="G6" s="21">
        <f t="shared" si="2"/>
        <v>0.23713738339747292</v>
      </c>
      <c r="H6" s="21">
        <f>SUM($G$5:G6)</f>
        <v>0.51320148900304918</v>
      </c>
      <c r="I6" s="10" t="str">
        <f t="shared" si="3"/>
        <v>A</v>
      </c>
    </row>
    <row r="7" spans="1:9" x14ac:dyDescent="0.2">
      <c r="A7" s="10">
        <v>17246</v>
      </c>
      <c r="B7" s="13" t="str">
        <f>IFERROR(INDEX('02_Datos_Maestros'!$B$5:$B$21,MATCH($A7,'02_Datos_Maestros'!$A$5:$A$21,0)),"")</f>
        <v>SALSA DE MAYONESA LINE (21DP/1/500G)</v>
      </c>
      <c r="C7" s="18">
        <v>7200</v>
      </c>
      <c r="D7" s="19">
        <f>INDEX('02_Datos_Maestros'!$F$5:$F$21,MATCH($A7,'02_Datos_Maestros'!$A$5:$A$21,0))</f>
        <v>1144</v>
      </c>
      <c r="E7" s="20">
        <f t="shared" si="0"/>
        <v>6.2937062937062933</v>
      </c>
      <c r="F7" s="19">
        <f t="shared" si="1"/>
        <v>3020.9790209790208</v>
      </c>
      <c r="G7" s="21">
        <f t="shared" si="2"/>
        <v>0.10859164993226339</v>
      </c>
      <c r="H7" s="21">
        <f>SUM($G$5:G7)</f>
        <v>0.62179313893531263</v>
      </c>
      <c r="I7" s="10" t="str">
        <f t="shared" si="3"/>
        <v>A</v>
      </c>
    </row>
    <row r="8" spans="1:9" x14ac:dyDescent="0.2">
      <c r="A8" s="10">
        <v>3533</v>
      </c>
      <c r="B8" s="13" t="str">
        <f>IFERROR(INDEX('02_Datos_Maestros'!$B$5:$B$21,MATCH($A8,'02_Datos_Maestros'!$A$5:$A$21,0)),"")</f>
        <v>VINAGRE BLANCO (24DP/1/230ml)</v>
      </c>
      <c r="C8" s="18">
        <v>3834</v>
      </c>
      <c r="D8" s="19">
        <f>INDEX('02_Datos_Maestros'!$F$5:$F$21,MATCH($A8,'02_Datos_Maestros'!$A$5:$A$21,0))</f>
        <v>1123</v>
      </c>
      <c r="E8" s="20">
        <f t="shared" si="0"/>
        <v>3.4140694568121104</v>
      </c>
      <c r="F8" s="19">
        <f t="shared" si="1"/>
        <v>1638.7533392698131</v>
      </c>
      <c r="G8" s="21">
        <f t="shared" si="2"/>
        <v>5.8906376941884428E-2</v>
      </c>
      <c r="H8" s="21">
        <f>SUM($G$5:G8)</f>
        <v>0.68069951587719701</v>
      </c>
      <c r="I8" s="10" t="str">
        <f t="shared" si="3"/>
        <v>A</v>
      </c>
    </row>
    <row r="9" spans="1:9" x14ac:dyDescent="0.2">
      <c r="A9" s="10">
        <v>3749</v>
      </c>
      <c r="B9" s="13" t="str">
        <f>IFERROR(INDEX('02_Datos_Maestros'!$B$5:$B$21,MATCH($A9,'02_Datos_Maestros'!$A$5:$A$21,0)),"")</f>
        <v>SALSA MAYONESA (12DP/1/1000g)</v>
      </c>
      <c r="C9" s="18">
        <v>4440</v>
      </c>
      <c r="D9" s="19">
        <f>INDEX('02_Datos_Maestros'!$F$5:$F$21,MATCH($A9,'02_Datos_Maestros'!$A$5:$A$21,0))</f>
        <v>1352</v>
      </c>
      <c r="E9" s="20">
        <f t="shared" si="0"/>
        <v>3.2840236686390534</v>
      </c>
      <c r="F9" s="19">
        <f t="shared" si="1"/>
        <v>1576.3313609467457</v>
      </c>
      <c r="G9" s="21">
        <f t="shared" si="2"/>
        <v>5.6662566054398983E-2</v>
      </c>
      <c r="H9" s="21">
        <f>SUM($G$5:G9)</f>
        <v>0.73736208193159603</v>
      </c>
      <c r="I9" s="10" t="str">
        <f t="shared" si="3"/>
        <v>A</v>
      </c>
    </row>
    <row r="10" spans="1:9" x14ac:dyDescent="0.2">
      <c r="A10" s="10">
        <v>3278</v>
      </c>
      <c r="B10" s="13" t="str">
        <f>IFERROR(INDEX('02_Datos_Maestros'!$B$5:$B$21,MATCH($A10,'02_Datos_Maestros'!$A$5:$A$21,0)),"")</f>
        <v>SALSA MAYONESA (12DP/1/380g)</v>
      </c>
      <c r="C10" s="18">
        <v>6206</v>
      </c>
      <c r="D10" s="19">
        <f>INDEX('02_Datos_Maestros'!$F$5:$F$21,MATCH($A10,'02_Datos_Maestros'!$A$5:$A$21,0))</f>
        <v>2460</v>
      </c>
      <c r="E10" s="20">
        <f t="shared" si="0"/>
        <v>2.5227642276422766</v>
      </c>
      <c r="F10" s="19">
        <f t="shared" si="1"/>
        <v>1210.9268292682927</v>
      </c>
      <c r="G10" s="21">
        <f t="shared" si="2"/>
        <v>4.3527790634862971E-2</v>
      </c>
      <c r="H10" s="21">
        <f>SUM($G$5:G10)</f>
        <v>0.78088987256645903</v>
      </c>
      <c r="I10" s="10" t="str">
        <f t="shared" si="3"/>
        <v>A</v>
      </c>
    </row>
    <row r="11" spans="1:9" x14ac:dyDescent="0.2">
      <c r="A11" s="10">
        <v>15881</v>
      </c>
      <c r="B11" s="13" t="str">
        <f>IFERROR(INDEX('02_Datos_Maestros'!$B$5:$B$21,MATCH($A11,'02_Datos_Maestros'!$A$5:$A$21,0)),"")</f>
        <v>SALSA DE TOMATE SAVORIA (12DP/1/500g)</v>
      </c>
      <c r="C11" s="18">
        <v>3540</v>
      </c>
      <c r="D11" s="19">
        <f>INDEX('02_Datos_Maestros'!$F$5:$F$21,MATCH($A11,'02_Datos_Maestros'!$A$5:$A$21,0))</f>
        <v>1476</v>
      </c>
      <c r="E11" s="20">
        <f t="shared" si="0"/>
        <v>2.3983739837398375</v>
      </c>
      <c r="F11" s="19">
        <f t="shared" si="1"/>
        <v>1151.219512195122</v>
      </c>
      <c r="G11" s="21">
        <f t="shared" si="2"/>
        <v>4.1381560545551324E-2</v>
      </c>
      <c r="H11" s="21">
        <f>SUM($G$5:G11)</f>
        <v>0.82227143311201034</v>
      </c>
      <c r="I11" s="10" t="str">
        <f t="shared" si="3"/>
        <v>B</v>
      </c>
    </row>
    <row r="12" spans="1:9" x14ac:dyDescent="0.2">
      <c r="A12" s="10">
        <v>6743</v>
      </c>
      <c r="B12" s="13" t="str">
        <f>IFERROR(INDEX('02_Datos_Maestros'!$B$5:$B$21,MATCH($A12,'02_Datos_Maestros'!$A$5:$A$21,0)),"")</f>
        <v>SALSA DE PIÑA (12DP/1/400g)</v>
      </c>
      <c r="C12" s="18">
        <v>2754</v>
      </c>
      <c r="D12" s="19">
        <f>INDEX('02_Datos_Maestros'!$F$5:$F$21,MATCH($A12,'02_Datos_Maestros'!$A$5:$A$21,0))</f>
        <v>1502</v>
      </c>
      <c r="E12" s="20">
        <f t="shared" si="0"/>
        <v>1.833555259653795</v>
      </c>
      <c r="F12" s="19">
        <f t="shared" si="1"/>
        <v>880.10652463382155</v>
      </c>
      <c r="G12" s="21">
        <f t="shared" si="2"/>
        <v>3.1636174552170319E-2</v>
      </c>
      <c r="H12" s="21">
        <f>SUM($G$5:G12)</f>
        <v>0.85390760766418061</v>
      </c>
      <c r="I12" s="10" t="str">
        <f t="shared" si="3"/>
        <v>B</v>
      </c>
    </row>
    <row r="13" spans="1:9" x14ac:dyDescent="0.2">
      <c r="A13" s="10">
        <v>3757</v>
      </c>
      <c r="B13" s="13" t="str">
        <f>IFERROR(INDEX('02_Datos_Maestros'!$B$5:$B$21,MATCH($A13,'02_Datos_Maestros'!$A$5:$A$21,0)),"")</f>
        <v>MOSTANEZA (12DP/1/380g)</v>
      </c>
      <c r="C13" s="18">
        <v>3600</v>
      </c>
      <c r="D13" s="19">
        <f>INDEX('02_Datos_Maestros'!$F$5:$F$21,MATCH($A13,'02_Datos_Maestros'!$A$5:$A$21,0))</f>
        <v>2444</v>
      </c>
      <c r="E13" s="20">
        <f t="shared" si="0"/>
        <v>1.4729950900163666</v>
      </c>
      <c r="F13" s="19">
        <f t="shared" si="1"/>
        <v>707.03764320785604</v>
      </c>
      <c r="G13" s="21">
        <f t="shared" si="2"/>
        <v>2.5415067005423349E-2</v>
      </c>
      <c r="H13" s="21">
        <f>SUM($G$5:G13)</f>
        <v>0.87932267466960401</v>
      </c>
      <c r="I13" s="10" t="str">
        <f t="shared" si="3"/>
        <v>B</v>
      </c>
    </row>
    <row r="14" spans="1:9" x14ac:dyDescent="0.2">
      <c r="A14" s="10">
        <v>3643</v>
      </c>
      <c r="B14" s="13" t="str">
        <f>IFERROR(INDEX('02_Datos_Maestros'!$B$5:$B$21,MATCH($A14,'02_Datos_Maestros'!$A$5:$A$21,0)),"")</f>
        <v>SALSA ROSADA (12DP/1/380g)</v>
      </c>
      <c r="C14" s="18">
        <v>3220</v>
      </c>
      <c r="D14" s="19">
        <f>INDEX('02_Datos_Maestros'!$F$5:$F$21,MATCH($A14,'02_Datos_Maestros'!$A$5:$A$21,0))</f>
        <v>2460</v>
      </c>
      <c r="E14" s="20">
        <f t="shared" si="0"/>
        <v>1.3089430894308942</v>
      </c>
      <c r="F14" s="19">
        <f t="shared" si="1"/>
        <v>628.29268292682923</v>
      </c>
      <c r="G14" s="21">
        <f t="shared" si="2"/>
        <v>2.2584512704521227E-2</v>
      </c>
      <c r="H14" s="21">
        <f>SUM($G$5:G14)</f>
        <v>0.90190718737412523</v>
      </c>
      <c r="I14" s="10" t="str">
        <f t="shared" si="3"/>
        <v>B</v>
      </c>
    </row>
    <row r="15" spans="1:9" x14ac:dyDescent="0.2">
      <c r="A15" s="10">
        <v>6639</v>
      </c>
      <c r="B15" s="13" t="str">
        <f>IFERROR(INDEX('02_Datos_Maestros'!$B$5:$B$21,MATCH($A15,'02_Datos_Maestros'!$A$5:$A$21,0)),"")</f>
        <v>SALSA BARBECUE (12DP/1/400g)</v>
      </c>
      <c r="C15" s="18">
        <v>2900</v>
      </c>
      <c r="D15" s="19">
        <f>INDEX('02_Datos_Maestros'!$F$5:$F$21,MATCH($A15,'02_Datos_Maestros'!$A$5:$A$21,0))</f>
        <v>2493</v>
      </c>
      <c r="E15" s="20">
        <f t="shared" si="0"/>
        <v>1.1632571199358204</v>
      </c>
      <c r="F15" s="19">
        <f t="shared" si="1"/>
        <v>558.36341756919376</v>
      </c>
      <c r="G15" s="21">
        <f t="shared" si="2"/>
        <v>2.0070846025275053E-2</v>
      </c>
      <c r="H15" s="21">
        <f>SUM($G$5:G15)</f>
        <v>0.92197803339940032</v>
      </c>
      <c r="I15" s="10" t="str">
        <f t="shared" si="3"/>
        <v>B</v>
      </c>
    </row>
    <row r="16" spans="1:9" x14ac:dyDescent="0.2">
      <c r="A16" s="10">
        <v>15564</v>
      </c>
      <c r="B16" s="13" t="str">
        <f>IFERROR(INDEX('02_Datos_Maestros'!$B$5:$B$21,MATCH($A16,'02_Datos_Maestros'!$A$5:$A$21,0)),"")</f>
        <v>SALSA NAPOLITANA (24DP/1/200g)</v>
      </c>
      <c r="C16" s="18">
        <v>1840</v>
      </c>
      <c r="D16" s="19">
        <f>INDEX('02_Datos_Maestros'!$F$5:$F$21,MATCH($A16,'02_Datos_Maestros'!$A$5:$A$21,0))</f>
        <v>1684</v>
      </c>
      <c r="E16" s="20">
        <f t="shared" si="0"/>
        <v>1.0926365795724466</v>
      </c>
      <c r="F16" s="19">
        <f t="shared" si="1"/>
        <v>524.46555819477442</v>
      </c>
      <c r="G16" s="21">
        <f t="shared" si="2"/>
        <v>1.8852358755725222E-2</v>
      </c>
      <c r="H16" s="21">
        <f>SUM($G$5:G16)</f>
        <v>0.94083039215512554</v>
      </c>
      <c r="I16" s="10" t="str">
        <f t="shared" si="3"/>
        <v>B</v>
      </c>
    </row>
    <row r="17" spans="1:9" x14ac:dyDescent="0.2">
      <c r="A17" s="10">
        <v>7590</v>
      </c>
      <c r="B17" s="13" t="str">
        <f>IFERROR(INDEX('02_Datos_Maestros'!$B$5:$B$21,MATCH($A17,'02_Datos_Maestros'!$A$5:$A$21,0)),"")</f>
        <v>SALSA MAYONESA (12DP/1/600g)</v>
      </c>
      <c r="C17" s="18">
        <v>1496</v>
      </c>
      <c r="D17" s="19">
        <f>INDEX('02_Datos_Maestros'!$F$5:$F$21,MATCH($A17,'02_Datos_Maestros'!$A$5:$A$21,0))</f>
        <v>2001</v>
      </c>
      <c r="E17" s="20">
        <f t="shared" si="0"/>
        <v>0.7476261869065467</v>
      </c>
      <c r="F17" s="19">
        <f t="shared" si="1"/>
        <v>358.86056971514239</v>
      </c>
      <c r="G17" s="21">
        <f t="shared" si="2"/>
        <v>1.2899547163478952E-2</v>
      </c>
      <c r="H17" s="21">
        <f>SUM($G$5:G17)</f>
        <v>0.9537299393186045</v>
      </c>
      <c r="I17" s="10" t="str">
        <f t="shared" si="3"/>
        <v>C</v>
      </c>
    </row>
    <row r="18" spans="1:9" x14ac:dyDescent="0.2">
      <c r="A18" s="10">
        <v>3925</v>
      </c>
      <c r="B18" s="13" t="str">
        <f>IFERROR(INDEX('02_Datos_Maestros'!$B$5:$B$21,MATCH($A18,'02_Datos_Maestros'!$A$5:$A$21,0)),"")</f>
        <v>MOSTANEZA AJO (12DP/1/380g)</v>
      </c>
      <c r="C18" s="18">
        <v>1819</v>
      </c>
      <c r="D18" s="19">
        <f>INDEX('02_Datos_Maestros'!$F$5:$F$21,MATCH($A18,'02_Datos_Maestros'!$A$5:$A$21,0))</f>
        <v>2437</v>
      </c>
      <c r="E18" s="20">
        <f t="shared" si="0"/>
        <v>0.74640951990151827</v>
      </c>
      <c r="F18" s="19">
        <f t="shared" si="1"/>
        <v>358.27656955272874</v>
      </c>
      <c r="G18" s="21">
        <f t="shared" si="2"/>
        <v>1.2878554782943764E-2</v>
      </c>
      <c r="H18" s="21">
        <f>SUM($G$5:G18)</f>
        <v>0.96660849410154825</v>
      </c>
      <c r="I18" s="10" t="str">
        <f t="shared" si="3"/>
        <v>C</v>
      </c>
    </row>
    <row r="19" spans="1:9" x14ac:dyDescent="0.2">
      <c r="A19" s="10">
        <v>6616</v>
      </c>
      <c r="B19" s="13" t="str">
        <f>IFERROR(INDEX('02_Datos_Maestros'!$B$5:$B$21,MATCH($A19,'02_Datos_Maestros'!$A$5:$A$21,0)),"")</f>
        <v>MOSTANEZA DEL RANCHO (12DP/1/380g)</v>
      </c>
      <c r="C19" s="18">
        <v>1712</v>
      </c>
      <c r="D19" s="19">
        <f>INDEX('02_Datos_Maestros'!$F$5:$F$21,MATCH($A19,'02_Datos_Maestros'!$A$5:$A$21,0))</f>
        <v>2444</v>
      </c>
      <c r="E19" s="20">
        <f t="shared" si="0"/>
        <v>0.70049099836333883</v>
      </c>
      <c r="F19" s="19">
        <f t="shared" si="1"/>
        <v>336.23567921440264</v>
      </c>
      <c r="G19" s="21">
        <f t="shared" si="2"/>
        <v>1.2086276309245771E-2</v>
      </c>
      <c r="H19" s="21">
        <f>SUM($G$5:G19)</f>
        <v>0.978694770410794</v>
      </c>
      <c r="I19" s="10" t="str">
        <f t="shared" si="3"/>
        <v>C</v>
      </c>
    </row>
    <row r="20" spans="1:9" x14ac:dyDescent="0.2">
      <c r="A20" s="10">
        <v>15795</v>
      </c>
      <c r="B20" s="13" t="str">
        <f>IFERROR(INDEX('02_Datos_Maestros'!$B$5:$B$21,MATCH($A20,'02_Datos_Maestros'!$A$5:$A$21,0)),"")</f>
        <v>SALSA MAYONESA-V(12DP/1/380g)</v>
      </c>
      <c r="C20" s="18">
        <v>1284</v>
      </c>
      <c r="D20" s="19">
        <f>INDEX('02_Datos_Maestros'!$F$5:$F$21,MATCH($A20,'02_Datos_Maestros'!$A$5:$A$21,0))</f>
        <v>2001</v>
      </c>
      <c r="E20" s="20">
        <f t="shared" si="0"/>
        <v>0.64167916041979012</v>
      </c>
      <c r="F20" s="19">
        <f t="shared" si="1"/>
        <v>308.00599700149928</v>
      </c>
      <c r="G20" s="21">
        <f t="shared" si="2"/>
        <v>1.1071536469189154E-2</v>
      </c>
      <c r="H20" s="21">
        <f>SUM($G$5:G20)</f>
        <v>0.98976630687998313</v>
      </c>
      <c r="I20" s="10" t="str">
        <f t="shared" si="3"/>
        <v>C</v>
      </c>
    </row>
    <row r="21" spans="1:9" x14ac:dyDescent="0.2">
      <c r="A21" s="10">
        <v>16787</v>
      </c>
      <c r="B21" s="13" t="str">
        <f>IFERROR(INDEX('02_Datos_Maestros'!$B$5:$B$21,MATCH($A21,'02_Datos_Maestros'!$A$5:$A$21,0)),"")</f>
        <v>SALSA DE TOMATE SAVORIA (12DP/1/1000g)</v>
      </c>
      <c r="C21" s="18">
        <v>1000</v>
      </c>
      <c r="D21" s="19">
        <f>INDEX('02_Datos_Maestros'!$F$5:$F$21,MATCH($A21,'02_Datos_Maestros'!$A$5:$A$21,0))</f>
        <v>1686</v>
      </c>
      <c r="E21" s="20">
        <f t="shared" si="0"/>
        <v>0.59311981020166071</v>
      </c>
      <c r="F21" s="19">
        <f t="shared" si="1"/>
        <v>284.69750889679716</v>
      </c>
      <c r="G21" s="21">
        <f t="shared" si="2"/>
        <v>1.0233693120016913E-2</v>
      </c>
      <c r="H21" s="21">
        <f>SUM($G$5:G21)</f>
        <v>1</v>
      </c>
      <c r="I21" s="10" t="str">
        <f t="shared" si="3"/>
        <v>C</v>
      </c>
    </row>
    <row r="22" spans="1:9" x14ac:dyDescent="0.2">
      <c r="A22" s="22"/>
      <c r="B22" s="22" t="s">
        <v>108</v>
      </c>
      <c r="C22" s="23">
        <f>SUM(C5:C21)</f>
        <v>86331</v>
      </c>
      <c r="D22" s="22"/>
      <c r="E22" s="24">
        <f>SUM(E5:E21)</f>
        <v>57.957552883966137</v>
      </c>
      <c r="F22" s="23">
        <f>SUM(F5:F21)</f>
        <v>27819.625384303745</v>
      </c>
      <c r="G22" s="25">
        <f>SUM(G5:G21)</f>
        <v>1</v>
      </c>
      <c r="H22" s="22"/>
      <c r="I22" s="22"/>
    </row>
  </sheetData>
  <conditionalFormatting sqref="E5:E21">
    <cfRule type="dataBar" priority="1">
      <dataBar>
        <cfvo type="num" val="0"/>
        <cfvo type="max"/>
        <color rgb="FF2E5090"/>
      </dataBar>
    </cfRule>
  </conditionalFormatting>
  <conditionalFormatting sqref="I5:I21">
    <cfRule type="cellIs" dxfId="20" priority="2" operator="equal">
      <formula>"A"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sheetPr>
  <dimension ref="A1:R39"/>
  <sheetViews>
    <sheetView showGridLines="0" workbookViewId="0">
      <pane xSplit="1" ySplit="5" topLeftCell="B6" activePane="bottomRight" state="frozen"/>
      <selection pane="topRight"/>
      <selection pane="bottomLeft"/>
      <selection pane="bottomRight" activeCell="C9" sqref="C9"/>
    </sheetView>
  </sheetViews>
  <sheetFormatPr baseColWidth="10" defaultColWidth="8.83203125" defaultRowHeight="15" x14ac:dyDescent="0.2"/>
  <cols>
    <col min="1" max="1" width="11" customWidth="1"/>
    <col min="2" max="18" width="7.5" customWidth="1"/>
  </cols>
  <sheetData>
    <row r="1" spans="1:18" ht="26" customHeight="1" x14ac:dyDescent="0.3">
      <c r="A1" s="1" t="s">
        <v>109</v>
      </c>
    </row>
    <row r="2" spans="1:18" x14ac:dyDescent="0.2">
      <c r="A2" s="143" t="s">
        <v>413</v>
      </c>
    </row>
    <row r="4" spans="1:18" x14ac:dyDescent="0.2">
      <c r="A4" s="26" t="s">
        <v>110</v>
      </c>
      <c r="B4" s="9">
        <v>3757</v>
      </c>
      <c r="C4" s="9">
        <v>3925</v>
      </c>
      <c r="D4" s="9">
        <v>6616</v>
      </c>
      <c r="E4" s="9">
        <v>6639</v>
      </c>
      <c r="F4" s="9">
        <v>17246</v>
      </c>
      <c r="G4" s="9">
        <v>16816</v>
      </c>
      <c r="H4" s="9">
        <v>6743</v>
      </c>
      <c r="I4" s="9">
        <v>16787</v>
      </c>
      <c r="J4" s="9">
        <v>15881</v>
      </c>
      <c r="K4" s="9">
        <v>5998</v>
      </c>
      <c r="L4" s="9">
        <v>3749</v>
      </c>
      <c r="M4" s="9">
        <v>3278</v>
      </c>
      <c r="N4" s="9">
        <v>7590</v>
      </c>
      <c r="O4" s="9">
        <v>15795</v>
      </c>
      <c r="P4" s="9">
        <v>15564</v>
      </c>
      <c r="Q4" s="9">
        <v>3643</v>
      </c>
      <c r="R4" s="9">
        <v>3533</v>
      </c>
    </row>
    <row r="5" spans="1:18" x14ac:dyDescent="0.2">
      <c r="A5" s="27" t="s">
        <v>111</v>
      </c>
      <c r="B5" s="28">
        <v>3757</v>
      </c>
      <c r="C5" s="28">
        <v>3925</v>
      </c>
      <c r="D5" s="28">
        <v>6616</v>
      </c>
      <c r="E5" s="28">
        <v>6639</v>
      </c>
      <c r="F5" s="28">
        <v>17246</v>
      </c>
      <c r="G5" s="28">
        <v>16816</v>
      </c>
      <c r="H5" s="28">
        <v>6743</v>
      </c>
      <c r="I5" s="28">
        <v>16787</v>
      </c>
      <c r="J5" s="28">
        <v>15881</v>
      </c>
      <c r="K5" s="28">
        <v>5998</v>
      </c>
      <c r="L5" s="28">
        <v>3749</v>
      </c>
      <c r="M5" s="28">
        <v>3278</v>
      </c>
      <c r="N5" s="28">
        <v>7590</v>
      </c>
      <c r="O5" s="28">
        <v>15795</v>
      </c>
      <c r="P5" s="28">
        <v>15564</v>
      </c>
      <c r="Q5" s="28">
        <v>3643</v>
      </c>
      <c r="R5" s="28">
        <v>3533</v>
      </c>
    </row>
    <row r="6" spans="1:18" x14ac:dyDescent="0.2">
      <c r="A6" s="9">
        <v>3757</v>
      </c>
      <c r="B6" s="14">
        <v>0</v>
      </c>
      <c r="C6" s="14">
        <v>0</v>
      </c>
      <c r="D6" s="14">
        <v>0</v>
      </c>
      <c r="E6" s="14">
        <v>180</v>
      </c>
      <c r="F6" s="14">
        <v>120</v>
      </c>
      <c r="G6" s="14">
        <v>120</v>
      </c>
      <c r="H6" s="14">
        <v>180</v>
      </c>
      <c r="I6" s="14">
        <v>120</v>
      </c>
      <c r="J6" s="14">
        <v>120</v>
      </c>
      <c r="K6" s="14">
        <v>120</v>
      </c>
      <c r="L6" s="14">
        <v>120</v>
      </c>
      <c r="M6" s="14">
        <v>120</v>
      </c>
      <c r="N6" s="14">
        <v>120</v>
      </c>
      <c r="O6" s="14">
        <v>120</v>
      </c>
      <c r="P6" s="14">
        <v>180</v>
      </c>
      <c r="Q6" s="14">
        <v>180</v>
      </c>
      <c r="R6" s="14">
        <v>120</v>
      </c>
    </row>
    <row r="7" spans="1:18" x14ac:dyDescent="0.2">
      <c r="A7" s="9">
        <v>3925</v>
      </c>
      <c r="B7" s="14">
        <v>0</v>
      </c>
      <c r="C7" s="14">
        <v>0</v>
      </c>
      <c r="D7" s="14">
        <v>0</v>
      </c>
      <c r="E7" s="14">
        <v>180</v>
      </c>
      <c r="F7" s="14">
        <v>120</v>
      </c>
      <c r="G7" s="14">
        <v>120</v>
      </c>
      <c r="H7" s="14">
        <v>180</v>
      </c>
      <c r="I7" s="14">
        <v>120</v>
      </c>
      <c r="J7" s="14">
        <v>120</v>
      </c>
      <c r="K7" s="14">
        <v>120</v>
      </c>
      <c r="L7" s="14">
        <v>120</v>
      </c>
      <c r="M7" s="14">
        <v>120</v>
      </c>
      <c r="N7" s="14">
        <v>120</v>
      </c>
      <c r="O7" s="14">
        <v>120</v>
      </c>
      <c r="P7" s="14">
        <v>180</v>
      </c>
      <c r="Q7" s="14">
        <v>180</v>
      </c>
      <c r="R7" s="14">
        <v>120</v>
      </c>
    </row>
    <row r="8" spans="1:18" x14ac:dyDescent="0.2">
      <c r="A8" s="9">
        <v>6616</v>
      </c>
      <c r="B8" s="14">
        <v>0</v>
      </c>
      <c r="C8" s="14">
        <v>0</v>
      </c>
      <c r="D8" s="14">
        <v>0</v>
      </c>
      <c r="E8" s="14">
        <v>180</v>
      </c>
      <c r="F8" s="14">
        <v>120</v>
      </c>
      <c r="G8" s="14">
        <v>120</v>
      </c>
      <c r="H8" s="14">
        <v>180</v>
      </c>
      <c r="I8" s="14">
        <v>120</v>
      </c>
      <c r="J8" s="14">
        <v>120</v>
      </c>
      <c r="K8" s="14">
        <v>120</v>
      </c>
      <c r="L8" s="14">
        <v>120</v>
      </c>
      <c r="M8" s="14">
        <v>120</v>
      </c>
      <c r="N8" s="14">
        <v>120</v>
      </c>
      <c r="O8" s="14">
        <v>120</v>
      </c>
      <c r="P8" s="14">
        <v>180</v>
      </c>
      <c r="Q8" s="14">
        <v>180</v>
      </c>
      <c r="R8" s="14">
        <v>120</v>
      </c>
    </row>
    <row r="9" spans="1:18" x14ac:dyDescent="0.2">
      <c r="A9" s="9">
        <v>6639</v>
      </c>
      <c r="B9" s="14">
        <v>180</v>
      </c>
      <c r="C9" s="14">
        <v>180</v>
      </c>
      <c r="D9" s="14">
        <v>180</v>
      </c>
      <c r="E9" s="14">
        <v>0</v>
      </c>
      <c r="F9" s="14">
        <v>180</v>
      </c>
      <c r="G9" s="14">
        <v>120</v>
      </c>
      <c r="H9" s="14">
        <v>120</v>
      </c>
      <c r="I9" s="14">
        <v>120</v>
      </c>
      <c r="J9" s="14">
        <v>120</v>
      </c>
      <c r="K9" s="14">
        <v>120</v>
      </c>
      <c r="L9" s="14">
        <v>120</v>
      </c>
      <c r="M9" s="14">
        <v>120</v>
      </c>
      <c r="N9" s="14">
        <v>120</v>
      </c>
      <c r="O9" s="14">
        <v>120</v>
      </c>
      <c r="P9" s="14">
        <v>120</v>
      </c>
      <c r="Q9" s="14">
        <v>120</v>
      </c>
      <c r="R9" s="14">
        <v>120</v>
      </c>
    </row>
    <row r="10" spans="1:18" x14ac:dyDescent="0.2">
      <c r="A10" s="9">
        <v>17246</v>
      </c>
      <c r="B10" s="14">
        <v>120</v>
      </c>
      <c r="C10" s="14">
        <v>120</v>
      </c>
      <c r="D10" s="14">
        <v>120</v>
      </c>
      <c r="E10" s="14">
        <v>180</v>
      </c>
      <c r="F10" s="14">
        <v>0</v>
      </c>
      <c r="G10" s="14">
        <v>0</v>
      </c>
      <c r="H10" s="14">
        <v>180</v>
      </c>
      <c r="I10" s="14">
        <v>120</v>
      </c>
      <c r="J10" s="14">
        <v>120</v>
      </c>
      <c r="K10" s="14">
        <v>120</v>
      </c>
      <c r="L10" s="14">
        <v>0</v>
      </c>
      <c r="M10" s="14">
        <v>0</v>
      </c>
      <c r="N10" s="14">
        <v>0</v>
      </c>
      <c r="O10" s="14">
        <v>0</v>
      </c>
      <c r="P10" s="14">
        <v>120</v>
      </c>
      <c r="Q10" s="14">
        <v>120</v>
      </c>
      <c r="R10" s="14">
        <v>120</v>
      </c>
    </row>
    <row r="11" spans="1:18" x14ac:dyDescent="0.2">
      <c r="A11" s="9">
        <v>16816</v>
      </c>
      <c r="B11" s="14">
        <v>120</v>
      </c>
      <c r="C11" s="14">
        <v>120</v>
      </c>
      <c r="D11" s="14">
        <v>120</v>
      </c>
      <c r="E11" s="14">
        <v>120</v>
      </c>
      <c r="F11" s="14">
        <v>0</v>
      </c>
      <c r="G11" s="14">
        <v>0</v>
      </c>
      <c r="H11" s="14">
        <v>180</v>
      </c>
      <c r="I11" s="14">
        <v>120</v>
      </c>
      <c r="J11" s="14">
        <v>120</v>
      </c>
      <c r="K11" s="14">
        <v>120</v>
      </c>
      <c r="L11" s="14">
        <v>0</v>
      </c>
      <c r="M11" s="14">
        <v>0</v>
      </c>
      <c r="N11" s="14">
        <v>0</v>
      </c>
      <c r="O11" s="14">
        <v>0</v>
      </c>
      <c r="P11" s="14">
        <v>120</v>
      </c>
      <c r="Q11" s="14">
        <v>120</v>
      </c>
      <c r="R11" s="14">
        <v>120</v>
      </c>
    </row>
    <row r="12" spans="1:18" x14ac:dyDescent="0.2">
      <c r="A12" s="9">
        <v>6743</v>
      </c>
      <c r="B12" s="14">
        <v>180</v>
      </c>
      <c r="C12" s="14">
        <v>180</v>
      </c>
      <c r="D12" s="14">
        <v>180</v>
      </c>
      <c r="E12" s="14">
        <v>120</v>
      </c>
      <c r="F12" s="14">
        <v>180</v>
      </c>
      <c r="G12" s="14">
        <v>180</v>
      </c>
      <c r="H12" s="14">
        <v>0</v>
      </c>
      <c r="I12" s="14">
        <v>120</v>
      </c>
      <c r="J12" s="14">
        <v>120</v>
      </c>
      <c r="K12" s="14">
        <v>120</v>
      </c>
      <c r="L12" s="14">
        <v>120</v>
      </c>
      <c r="M12" s="14">
        <v>120</v>
      </c>
      <c r="N12" s="14">
        <v>120</v>
      </c>
      <c r="O12" s="14">
        <v>120</v>
      </c>
      <c r="P12" s="14">
        <v>120</v>
      </c>
      <c r="Q12" s="14">
        <v>120</v>
      </c>
      <c r="R12" s="14">
        <v>120</v>
      </c>
    </row>
    <row r="13" spans="1:18" x14ac:dyDescent="0.2">
      <c r="A13" s="9">
        <v>16787</v>
      </c>
      <c r="B13" s="14">
        <v>120</v>
      </c>
      <c r="C13" s="14">
        <v>120</v>
      </c>
      <c r="D13" s="14">
        <v>120</v>
      </c>
      <c r="E13" s="14">
        <v>120</v>
      </c>
      <c r="F13" s="14">
        <v>120</v>
      </c>
      <c r="G13" s="14">
        <v>120</v>
      </c>
      <c r="H13" s="14">
        <v>120</v>
      </c>
      <c r="I13" s="14">
        <v>0</v>
      </c>
      <c r="J13" s="14">
        <v>0</v>
      </c>
      <c r="K13" s="14">
        <v>0</v>
      </c>
      <c r="L13" s="14">
        <v>120</v>
      </c>
      <c r="M13" s="14">
        <v>120</v>
      </c>
      <c r="N13" s="14">
        <v>120</v>
      </c>
      <c r="O13" s="14">
        <v>120</v>
      </c>
      <c r="P13" s="14">
        <v>120</v>
      </c>
      <c r="Q13" s="14">
        <v>120</v>
      </c>
      <c r="R13" s="14">
        <v>120</v>
      </c>
    </row>
    <row r="14" spans="1:18" x14ac:dyDescent="0.2">
      <c r="A14" s="9">
        <v>15881</v>
      </c>
      <c r="B14" s="14">
        <v>120</v>
      </c>
      <c r="C14" s="14">
        <v>120</v>
      </c>
      <c r="D14" s="14">
        <v>120</v>
      </c>
      <c r="E14" s="14">
        <v>120</v>
      </c>
      <c r="F14" s="14">
        <v>120</v>
      </c>
      <c r="G14" s="14">
        <v>120</v>
      </c>
      <c r="H14" s="14">
        <v>120</v>
      </c>
      <c r="I14" s="14">
        <v>0</v>
      </c>
      <c r="J14" s="14">
        <v>0</v>
      </c>
      <c r="K14" s="14">
        <v>0</v>
      </c>
      <c r="L14" s="14">
        <v>120</v>
      </c>
      <c r="M14" s="14">
        <v>120</v>
      </c>
      <c r="N14" s="14">
        <v>120</v>
      </c>
      <c r="O14" s="14">
        <v>120</v>
      </c>
      <c r="P14" s="14">
        <v>120</v>
      </c>
      <c r="Q14" s="14">
        <v>120</v>
      </c>
      <c r="R14" s="14">
        <v>120</v>
      </c>
    </row>
    <row r="15" spans="1:18" x14ac:dyDescent="0.2">
      <c r="A15" s="9">
        <v>5998</v>
      </c>
      <c r="B15" s="14">
        <v>120</v>
      </c>
      <c r="C15" s="14">
        <v>120</v>
      </c>
      <c r="D15" s="14">
        <v>120</v>
      </c>
      <c r="E15" s="14">
        <v>120</v>
      </c>
      <c r="F15" s="14">
        <v>120</v>
      </c>
      <c r="G15" s="14">
        <v>120</v>
      </c>
      <c r="H15" s="14">
        <v>120</v>
      </c>
      <c r="I15" s="14">
        <v>0</v>
      </c>
      <c r="J15" s="14">
        <v>0</v>
      </c>
      <c r="K15" s="14">
        <v>0</v>
      </c>
      <c r="L15" s="14">
        <v>120</v>
      </c>
      <c r="M15" s="14">
        <v>120</v>
      </c>
      <c r="N15" s="14">
        <v>120</v>
      </c>
      <c r="O15" s="14">
        <v>120</v>
      </c>
      <c r="P15" s="14">
        <v>120</v>
      </c>
      <c r="Q15" s="14">
        <v>120</v>
      </c>
      <c r="R15" s="14">
        <v>120</v>
      </c>
    </row>
    <row r="16" spans="1:18" x14ac:dyDescent="0.2">
      <c r="A16" s="9">
        <v>3749</v>
      </c>
      <c r="B16" s="14">
        <v>120</v>
      </c>
      <c r="C16" s="14">
        <v>120</v>
      </c>
      <c r="D16" s="14">
        <v>120</v>
      </c>
      <c r="E16" s="14">
        <v>120</v>
      </c>
      <c r="F16" s="14">
        <v>0</v>
      </c>
      <c r="G16" s="14">
        <v>0</v>
      </c>
      <c r="H16" s="14">
        <v>120</v>
      </c>
      <c r="I16" s="14">
        <v>120</v>
      </c>
      <c r="J16" s="14">
        <v>120</v>
      </c>
      <c r="K16" s="14">
        <v>120</v>
      </c>
      <c r="L16" s="14">
        <v>0</v>
      </c>
      <c r="M16" s="14">
        <v>0</v>
      </c>
      <c r="N16" s="14">
        <v>0</v>
      </c>
      <c r="O16" s="14">
        <v>0</v>
      </c>
      <c r="P16" s="14">
        <v>120</v>
      </c>
      <c r="Q16" s="14">
        <v>120</v>
      </c>
      <c r="R16" s="14">
        <v>120</v>
      </c>
    </row>
    <row r="17" spans="1:18" x14ac:dyDescent="0.2">
      <c r="A17" s="9">
        <v>3278</v>
      </c>
      <c r="B17" s="14">
        <v>120</v>
      </c>
      <c r="C17" s="14">
        <v>120</v>
      </c>
      <c r="D17" s="14">
        <v>120</v>
      </c>
      <c r="E17" s="14">
        <v>120</v>
      </c>
      <c r="F17" s="14">
        <v>0</v>
      </c>
      <c r="G17" s="14">
        <v>0</v>
      </c>
      <c r="H17" s="14">
        <v>120</v>
      </c>
      <c r="I17" s="14">
        <v>120</v>
      </c>
      <c r="J17" s="14">
        <v>120</v>
      </c>
      <c r="K17" s="14">
        <v>120</v>
      </c>
      <c r="L17" s="14">
        <v>0</v>
      </c>
      <c r="M17" s="14">
        <v>0</v>
      </c>
      <c r="N17" s="14">
        <v>0</v>
      </c>
      <c r="O17" s="14">
        <v>0</v>
      </c>
      <c r="P17" s="14">
        <v>120</v>
      </c>
      <c r="Q17" s="14">
        <v>120</v>
      </c>
      <c r="R17" s="14">
        <v>120</v>
      </c>
    </row>
    <row r="18" spans="1:18" x14ac:dyDescent="0.2">
      <c r="A18" s="9">
        <v>7590</v>
      </c>
      <c r="B18" s="14">
        <v>120</v>
      </c>
      <c r="C18" s="14">
        <v>120</v>
      </c>
      <c r="D18" s="14">
        <v>120</v>
      </c>
      <c r="E18" s="14">
        <v>120</v>
      </c>
      <c r="F18" s="14">
        <v>0</v>
      </c>
      <c r="G18" s="14">
        <v>0</v>
      </c>
      <c r="H18" s="14">
        <v>120</v>
      </c>
      <c r="I18" s="14">
        <v>120</v>
      </c>
      <c r="J18" s="14">
        <v>120</v>
      </c>
      <c r="K18" s="14">
        <v>120</v>
      </c>
      <c r="L18" s="14">
        <v>0</v>
      </c>
      <c r="M18" s="14">
        <v>0</v>
      </c>
      <c r="N18" s="14">
        <v>0</v>
      </c>
      <c r="O18" s="14">
        <v>0</v>
      </c>
      <c r="P18" s="14">
        <v>120</v>
      </c>
      <c r="Q18" s="14">
        <v>120</v>
      </c>
      <c r="R18" s="14">
        <v>120</v>
      </c>
    </row>
    <row r="19" spans="1:18" x14ac:dyDescent="0.2">
      <c r="A19" s="9">
        <v>15795</v>
      </c>
      <c r="B19" s="14">
        <v>120</v>
      </c>
      <c r="C19" s="14">
        <v>120</v>
      </c>
      <c r="D19" s="14">
        <v>120</v>
      </c>
      <c r="E19" s="14">
        <v>120</v>
      </c>
      <c r="F19" s="14">
        <v>0</v>
      </c>
      <c r="G19" s="14">
        <v>0</v>
      </c>
      <c r="H19" s="14">
        <v>120</v>
      </c>
      <c r="I19" s="14">
        <v>120</v>
      </c>
      <c r="J19" s="14">
        <v>120</v>
      </c>
      <c r="K19" s="14">
        <v>120</v>
      </c>
      <c r="L19" s="14">
        <v>0</v>
      </c>
      <c r="M19" s="14">
        <v>0</v>
      </c>
      <c r="N19" s="14">
        <v>0</v>
      </c>
      <c r="O19" s="14">
        <v>0</v>
      </c>
      <c r="P19" s="14">
        <v>120</v>
      </c>
      <c r="Q19" s="14">
        <v>120</v>
      </c>
      <c r="R19" s="14">
        <v>120</v>
      </c>
    </row>
    <row r="20" spans="1:18" x14ac:dyDescent="0.2">
      <c r="A20" s="9">
        <v>15564</v>
      </c>
      <c r="B20" s="14">
        <v>180</v>
      </c>
      <c r="C20" s="14">
        <v>180</v>
      </c>
      <c r="D20" s="14">
        <v>180</v>
      </c>
      <c r="E20" s="14">
        <v>120</v>
      </c>
      <c r="F20" s="14">
        <v>120</v>
      </c>
      <c r="G20" s="14">
        <v>120</v>
      </c>
      <c r="H20" s="14">
        <v>120</v>
      </c>
      <c r="I20" s="14">
        <v>120</v>
      </c>
      <c r="J20" s="14">
        <v>120</v>
      </c>
      <c r="K20" s="14">
        <v>120</v>
      </c>
      <c r="L20" s="14">
        <v>120</v>
      </c>
      <c r="M20" s="14">
        <v>120</v>
      </c>
      <c r="N20" s="14">
        <v>120</v>
      </c>
      <c r="O20" s="14">
        <v>120</v>
      </c>
      <c r="P20" s="14">
        <v>0</v>
      </c>
      <c r="Q20" s="14">
        <v>120</v>
      </c>
      <c r="R20" s="14">
        <v>120</v>
      </c>
    </row>
    <row r="21" spans="1:18" x14ac:dyDescent="0.2">
      <c r="A21" s="9">
        <v>3643</v>
      </c>
      <c r="B21" s="14">
        <v>180</v>
      </c>
      <c r="C21" s="14">
        <v>180</v>
      </c>
      <c r="D21" s="14">
        <v>180</v>
      </c>
      <c r="E21" s="14">
        <v>120</v>
      </c>
      <c r="F21" s="14">
        <v>120</v>
      </c>
      <c r="G21" s="14">
        <v>120</v>
      </c>
      <c r="H21" s="14">
        <v>120</v>
      </c>
      <c r="I21" s="14">
        <v>120</v>
      </c>
      <c r="J21" s="14">
        <v>120</v>
      </c>
      <c r="K21" s="14">
        <v>120</v>
      </c>
      <c r="L21" s="14">
        <v>120</v>
      </c>
      <c r="M21" s="14">
        <v>120</v>
      </c>
      <c r="N21" s="14">
        <v>120</v>
      </c>
      <c r="O21" s="14">
        <v>120</v>
      </c>
      <c r="P21" s="14">
        <v>120</v>
      </c>
      <c r="Q21" s="14">
        <v>0</v>
      </c>
      <c r="R21" s="14">
        <v>120</v>
      </c>
    </row>
    <row r="22" spans="1:18" x14ac:dyDescent="0.2">
      <c r="A22" s="9">
        <v>3533</v>
      </c>
      <c r="B22" s="14">
        <v>120</v>
      </c>
      <c r="C22" s="14">
        <v>120</v>
      </c>
      <c r="D22" s="14">
        <v>120</v>
      </c>
      <c r="E22" s="14">
        <v>120</v>
      </c>
      <c r="F22" s="14">
        <v>120</v>
      </c>
      <c r="G22" s="14">
        <v>120</v>
      </c>
      <c r="H22" s="14">
        <v>120</v>
      </c>
      <c r="I22" s="14">
        <v>120</v>
      </c>
      <c r="J22" s="14">
        <v>120</v>
      </c>
      <c r="K22" s="14">
        <v>120</v>
      </c>
      <c r="L22" s="14">
        <v>120</v>
      </c>
      <c r="M22" s="14">
        <v>120</v>
      </c>
      <c r="N22" s="14">
        <v>120</v>
      </c>
      <c r="O22" s="14">
        <v>120</v>
      </c>
      <c r="P22" s="14">
        <v>120</v>
      </c>
      <c r="Q22" s="14">
        <v>120</v>
      </c>
      <c r="R22" s="14">
        <v>0</v>
      </c>
    </row>
    <row r="24" spans="1:18" ht="16" x14ac:dyDescent="0.2">
      <c r="A24" s="29" t="s">
        <v>112</v>
      </c>
    </row>
    <row r="25" spans="1:18" ht="28" customHeight="1" x14ac:dyDescent="0.2">
      <c r="A25" s="8" t="s">
        <v>113</v>
      </c>
      <c r="B25" s="112" t="s">
        <v>114</v>
      </c>
      <c r="C25" s="113"/>
      <c r="D25" s="113"/>
      <c r="E25" s="113"/>
      <c r="F25" s="113"/>
      <c r="G25" s="113"/>
      <c r="H25" s="113"/>
      <c r="I25" s="113"/>
      <c r="J25" s="113"/>
      <c r="K25" s="113"/>
      <c r="L25" s="113"/>
    </row>
    <row r="26" spans="1:18" ht="28" customHeight="1" x14ac:dyDescent="0.2">
      <c r="A26" s="8" t="s">
        <v>414</v>
      </c>
      <c r="B26" s="112" t="s">
        <v>415</v>
      </c>
      <c r="C26" s="113"/>
      <c r="D26" s="113"/>
      <c r="E26" s="113"/>
      <c r="F26" s="113"/>
      <c r="G26" s="113"/>
      <c r="H26" s="113"/>
      <c r="I26" s="113"/>
      <c r="J26" s="113"/>
      <c r="K26" s="113"/>
      <c r="L26" s="113"/>
    </row>
    <row r="27" spans="1:18" ht="28" customHeight="1" x14ac:dyDescent="0.2">
      <c r="A27" s="8" t="s">
        <v>416</v>
      </c>
      <c r="B27" s="112" t="s">
        <v>417</v>
      </c>
      <c r="C27" s="113"/>
      <c r="D27" s="113"/>
      <c r="E27" s="113"/>
      <c r="F27" s="113"/>
      <c r="G27" s="113"/>
      <c r="H27" s="113"/>
      <c r="I27" s="113"/>
      <c r="J27" s="113"/>
      <c r="K27" s="113"/>
      <c r="L27" s="113"/>
    </row>
    <row r="28" spans="1:18" ht="28" customHeight="1" x14ac:dyDescent="0.2">
      <c r="A28" s="8" t="s">
        <v>418</v>
      </c>
      <c r="B28" s="112" t="s">
        <v>419</v>
      </c>
      <c r="C28" s="113"/>
      <c r="D28" s="113"/>
      <c r="E28" s="113"/>
      <c r="F28" s="113"/>
      <c r="G28" s="113"/>
      <c r="H28" s="113"/>
      <c r="I28" s="113"/>
      <c r="J28" s="113"/>
      <c r="K28" s="113"/>
      <c r="L28" s="113"/>
    </row>
    <row r="30" spans="1:18" ht="16" x14ac:dyDescent="0.2">
      <c r="A30" s="29" t="s">
        <v>115</v>
      </c>
    </row>
    <row r="31" spans="1:18" ht="30" customHeight="1" x14ac:dyDescent="0.2">
      <c r="A31" s="9" t="s">
        <v>116</v>
      </c>
      <c r="B31" s="9" t="s">
        <v>117</v>
      </c>
      <c r="C31" s="119" t="s">
        <v>118</v>
      </c>
      <c r="D31" s="120"/>
      <c r="E31" s="120"/>
      <c r="F31" s="120"/>
      <c r="G31" s="120"/>
      <c r="H31" s="120"/>
      <c r="I31" s="120"/>
      <c r="J31" s="120"/>
      <c r="K31" s="121"/>
      <c r="L31" s="9" t="s">
        <v>119</v>
      </c>
    </row>
    <row r="32" spans="1:18" ht="45" x14ac:dyDescent="0.2">
      <c r="A32" s="10" t="s">
        <v>120</v>
      </c>
      <c r="B32" s="96" t="s">
        <v>121</v>
      </c>
      <c r="C32" s="118" t="s">
        <v>122</v>
      </c>
      <c r="D32" s="118"/>
      <c r="E32" s="118"/>
      <c r="F32" s="118"/>
      <c r="G32" s="118"/>
      <c r="H32" s="118"/>
      <c r="I32" s="118"/>
      <c r="J32" s="118"/>
      <c r="K32" s="118"/>
      <c r="L32" s="95">
        <v>3</v>
      </c>
    </row>
    <row r="33" spans="1:12" ht="30" x14ac:dyDescent="0.2">
      <c r="A33" s="10" t="s">
        <v>123</v>
      </c>
      <c r="B33" s="96" t="s">
        <v>124</v>
      </c>
      <c r="C33" s="118">
        <v>6639</v>
      </c>
      <c r="D33" s="118"/>
      <c r="E33" s="118"/>
      <c r="F33" s="118"/>
      <c r="G33" s="118"/>
      <c r="H33" s="118"/>
      <c r="I33" s="118"/>
      <c r="J33" s="118"/>
      <c r="K33" s="118"/>
      <c r="L33" s="95">
        <v>1</v>
      </c>
    </row>
    <row r="34" spans="1:12" ht="45" x14ac:dyDescent="0.2">
      <c r="A34" s="10" t="s">
        <v>125</v>
      </c>
      <c r="B34" s="96" t="s">
        <v>126</v>
      </c>
      <c r="C34" s="118" t="s">
        <v>127</v>
      </c>
      <c r="D34" s="118"/>
      <c r="E34" s="118"/>
      <c r="F34" s="118"/>
      <c r="G34" s="118"/>
      <c r="H34" s="118"/>
      <c r="I34" s="118"/>
      <c r="J34" s="118"/>
      <c r="K34" s="118"/>
      <c r="L34" s="95">
        <v>6</v>
      </c>
    </row>
    <row r="35" spans="1:12" x14ac:dyDescent="0.2">
      <c r="A35" s="10" t="s">
        <v>128</v>
      </c>
      <c r="B35" s="96" t="s">
        <v>129</v>
      </c>
      <c r="C35" s="118">
        <v>6743</v>
      </c>
      <c r="D35" s="118"/>
      <c r="E35" s="118"/>
      <c r="F35" s="118"/>
      <c r="G35" s="118"/>
      <c r="H35" s="118"/>
      <c r="I35" s="118"/>
      <c r="J35" s="118"/>
      <c r="K35" s="118"/>
      <c r="L35" s="95">
        <v>1</v>
      </c>
    </row>
    <row r="36" spans="1:12" ht="30" x14ac:dyDescent="0.2">
      <c r="A36" s="10" t="s">
        <v>130</v>
      </c>
      <c r="B36" s="96" t="s">
        <v>131</v>
      </c>
      <c r="C36" s="118" t="s">
        <v>132</v>
      </c>
      <c r="D36" s="118"/>
      <c r="E36" s="118"/>
      <c r="F36" s="118"/>
      <c r="G36" s="118"/>
      <c r="H36" s="118"/>
      <c r="I36" s="118"/>
      <c r="J36" s="118"/>
      <c r="K36" s="118"/>
      <c r="L36" s="95">
        <v>3</v>
      </c>
    </row>
    <row r="37" spans="1:12" ht="45" x14ac:dyDescent="0.2">
      <c r="A37" s="10" t="s">
        <v>133</v>
      </c>
      <c r="B37" s="96" t="s">
        <v>134</v>
      </c>
      <c r="C37" s="118">
        <v>15564</v>
      </c>
      <c r="D37" s="118"/>
      <c r="E37" s="118"/>
      <c r="F37" s="118"/>
      <c r="G37" s="118"/>
      <c r="H37" s="118"/>
      <c r="I37" s="118"/>
      <c r="J37" s="118"/>
      <c r="K37" s="118"/>
      <c r="L37" s="95">
        <v>1</v>
      </c>
    </row>
    <row r="38" spans="1:12" ht="30" x14ac:dyDescent="0.2">
      <c r="A38" s="10" t="s">
        <v>135</v>
      </c>
      <c r="B38" s="96" t="s">
        <v>136</v>
      </c>
      <c r="C38" s="118">
        <v>3643</v>
      </c>
      <c r="D38" s="118"/>
      <c r="E38" s="118"/>
      <c r="F38" s="118"/>
      <c r="G38" s="118"/>
      <c r="H38" s="118"/>
      <c r="I38" s="118"/>
      <c r="J38" s="118"/>
      <c r="K38" s="118"/>
      <c r="L38" s="95">
        <v>1</v>
      </c>
    </row>
    <row r="39" spans="1:12" ht="30" x14ac:dyDescent="0.2">
      <c r="A39" s="94" t="s">
        <v>137</v>
      </c>
      <c r="B39" s="97" t="s">
        <v>138</v>
      </c>
      <c r="C39" s="118">
        <v>3533</v>
      </c>
      <c r="D39" s="118"/>
      <c r="E39" s="118"/>
      <c r="F39" s="118"/>
      <c r="G39" s="118"/>
      <c r="H39" s="118"/>
      <c r="I39" s="118"/>
      <c r="J39" s="118"/>
      <c r="K39" s="118"/>
      <c r="L39" s="95">
        <v>1</v>
      </c>
    </row>
  </sheetData>
  <mergeCells count="13">
    <mergeCell ref="B25:L25"/>
    <mergeCell ref="B28:L28"/>
    <mergeCell ref="C39:K39"/>
    <mergeCell ref="C35:K35"/>
    <mergeCell ref="C34:K34"/>
    <mergeCell ref="B27:L27"/>
    <mergeCell ref="C32:K32"/>
    <mergeCell ref="C31:K31"/>
    <mergeCell ref="C38:K38"/>
    <mergeCell ref="B26:L26"/>
    <mergeCell ref="C33:K33"/>
    <mergeCell ref="C37:K37"/>
    <mergeCell ref="C36:K36"/>
  </mergeCells>
  <conditionalFormatting sqref="B6:R22">
    <cfRule type="cellIs" dxfId="19" priority="1" operator="equal">
      <formula>0</formula>
    </cfRule>
    <cfRule type="cellIs" dxfId="18" priority="2" operator="equal">
      <formula>120</formula>
    </cfRule>
    <cfRule type="cellIs" dxfId="17" priority="3" operator="equal">
      <formula>180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sheetPr>
  <dimension ref="A1:S488"/>
  <sheetViews>
    <sheetView showGridLines="0" workbookViewId="0">
      <selection activeCell="F5" sqref="F5"/>
    </sheetView>
  </sheetViews>
  <sheetFormatPr baseColWidth="10" defaultColWidth="8.83203125" defaultRowHeight="15" x14ac:dyDescent="0.2"/>
  <cols>
    <col min="1" max="1" width="8" customWidth="1"/>
    <col min="2" max="2" width="20" customWidth="1"/>
    <col min="3" max="3" width="12" customWidth="1"/>
    <col min="4" max="4" width="3" customWidth="1"/>
    <col min="5" max="5" width="9" customWidth="1"/>
    <col min="6" max="16" width="7.5" customWidth="1"/>
    <col min="17" max="17" width="9" customWidth="1"/>
    <col min="18" max="18" width="3" customWidth="1"/>
    <col min="19" max="19" width="46" customWidth="1"/>
  </cols>
  <sheetData>
    <row r="1" spans="1:19" ht="26" customHeight="1" x14ac:dyDescent="0.3">
      <c r="A1" s="1" t="s">
        <v>139</v>
      </c>
    </row>
    <row r="2" spans="1:19" x14ac:dyDescent="0.2">
      <c r="A2" s="143" t="s">
        <v>420</v>
      </c>
    </row>
    <row r="4" spans="1:19" x14ac:dyDescent="0.2">
      <c r="S4" s="30" t="s">
        <v>140</v>
      </c>
    </row>
    <row r="5" spans="1:19" x14ac:dyDescent="0.2">
      <c r="A5" s="122" t="s">
        <v>141</v>
      </c>
      <c r="B5" s="113"/>
      <c r="C5" s="113"/>
      <c r="S5" s="31" t="s">
        <v>142</v>
      </c>
    </row>
    <row r="6" spans="1:19" ht="19" x14ac:dyDescent="0.2">
      <c r="A6" s="123" t="s">
        <v>143</v>
      </c>
      <c r="B6" s="113"/>
      <c r="C6" s="33">
        <f>SUMPRODUCT($F$11:$N$19,$F$26:$N$34)</f>
        <v>840</v>
      </c>
      <c r="S6" s="34" t="s">
        <v>144</v>
      </c>
    </row>
    <row r="7" spans="1:19" x14ac:dyDescent="0.2">
      <c r="A7" s="123" t="s">
        <v>145</v>
      </c>
      <c r="B7" s="113"/>
      <c r="C7" s="35">
        <f>(COUNTA($B$12:$B$19)-1)*_xlfn.MINIFS($F$11:$N$19,$F$11:$N$19,"&gt;0")</f>
        <v>840</v>
      </c>
      <c r="S7" s="34"/>
    </row>
    <row r="8" spans="1:19" ht="42" customHeight="1" x14ac:dyDescent="0.2">
      <c r="A8" s="123" t="s">
        <v>146</v>
      </c>
      <c r="B8" s="113"/>
      <c r="C8" s="36" t="str">
        <f>IF(AND(ABS($C$6-$C$7)&lt;0.000001,$E$51=0,$E$50&lt;=8,COUNTIF($O$26:$O$34,1)=9,COUNTIF($F$35:$N$35,1)=9),"Alcanza cota; verificar productos","REVISAR")</f>
        <v>Alcanza cota; verificar productos</v>
      </c>
      <c r="S8" s="31" t="s">
        <v>147</v>
      </c>
    </row>
    <row r="9" spans="1:19" x14ac:dyDescent="0.2">
      <c r="S9" s="34" t="s">
        <v>148</v>
      </c>
    </row>
    <row r="10" spans="1:19" ht="18" customHeight="1" x14ac:dyDescent="0.2">
      <c r="A10" s="9" t="s">
        <v>149</v>
      </c>
      <c r="B10" s="9" t="s">
        <v>116</v>
      </c>
      <c r="C10" s="9" t="s">
        <v>150</v>
      </c>
      <c r="E10" s="9" t="s">
        <v>151</v>
      </c>
      <c r="F10" s="9">
        <v>0</v>
      </c>
      <c r="G10" s="9">
        <v>1</v>
      </c>
      <c r="H10" s="9">
        <v>2</v>
      </c>
      <c r="I10" s="9">
        <v>3</v>
      </c>
      <c r="J10" s="9">
        <v>4</v>
      </c>
      <c r="K10" s="9">
        <v>5</v>
      </c>
      <c r="L10" s="9">
        <v>6</v>
      </c>
      <c r="M10" s="9">
        <v>7</v>
      </c>
      <c r="N10" s="9">
        <v>8</v>
      </c>
      <c r="S10" s="34" t="s">
        <v>152</v>
      </c>
    </row>
    <row r="11" spans="1:19" ht="16" x14ac:dyDescent="0.2">
      <c r="A11" s="10">
        <v>0</v>
      </c>
      <c r="B11" s="37" t="s">
        <v>153</v>
      </c>
      <c r="C11" s="38" t="s">
        <v>154</v>
      </c>
      <c r="E11" s="9">
        <v>0</v>
      </c>
      <c r="F11" s="14">
        <v>0</v>
      </c>
      <c r="G11" s="14">
        <v>0</v>
      </c>
      <c r="H11" s="14">
        <v>0</v>
      </c>
      <c r="I11" s="14">
        <v>0</v>
      </c>
      <c r="J11" s="14">
        <v>0</v>
      </c>
      <c r="K11" s="14">
        <v>0</v>
      </c>
      <c r="L11" s="14">
        <v>0</v>
      </c>
      <c r="M11" s="14">
        <v>0</v>
      </c>
      <c r="N11" s="14">
        <v>0</v>
      </c>
      <c r="S11" s="34"/>
    </row>
    <row r="12" spans="1:19" x14ac:dyDescent="0.2">
      <c r="A12" s="10">
        <v>1</v>
      </c>
      <c r="B12" s="39" t="s">
        <v>121</v>
      </c>
      <c r="C12" s="10">
        <v>3757</v>
      </c>
      <c r="E12" s="9">
        <v>1</v>
      </c>
      <c r="F12" s="14">
        <v>0</v>
      </c>
      <c r="G12" s="14">
        <v>0</v>
      </c>
      <c r="H12" s="14">
        <f>_xlfn.MINIFS($C$200:$C$488,$D$200:$D$488,$C$12,$E$200:$E$488,$C$13)</f>
        <v>180</v>
      </c>
      <c r="I12" s="14">
        <f>_xlfn.MINIFS($C$200:$C$488,$D$200:$D$488,$C$12,$E$200:$E$488,$C$14)</f>
        <v>120</v>
      </c>
      <c r="J12" s="14">
        <f>_xlfn.MINIFS($C$200:$C$488,$D$200:$D$488,$C$12,$E$200:$E$488,$C$15)</f>
        <v>180</v>
      </c>
      <c r="K12" s="14">
        <f>_xlfn.MINIFS($C$200:$C$488,$D$200:$D$488,$C$12,$E$200:$E$488,$C$16)</f>
        <v>120</v>
      </c>
      <c r="L12" s="14">
        <f>_xlfn.MINIFS($C$200:$C$488,$D$200:$D$488,$C$12,$E$200:$E$488,$C$17)</f>
        <v>180</v>
      </c>
      <c r="M12" s="14">
        <f>_xlfn.MINIFS($C$200:$C$488,$D$200:$D$488,$C$12,$E$200:$E$488,$C$18)</f>
        <v>180</v>
      </c>
      <c r="N12" s="14">
        <f>_xlfn.MINIFS($C$200:$C$488,$D$200:$D$488,$C$12,$E$200:$E$488,$C$19)</f>
        <v>120</v>
      </c>
      <c r="S12" s="31" t="s">
        <v>155</v>
      </c>
    </row>
    <row r="13" spans="1:19" x14ac:dyDescent="0.2">
      <c r="A13" s="10">
        <v>2</v>
      </c>
      <c r="B13" s="39" t="s">
        <v>124</v>
      </c>
      <c r="C13" s="10">
        <v>6639</v>
      </c>
      <c r="E13" s="9">
        <v>2</v>
      </c>
      <c r="F13" s="14">
        <v>0</v>
      </c>
      <c r="G13" s="14">
        <f>_xlfn.MINIFS($C$200:$C$488,$D$200:$D$488,$C$13,$E$200:$E$488,$C$12)</f>
        <v>180</v>
      </c>
      <c r="H13" s="14">
        <v>0</v>
      </c>
      <c r="I13" s="14">
        <f>_xlfn.MINIFS($C$200:$C$488,$D$200:$D$488,$C$13,$E$200:$E$488,$C$14)</f>
        <v>120</v>
      </c>
      <c r="J13" s="14">
        <f>_xlfn.MINIFS($C$200:$C$488,$D$200:$D$488,$C$13,$E$200:$E$488,$C$15)</f>
        <v>120</v>
      </c>
      <c r="K13" s="14">
        <f>_xlfn.MINIFS($C$200:$C$488,$D$200:$D$488,$C$13,$E$200:$E$488,$C$16)</f>
        <v>120</v>
      </c>
      <c r="L13" s="14">
        <f>_xlfn.MINIFS($C$200:$C$488,$D$200:$D$488,$C$13,$E$200:$E$488,$C$17)</f>
        <v>120</v>
      </c>
      <c r="M13" s="14">
        <f>_xlfn.MINIFS($C$200:$C$488,$D$200:$D$488,$C$13,$E$200:$E$488,$C$18)</f>
        <v>120</v>
      </c>
      <c r="N13" s="14">
        <f>_xlfn.MINIFS($C$200:$C$488,$D$200:$D$488,$C$13,$E$200:$E$488,$C$19)</f>
        <v>120</v>
      </c>
      <c r="S13" s="34" t="s">
        <v>156</v>
      </c>
    </row>
    <row r="14" spans="1:19" x14ac:dyDescent="0.2">
      <c r="A14" s="10">
        <v>3</v>
      </c>
      <c r="B14" s="39" t="s">
        <v>126</v>
      </c>
      <c r="C14" s="10">
        <v>3278</v>
      </c>
      <c r="E14" s="9">
        <v>3</v>
      </c>
      <c r="F14" s="14">
        <v>0</v>
      </c>
      <c r="G14" s="14">
        <f>_xlfn.MINIFS($C$200:$C$488,$D$200:$D$488,$C$14,$E$200:$E$488,$C$12)</f>
        <v>120</v>
      </c>
      <c r="H14" s="14">
        <f>_xlfn.MINIFS($C$200:$C$488,$D$200:$D$488,$C$14,$E$200:$E$488,$C$13)</f>
        <v>120</v>
      </c>
      <c r="I14" s="14">
        <v>0</v>
      </c>
      <c r="J14" s="14">
        <f>_xlfn.MINIFS($C$200:$C$488,$D$200:$D$488,$C$14,$E$200:$E$488,$C$15)</f>
        <v>120</v>
      </c>
      <c r="K14" s="14">
        <f>_xlfn.MINIFS($C$200:$C$488,$D$200:$D$488,$C$14,$E$200:$E$488,$C$16)</f>
        <v>120</v>
      </c>
      <c r="L14" s="14">
        <f>_xlfn.MINIFS($C$200:$C$488,$D$200:$D$488,$C$14,$E$200:$E$488,$C$17)</f>
        <v>120</v>
      </c>
      <c r="M14" s="14">
        <f>_xlfn.MINIFS($C$200:$C$488,$D$200:$D$488,$C$14,$E$200:$E$488,$C$18)</f>
        <v>120</v>
      </c>
      <c r="N14" s="14">
        <f>_xlfn.MINIFS($C$200:$C$488,$D$200:$D$488,$C$14,$E$200:$E$488,$C$19)</f>
        <v>120</v>
      </c>
      <c r="S14" s="34" t="s">
        <v>157</v>
      </c>
    </row>
    <row r="15" spans="1:19" x14ac:dyDescent="0.2">
      <c r="A15" s="10">
        <v>4</v>
      </c>
      <c r="B15" s="39" t="s">
        <v>129</v>
      </c>
      <c r="C15" s="10">
        <v>6743</v>
      </c>
      <c r="E15" s="9">
        <v>4</v>
      </c>
      <c r="F15" s="14">
        <v>0</v>
      </c>
      <c r="G15" s="14">
        <f>_xlfn.MINIFS($C$200:$C$488,$D$200:$D$488,$C$15,$E$200:$E$488,$C$12)</f>
        <v>180</v>
      </c>
      <c r="H15" s="14">
        <f>_xlfn.MINIFS($C$200:$C$488,$D$200:$D$488,$C$15,$E$200:$E$488,$C$13)</f>
        <v>120</v>
      </c>
      <c r="I15" s="14">
        <f>_xlfn.MINIFS($C$200:$C$488,$D$200:$D$488,$C$15,$E$200:$E$488,$C$14)</f>
        <v>120</v>
      </c>
      <c r="J15" s="14">
        <v>0</v>
      </c>
      <c r="K15" s="14">
        <f>_xlfn.MINIFS($C$200:$C$488,$D$200:$D$488,$C$15,$E$200:$E$488,$C$16)</f>
        <v>120</v>
      </c>
      <c r="L15" s="14">
        <f>_xlfn.MINIFS($C$200:$C$488,$D$200:$D$488,$C$15,$E$200:$E$488,$C$17)</f>
        <v>120</v>
      </c>
      <c r="M15" s="14">
        <f>_xlfn.MINIFS($C$200:$C$488,$D$200:$D$488,$C$15,$E$200:$E$488,$C$18)</f>
        <v>120</v>
      </c>
      <c r="N15" s="14">
        <f>_xlfn.MINIFS($C$200:$C$488,$D$200:$D$488,$C$15,$E$200:$E$488,$C$19)</f>
        <v>120</v>
      </c>
      <c r="S15" s="34"/>
    </row>
    <row r="16" spans="1:19" x14ac:dyDescent="0.2">
      <c r="A16" s="10">
        <v>5</v>
      </c>
      <c r="B16" s="39" t="s">
        <v>131</v>
      </c>
      <c r="C16" s="10">
        <v>5998</v>
      </c>
      <c r="E16" s="9">
        <v>5</v>
      </c>
      <c r="F16" s="14">
        <v>0</v>
      </c>
      <c r="G16" s="14">
        <f>_xlfn.MINIFS($C$200:$C$488,$D$200:$D$488,$C$16,$E$200:$E$488,$C$12)</f>
        <v>120</v>
      </c>
      <c r="H16" s="14">
        <f>_xlfn.MINIFS($C$200:$C$488,$D$200:$D$488,$C$16,$E$200:$E$488,$C$13)</f>
        <v>120</v>
      </c>
      <c r="I16" s="14">
        <f>_xlfn.MINIFS($C$200:$C$488,$D$200:$D$488,$C$16,$E$200:$E$488,$C$14)</f>
        <v>120</v>
      </c>
      <c r="J16" s="14">
        <f>_xlfn.MINIFS($C$200:$C$488,$D$200:$D$488,$C$16,$E$200:$E$488,$C$15)</f>
        <v>120</v>
      </c>
      <c r="K16" s="14">
        <v>0</v>
      </c>
      <c r="L16" s="14">
        <f>_xlfn.MINIFS($C$200:$C$488,$D$200:$D$488,$C$16,$E$200:$E$488,$C$17)</f>
        <v>120</v>
      </c>
      <c r="M16" s="14">
        <f>_xlfn.MINIFS($C$200:$C$488,$D$200:$D$488,$C$16,$E$200:$E$488,$C$18)</f>
        <v>120</v>
      </c>
      <c r="N16" s="14">
        <f>_xlfn.MINIFS($C$200:$C$488,$D$200:$D$488,$C$16,$E$200:$E$488,$C$19)</f>
        <v>120</v>
      </c>
      <c r="S16" s="31" t="s">
        <v>158</v>
      </c>
    </row>
    <row r="17" spans="1:19" x14ac:dyDescent="0.2">
      <c r="A17" s="10">
        <v>6</v>
      </c>
      <c r="B17" s="39" t="s">
        <v>134</v>
      </c>
      <c r="C17" s="10">
        <v>15564</v>
      </c>
      <c r="E17" s="9">
        <v>6</v>
      </c>
      <c r="F17" s="14">
        <v>0</v>
      </c>
      <c r="G17" s="14">
        <f>_xlfn.MINIFS($C$200:$C$488,$D$200:$D$488,$C$17,$E$200:$E$488,$C$12)</f>
        <v>180</v>
      </c>
      <c r="H17" s="14">
        <f>_xlfn.MINIFS($C$200:$C$488,$D$200:$D$488,$C$17,$E$200:$E$488,$C$13)</f>
        <v>120</v>
      </c>
      <c r="I17" s="14">
        <f>_xlfn.MINIFS($C$200:$C$488,$D$200:$D$488,$C$17,$E$200:$E$488,$C$14)</f>
        <v>120</v>
      </c>
      <c r="J17" s="14">
        <f>_xlfn.MINIFS($C$200:$C$488,$D$200:$D$488,$C$17,$E$200:$E$488,$C$15)</f>
        <v>120</v>
      </c>
      <c r="K17" s="14">
        <f>_xlfn.MINIFS($C$200:$C$488,$D$200:$D$488,$C$17,$E$200:$E$488,$C$16)</f>
        <v>120</v>
      </c>
      <c r="L17" s="14">
        <v>0</v>
      </c>
      <c r="M17" s="14">
        <f>_xlfn.MINIFS($C$200:$C$488,$D$200:$D$488,$C$17,$E$200:$E$488,$C$18)</f>
        <v>120</v>
      </c>
      <c r="N17" s="14">
        <f>_xlfn.MINIFS($C$200:$C$488,$D$200:$D$488,$C$17,$E$200:$E$488,$C$19)</f>
        <v>120</v>
      </c>
      <c r="S17" s="34" t="s">
        <v>159</v>
      </c>
    </row>
    <row r="18" spans="1:19" x14ac:dyDescent="0.2">
      <c r="A18" s="10">
        <v>7</v>
      </c>
      <c r="B18" s="39" t="s">
        <v>136</v>
      </c>
      <c r="C18" s="10">
        <v>3643</v>
      </c>
      <c r="E18" s="9">
        <v>7</v>
      </c>
      <c r="F18" s="14">
        <v>0</v>
      </c>
      <c r="G18" s="14">
        <f>_xlfn.MINIFS($C$200:$C$488,$D$200:$D$488,$C$18,$E$200:$E$488,$C$12)</f>
        <v>180</v>
      </c>
      <c r="H18" s="14">
        <f>_xlfn.MINIFS($C$200:$C$488,$D$200:$D$488,$C$18,$E$200:$E$488,$C$13)</f>
        <v>120</v>
      </c>
      <c r="I18" s="14">
        <f>_xlfn.MINIFS($C$200:$C$488,$D$200:$D$488,$C$18,$E$200:$E$488,$C$14)</f>
        <v>120</v>
      </c>
      <c r="J18" s="14">
        <f>_xlfn.MINIFS($C$200:$C$488,$D$200:$D$488,$C$18,$E$200:$E$488,$C$15)</f>
        <v>120</v>
      </c>
      <c r="K18" s="14">
        <f>_xlfn.MINIFS($C$200:$C$488,$D$200:$D$488,$C$18,$E$200:$E$488,$C$16)</f>
        <v>120</v>
      </c>
      <c r="L18" s="14">
        <f>_xlfn.MINIFS($C$200:$C$488,$D$200:$D$488,$C$18,$E$200:$E$488,$C$17)</f>
        <v>120</v>
      </c>
      <c r="M18" s="14">
        <v>0</v>
      </c>
      <c r="N18" s="14">
        <f>_xlfn.MINIFS($C$200:$C$488,$D$200:$D$488,$C$18,$E$200:$E$488,$C$19)</f>
        <v>120</v>
      </c>
      <c r="S18" s="34"/>
    </row>
    <row r="19" spans="1:19" x14ac:dyDescent="0.2">
      <c r="A19" s="10">
        <v>8</v>
      </c>
      <c r="B19" s="39" t="s">
        <v>138</v>
      </c>
      <c r="C19" s="10">
        <v>3533</v>
      </c>
      <c r="E19" s="9">
        <v>8</v>
      </c>
      <c r="F19" s="14">
        <v>0</v>
      </c>
      <c r="G19" s="14">
        <f>_xlfn.MINIFS($C$200:$C$488,$D$200:$D$488,$C$19,$E$200:$E$488,$C$12)</f>
        <v>120</v>
      </c>
      <c r="H19" s="14">
        <f>_xlfn.MINIFS($C$200:$C$488,$D$200:$D$488,$C$19,$E$200:$E$488,$C$13)</f>
        <v>120</v>
      </c>
      <c r="I19" s="14">
        <f>_xlfn.MINIFS($C$200:$C$488,$D$200:$D$488,$C$19,$E$200:$E$488,$C$14)</f>
        <v>120</v>
      </c>
      <c r="J19" s="14">
        <f>_xlfn.MINIFS($C$200:$C$488,$D$200:$D$488,$C$19,$E$200:$E$488,$C$15)</f>
        <v>120</v>
      </c>
      <c r="K19" s="14">
        <f>_xlfn.MINIFS($C$200:$C$488,$D$200:$D$488,$C$19,$E$200:$E$488,$C$16)</f>
        <v>120</v>
      </c>
      <c r="L19" s="14">
        <f>_xlfn.MINIFS($C$200:$C$488,$D$200:$D$488,$C$19,$E$200:$E$488,$C$17)</f>
        <v>120</v>
      </c>
      <c r="M19" s="14">
        <f>_xlfn.MINIFS($C$200:$C$488,$D$200:$D$488,$C$19,$E$200:$E$488,$C$18)</f>
        <v>120</v>
      </c>
      <c r="N19" s="14">
        <v>0</v>
      </c>
      <c r="S19" s="31" t="s">
        <v>160</v>
      </c>
    </row>
    <row r="20" spans="1:19" x14ac:dyDescent="0.2">
      <c r="S20" s="34" t="s">
        <v>161</v>
      </c>
    </row>
    <row r="21" spans="1:19" x14ac:dyDescent="0.2">
      <c r="S21" s="34" t="s">
        <v>162</v>
      </c>
    </row>
    <row r="22" spans="1:19" x14ac:dyDescent="0.2">
      <c r="S22" s="34" t="s">
        <v>163</v>
      </c>
    </row>
    <row r="23" spans="1:19" x14ac:dyDescent="0.2">
      <c r="S23" s="34" t="s">
        <v>164</v>
      </c>
    </row>
    <row r="24" spans="1:19" x14ac:dyDescent="0.2">
      <c r="A24" s="122" t="s">
        <v>165</v>
      </c>
      <c r="B24" s="113"/>
      <c r="C24" s="113"/>
      <c r="D24" s="113"/>
      <c r="S24" s="34" t="s">
        <v>166</v>
      </c>
    </row>
    <row r="25" spans="1:19" x14ac:dyDescent="0.2">
      <c r="E25" s="9" t="s">
        <v>167</v>
      </c>
      <c r="F25" s="9">
        <v>0</v>
      </c>
      <c r="G25" s="9">
        <v>1</v>
      </c>
      <c r="H25" s="9">
        <v>2</v>
      </c>
      <c r="I25" s="9">
        <v>3</v>
      </c>
      <c r="J25" s="9">
        <v>4</v>
      </c>
      <c r="K25" s="9">
        <v>5</v>
      </c>
      <c r="L25" s="9">
        <v>6</v>
      </c>
      <c r="M25" s="9">
        <v>7</v>
      </c>
      <c r="N25" s="9">
        <v>8</v>
      </c>
      <c r="O25" s="40" t="s">
        <v>168</v>
      </c>
      <c r="P25" s="41" t="s">
        <v>169</v>
      </c>
      <c r="Q25" s="40" t="s">
        <v>170</v>
      </c>
      <c r="S25" s="34"/>
    </row>
    <row r="26" spans="1:19" x14ac:dyDescent="0.2">
      <c r="E26" s="9">
        <v>0</v>
      </c>
      <c r="F26" s="42">
        <v>0</v>
      </c>
      <c r="G26" s="42">
        <v>0</v>
      </c>
      <c r="H26" s="42">
        <v>0</v>
      </c>
      <c r="I26" s="42">
        <v>0</v>
      </c>
      <c r="J26" s="42">
        <v>0</v>
      </c>
      <c r="K26" s="42">
        <v>0</v>
      </c>
      <c r="L26" s="42">
        <v>0</v>
      </c>
      <c r="M26" s="42">
        <v>0</v>
      </c>
      <c r="N26" s="42">
        <v>1</v>
      </c>
      <c r="O26" s="14">
        <f t="shared" ref="O26:O34" si="0">SUM(F26:N26)</f>
        <v>1</v>
      </c>
      <c r="P26" s="14">
        <v>1</v>
      </c>
      <c r="Q26" s="43">
        <v>0</v>
      </c>
      <c r="S26" s="31" t="s">
        <v>171</v>
      </c>
    </row>
    <row r="27" spans="1:19" x14ac:dyDescent="0.2">
      <c r="E27" s="9">
        <v>1</v>
      </c>
      <c r="F27" s="42">
        <v>1</v>
      </c>
      <c r="G27" s="42">
        <v>0</v>
      </c>
      <c r="H27" s="42">
        <v>0</v>
      </c>
      <c r="I27" s="42">
        <v>0</v>
      </c>
      <c r="J27" s="42">
        <v>0</v>
      </c>
      <c r="K27" s="42">
        <v>0</v>
      </c>
      <c r="L27" s="42">
        <v>0</v>
      </c>
      <c r="M27" s="42">
        <v>0</v>
      </c>
      <c r="N27" s="42">
        <v>0</v>
      </c>
      <c r="O27" s="14">
        <f t="shared" si="0"/>
        <v>1</v>
      </c>
      <c r="P27" s="14">
        <v>1</v>
      </c>
      <c r="Q27" s="42">
        <v>8</v>
      </c>
      <c r="S27" s="34" t="s">
        <v>172</v>
      </c>
    </row>
    <row r="28" spans="1:19" x14ac:dyDescent="0.2">
      <c r="E28" s="9">
        <v>2</v>
      </c>
      <c r="F28" s="42">
        <v>0</v>
      </c>
      <c r="G28" s="42">
        <v>0</v>
      </c>
      <c r="H28" s="42">
        <v>0</v>
      </c>
      <c r="I28" s="42">
        <v>1</v>
      </c>
      <c r="J28" s="42">
        <v>0</v>
      </c>
      <c r="K28" s="42">
        <v>0</v>
      </c>
      <c r="L28" s="42">
        <v>0</v>
      </c>
      <c r="M28" s="42">
        <v>0</v>
      </c>
      <c r="N28" s="42">
        <v>0</v>
      </c>
      <c r="O28" s="14">
        <f t="shared" si="0"/>
        <v>1</v>
      </c>
      <c r="P28" s="14">
        <v>1</v>
      </c>
      <c r="Q28" s="42">
        <v>6</v>
      </c>
      <c r="S28" s="34" t="s">
        <v>173</v>
      </c>
    </row>
    <row r="29" spans="1:19" x14ac:dyDescent="0.2">
      <c r="E29" s="9">
        <v>3</v>
      </c>
      <c r="F29" s="42">
        <v>0</v>
      </c>
      <c r="G29" s="42">
        <v>1</v>
      </c>
      <c r="H29" s="42">
        <v>0</v>
      </c>
      <c r="I29" s="42">
        <v>0</v>
      </c>
      <c r="J29" s="42">
        <v>0</v>
      </c>
      <c r="K29" s="42">
        <v>0</v>
      </c>
      <c r="L29" s="42">
        <v>0</v>
      </c>
      <c r="M29" s="42">
        <v>0</v>
      </c>
      <c r="N29" s="42">
        <v>0</v>
      </c>
      <c r="O29" s="14">
        <f t="shared" si="0"/>
        <v>1</v>
      </c>
      <c r="P29" s="14">
        <v>1</v>
      </c>
      <c r="Q29" s="42">
        <v>7</v>
      </c>
      <c r="S29" s="34" t="s">
        <v>174</v>
      </c>
    </row>
    <row r="30" spans="1:19" x14ac:dyDescent="0.2">
      <c r="E30" s="9">
        <v>4</v>
      </c>
      <c r="F30" s="42">
        <v>0</v>
      </c>
      <c r="G30" s="42">
        <v>0</v>
      </c>
      <c r="H30" s="42">
        <v>1</v>
      </c>
      <c r="I30" s="42">
        <v>0</v>
      </c>
      <c r="J30" s="42">
        <v>0</v>
      </c>
      <c r="K30" s="42">
        <v>0</v>
      </c>
      <c r="L30" s="42">
        <v>0</v>
      </c>
      <c r="M30" s="42">
        <v>0</v>
      </c>
      <c r="N30" s="42">
        <v>0</v>
      </c>
      <c r="O30" s="14">
        <f t="shared" si="0"/>
        <v>1</v>
      </c>
      <c r="P30" s="14">
        <v>1</v>
      </c>
      <c r="Q30" s="42">
        <v>5</v>
      </c>
      <c r="S30" s="34" t="s">
        <v>175</v>
      </c>
    </row>
    <row r="31" spans="1:19" x14ac:dyDescent="0.2">
      <c r="E31" s="9">
        <v>5</v>
      </c>
      <c r="F31" s="42">
        <v>0</v>
      </c>
      <c r="G31" s="42">
        <v>0</v>
      </c>
      <c r="H31" s="42">
        <v>0</v>
      </c>
      <c r="I31" s="42">
        <v>0</v>
      </c>
      <c r="J31" s="42">
        <v>1</v>
      </c>
      <c r="K31" s="42">
        <v>0</v>
      </c>
      <c r="L31" s="42">
        <v>0</v>
      </c>
      <c r="M31" s="42">
        <v>0</v>
      </c>
      <c r="N31" s="42">
        <v>0</v>
      </c>
      <c r="O31" s="14">
        <f t="shared" si="0"/>
        <v>1</v>
      </c>
      <c r="P31" s="14">
        <v>1</v>
      </c>
      <c r="Q31" s="42">
        <v>4</v>
      </c>
      <c r="S31" s="34"/>
    </row>
    <row r="32" spans="1:19" x14ac:dyDescent="0.2">
      <c r="E32" s="9">
        <v>6</v>
      </c>
      <c r="F32" s="42">
        <v>0</v>
      </c>
      <c r="G32" s="42">
        <v>0</v>
      </c>
      <c r="H32" s="42">
        <v>0</v>
      </c>
      <c r="I32" s="42">
        <v>0</v>
      </c>
      <c r="J32" s="42">
        <v>0</v>
      </c>
      <c r="K32" s="42">
        <v>1</v>
      </c>
      <c r="L32" s="42">
        <v>0</v>
      </c>
      <c r="M32" s="42">
        <v>0</v>
      </c>
      <c r="N32" s="42">
        <v>0</v>
      </c>
      <c r="O32" s="14">
        <f t="shared" si="0"/>
        <v>1</v>
      </c>
      <c r="P32" s="14">
        <v>1</v>
      </c>
      <c r="Q32" s="42">
        <v>3</v>
      </c>
      <c r="S32" s="31" t="s">
        <v>176</v>
      </c>
    </row>
    <row r="33" spans="1:19" x14ac:dyDescent="0.2">
      <c r="E33" s="9">
        <v>7</v>
      </c>
      <c r="F33" s="42">
        <v>0</v>
      </c>
      <c r="G33" s="42">
        <v>0</v>
      </c>
      <c r="H33" s="42">
        <v>0</v>
      </c>
      <c r="I33" s="42">
        <v>0</v>
      </c>
      <c r="J33" s="42">
        <v>0</v>
      </c>
      <c r="K33" s="42">
        <v>0</v>
      </c>
      <c r="L33" s="42">
        <v>1</v>
      </c>
      <c r="M33" s="42">
        <v>0</v>
      </c>
      <c r="N33" s="42">
        <v>0</v>
      </c>
      <c r="O33" s="14">
        <f t="shared" si="0"/>
        <v>1</v>
      </c>
      <c r="P33" s="14">
        <v>1</v>
      </c>
      <c r="Q33" s="42">
        <v>2</v>
      </c>
      <c r="S33" s="34" t="s">
        <v>177</v>
      </c>
    </row>
    <row r="34" spans="1:19" x14ac:dyDescent="0.2">
      <c r="E34" s="9">
        <v>8</v>
      </c>
      <c r="F34" s="42">
        <v>0</v>
      </c>
      <c r="G34" s="42">
        <v>0</v>
      </c>
      <c r="H34" s="42">
        <v>0</v>
      </c>
      <c r="I34" s="42">
        <v>0</v>
      </c>
      <c r="J34" s="42">
        <v>0</v>
      </c>
      <c r="K34" s="42">
        <v>0</v>
      </c>
      <c r="L34" s="42">
        <v>0</v>
      </c>
      <c r="M34" s="42">
        <v>1</v>
      </c>
      <c r="N34" s="42">
        <v>0</v>
      </c>
      <c r="O34" s="14">
        <f t="shared" si="0"/>
        <v>1</v>
      </c>
      <c r="P34" s="14">
        <v>1</v>
      </c>
      <c r="Q34" s="42">
        <v>1</v>
      </c>
      <c r="S34" s="34" t="s">
        <v>178</v>
      </c>
    </row>
    <row r="35" spans="1:19" x14ac:dyDescent="0.2">
      <c r="E35" s="40" t="s">
        <v>179</v>
      </c>
      <c r="F35" s="14">
        <f t="shared" ref="F35:N35" si="1">SUM(F26:F34)</f>
        <v>1</v>
      </c>
      <c r="G35" s="14">
        <f t="shared" si="1"/>
        <v>1</v>
      </c>
      <c r="H35" s="14">
        <f t="shared" si="1"/>
        <v>1</v>
      </c>
      <c r="I35" s="14">
        <f t="shared" si="1"/>
        <v>1</v>
      </c>
      <c r="J35" s="14">
        <f t="shared" si="1"/>
        <v>1</v>
      </c>
      <c r="K35" s="14">
        <f t="shared" si="1"/>
        <v>1</v>
      </c>
      <c r="L35" s="14">
        <f t="shared" si="1"/>
        <v>1</v>
      </c>
      <c r="M35" s="14">
        <f t="shared" si="1"/>
        <v>1</v>
      </c>
      <c r="N35" s="14">
        <f t="shared" si="1"/>
        <v>1</v>
      </c>
      <c r="S35" s="34" t="s">
        <v>180</v>
      </c>
    </row>
    <row r="36" spans="1:19" x14ac:dyDescent="0.2">
      <c r="E36" s="41" t="s">
        <v>169</v>
      </c>
      <c r="F36" s="14">
        <v>1</v>
      </c>
      <c r="G36" s="14">
        <v>1</v>
      </c>
      <c r="H36" s="14">
        <v>1</v>
      </c>
      <c r="I36" s="14">
        <v>1</v>
      </c>
      <c r="J36" s="14">
        <v>1</v>
      </c>
      <c r="K36" s="14">
        <v>1</v>
      </c>
      <c r="L36" s="14">
        <v>1</v>
      </c>
      <c r="M36" s="14">
        <v>1</v>
      </c>
      <c r="N36" s="14">
        <v>1</v>
      </c>
      <c r="S36" s="34" t="s">
        <v>181</v>
      </c>
    </row>
    <row r="39" spans="1:19" x14ac:dyDescent="0.2">
      <c r="A39" s="122" t="s">
        <v>182</v>
      </c>
      <c r="B39" s="113"/>
      <c r="C39" s="113"/>
      <c r="D39" s="113"/>
    </row>
    <row r="40" spans="1:19" x14ac:dyDescent="0.2">
      <c r="E40" s="9" t="s">
        <v>183</v>
      </c>
      <c r="F40" s="9">
        <v>1</v>
      </c>
      <c r="G40" s="9">
        <v>2</v>
      </c>
      <c r="H40" s="9">
        <v>3</v>
      </c>
      <c r="I40" s="9">
        <v>4</v>
      </c>
      <c r="J40" s="9">
        <v>5</v>
      </c>
      <c r="K40" s="9">
        <v>6</v>
      </c>
      <c r="L40" s="9">
        <v>7</v>
      </c>
      <c r="M40" s="9">
        <v>8</v>
      </c>
    </row>
    <row r="41" spans="1:19" x14ac:dyDescent="0.2">
      <c r="E41" s="9">
        <v>1</v>
      </c>
      <c r="F41" s="14">
        <v>0</v>
      </c>
      <c r="G41" s="14">
        <f>$Q$27-$Q$28+9*H27</f>
        <v>2</v>
      </c>
      <c r="H41" s="14">
        <f>$Q$27-$Q$29+9*I27</f>
        <v>1</v>
      </c>
      <c r="I41" s="14">
        <f>$Q$27-$Q$30+9*J27</f>
        <v>3</v>
      </c>
      <c r="J41" s="14">
        <f>$Q$27-$Q$31+9*K27</f>
        <v>4</v>
      </c>
      <c r="K41" s="14">
        <f>$Q$27-$Q$32+9*L27</f>
        <v>5</v>
      </c>
      <c r="L41" s="14">
        <f>$Q$27-$Q$33+9*M27</f>
        <v>6</v>
      </c>
      <c r="M41" s="14">
        <f>$Q$27-$Q$34+9*N27</f>
        <v>7</v>
      </c>
    </row>
    <row r="42" spans="1:19" x14ac:dyDescent="0.2">
      <c r="E42" s="9">
        <v>2</v>
      </c>
      <c r="F42" s="14">
        <f>$Q$28-$Q$27+9*G28</f>
        <v>-2</v>
      </c>
      <c r="G42" s="14">
        <v>0</v>
      </c>
      <c r="H42" s="14">
        <f>$Q$28-$Q$29+9*I28</f>
        <v>8</v>
      </c>
      <c r="I42" s="14">
        <f>$Q$28-$Q$30+9*J28</f>
        <v>1</v>
      </c>
      <c r="J42" s="14">
        <f>$Q$28-$Q$31+9*K28</f>
        <v>2</v>
      </c>
      <c r="K42" s="14">
        <f>$Q$28-$Q$32+9*L28</f>
        <v>3</v>
      </c>
      <c r="L42" s="14">
        <f>$Q$28-$Q$33+9*M28</f>
        <v>4</v>
      </c>
      <c r="M42" s="14">
        <f>$Q$28-$Q$34+9*N28</f>
        <v>5</v>
      </c>
    </row>
    <row r="43" spans="1:19" x14ac:dyDescent="0.2">
      <c r="E43" s="9">
        <v>3</v>
      </c>
      <c r="F43" s="14">
        <f>$Q$29-$Q$27+9*G29</f>
        <v>8</v>
      </c>
      <c r="G43" s="14">
        <f>$Q$29-$Q$28+9*H29</f>
        <v>1</v>
      </c>
      <c r="H43" s="14">
        <v>0</v>
      </c>
      <c r="I43" s="14">
        <f>$Q$29-$Q$30+9*J29</f>
        <v>2</v>
      </c>
      <c r="J43" s="14">
        <f>$Q$29-$Q$31+9*K29</f>
        <v>3</v>
      </c>
      <c r="K43" s="14">
        <f>$Q$29-$Q$32+9*L29</f>
        <v>4</v>
      </c>
      <c r="L43" s="14">
        <f>$Q$29-$Q$33+9*M29</f>
        <v>5</v>
      </c>
      <c r="M43" s="14">
        <f>$Q$29-$Q$34+9*N29</f>
        <v>6</v>
      </c>
    </row>
    <row r="44" spans="1:19" x14ac:dyDescent="0.2">
      <c r="E44" s="9">
        <v>4</v>
      </c>
      <c r="F44" s="14">
        <f>$Q$30-$Q$27+9*G30</f>
        <v>-3</v>
      </c>
      <c r="G44" s="14">
        <f>$Q$30-$Q$28+9*H30</f>
        <v>8</v>
      </c>
      <c r="H44" s="14">
        <f>$Q$30-$Q$29+9*I30</f>
        <v>-2</v>
      </c>
      <c r="I44" s="14">
        <v>0</v>
      </c>
      <c r="J44" s="14">
        <f>$Q$30-$Q$31+9*K30</f>
        <v>1</v>
      </c>
      <c r="K44" s="14">
        <f>$Q$30-$Q$32+9*L30</f>
        <v>2</v>
      </c>
      <c r="L44" s="14">
        <f>$Q$30-$Q$33+9*M30</f>
        <v>3</v>
      </c>
      <c r="M44" s="14">
        <f>$Q$30-$Q$34+9*N30</f>
        <v>4</v>
      </c>
    </row>
    <row r="45" spans="1:19" x14ac:dyDescent="0.2">
      <c r="E45" s="9">
        <v>5</v>
      </c>
      <c r="F45" s="14">
        <f>$Q$31-$Q$27+9*G31</f>
        <v>-4</v>
      </c>
      <c r="G45" s="14">
        <f>$Q$31-$Q$28+9*H31</f>
        <v>-2</v>
      </c>
      <c r="H45" s="14">
        <f>$Q$31-$Q$29+9*I31</f>
        <v>-3</v>
      </c>
      <c r="I45" s="14">
        <f>$Q$31-$Q$30+9*J31</f>
        <v>8</v>
      </c>
      <c r="J45" s="14">
        <v>0</v>
      </c>
      <c r="K45" s="14">
        <f>$Q$31-$Q$32+9*L31</f>
        <v>1</v>
      </c>
      <c r="L45" s="14">
        <f>$Q$31-$Q$33+9*M31</f>
        <v>2</v>
      </c>
      <c r="M45" s="14">
        <f>$Q$31-$Q$34+9*N31</f>
        <v>3</v>
      </c>
    </row>
    <row r="46" spans="1:19" x14ac:dyDescent="0.2">
      <c r="E46" s="9">
        <v>6</v>
      </c>
      <c r="F46" s="14">
        <f>$Q$32-$Q$27+9*G32</f>
        <v>-5</v>
      </c>
      <c r="G46" s="14">
        <f>$Q$32-$Q$28+9*H32</f>
        <v>-3</v>
      </c>
      <c r="H46" s="14">
        <f>$Q$32-$Q$29+9*I32</f>
        <v>-4</v>
      </c>
      <c r="I46" s="14">
        <f>$Q$32-$Q$30+9*J32</f>
        <v>-2</v>
      </c>
      <c r="J46" s="14">
        <f>$Q$32-$Q$31+9*K32</f>
        <v>8</v>
      </c>
      <c r="K46" s="14">
        <v>0</v>
      </c>
      <c r="L46" s="14">
        <f>$Q$32-$Q$33+9*M32</f>
        <v>1</v>
      </c>
      <c r="M46" s="14">
        <f>$Q$32-$Q$34+9*N32</f>
        <v>2</v>
      </c>
    </row>
    <row r="47" spans="1:19" x14ac:dyDescent="0.2">
      <c r="E47" s="9">
        <v>7</v>
      </c>
      <c r="F47" s="14">
        <f>$Q$33-$Q$27+9*G33</f>
        <v>-6</v>
      </c>
      <c r="G47" s="14">
        <f>$Q$33-$Q$28+9*H33</f>
        <v>-4</v>
      </c>
      <c r="H47" s="14">
        <f>$Q$33-$Q$29+9*I33</f>
        <v>-5</v>
      </c>
      <c r="I47" s="14">
        <f>$Q$33-$Q$30+9*J33</f>
        <v>-3</v>
      </c>
      <c r="J47" s="14">
        <f>$Q$33-$Q$31+9*K33</f>
        <v>-2</v>
      </c>
      <c r="K47" s="14">
        <f>$Q$33-$Q$32+9*L33</f>
        <v>8</v>
      </c>
      <c r="L47" s="14">
        <v>0</v>
      </c>
      <c r="M47" s="14">
        <f>$Q$33-$Q$34+9*N33</f>
        <v>1</v>
      </c>
    </row>
    <row r="48" spans="1:19" x14ac:dyDescent="0.2">
      <c r="E48" s="9">
        <v>8</v>
      </c>
      <c r="F48" s="14">
        <f>$Q$34-$Q$27+9*G34</f>
        <v>-7</v>
      </c>
      <c r="G48" s="14">
        <f>$Q$34-$Q$28+9*H34</f>
        <v>-5</v>
      </c>
      <c r="H48" s="14">
        <f>$Q$34-$Q$29+9*I34</f>
        <v>-6</v>
      </c>
      <c r="I48" s="14">
        <f>$Q$34-$Q$30+9*J34</f>
        <v>-4</v>
      </c>
      <c r="J48" s="14">
        <f>$Q$34-$Q$31+9*K34</f>
        <v>-3</v>
      </c>
      <c r="K48" s="14">
        <f>$Q$34-$Q$32+9*L34</f>
        <v>-2</v>
      </c>
      <c r="L48" s="14">
        <f>$Q$34-$Q$33+9*M34</f>
        <v>8</v>
      </c>
      <c r="M48" s="14">
        <v>0</v>
      </c>
    </row>
    <row r="50" spans="1:17" x14ac:dyDescent="0.2">
      <c r="A50" s="123" t="s">
        <v>184</v>
      </c>
      <c r="B50" s="113"/>
      <c r="C50" s="113"/>
      <c r="E50" s="36">
        <f>MAX(F41:M48)</f>
        <v>8</v>
      </c>
      <c r="F50" s="122" t="str">
        <f>IF(E50&lt;=8,"cumple ≤ 8 ✓","VIOLADA")</f>
        <v>cumple ≤ 8 ✓</v>
      </c>
      <c r="G50" s="113"/>
      <c r="H50" s="113"/>
      <c r="I50" s="113"/>
      <c r="J50" s="113"/>
    </row>
    <row r="51" spans="1:17" ht="64" x14ac:dyDescent="0.2">
      <c r="A51" s="105" t="s">
        <v>421</v>
      </c>
      <c r="E51">
        <f>F26+G27+H28+I29+J30+K31+L32+M33+N34</f>
        <v>0</v>
      </c>
      <c r="F51" t="str">
        <f>IF(E51=0,"Sin autolazos","REVISAR")</f>
        <v>Sin autolazos</v>
      </c>
    </row>
    <row r="53" spans="1:17" ht="16" x14ac:dyDescent="0.2">
      <c r="A53" s="29" t="s">
        <v>185</v>
      </c>
    </row>
    <row r="54" spans="1:17" x14ac:dyDescent="0.2">
      <c r="A54" s="123" t="s">
        <v>186</v>
      </c>
      <c r="B54" s="113"/>
      <c r="C54" s="113"/>
      <c r="D54" s="113"/>
      <c r="E54" s="124" t="s">
        <v>187</v>
      </c>
      <c r="F54" s="113"/>
      <c r="G54" s="113"/>
      <c r="H54" s="113"/>
      <c r="I54" s="113"/>
      <c r="J54" s="113"/>
      <c r="K54" s="113"/>
      <c r="L54" s="113"/>
      <c r="M54" s="113"/>
      <c r="N54" s="113"/>
    </row>
    <row r="55" spans="1:17" x14ac:dyDescent="0.2">
      <c r="A55" s="123" t="s">
        <v>188</v>
      </c>
      <c r="B55" s="113"/>
      <c r="C55" s="113"/>
      <c r="D55" s="113"/>
      <c r="E55" s="124" t="s">
        <v>189</v>
      </c>
      <c r="F55" s="113"/>
      <c r="G55" s="113"/>
      <c r="H55" s="113"/>
      <c r="I55" s="113"/>
      <c r="J55" s="113"/>
      <c r="K55" s="113"/>
      <c r="L55" s="113"/>
      <c r="M55" s="113"/>
      <c r="N55" s="113"/>
    </row>
    <row r="56" spans="1:17" x14ac:dyDescent="0.2">
      <c r="A56" s="123" t="s">
        <v>190</v>
      </c>
      <c r="B56" s="113"/>
      <c r="C56" s="113"/>
      <c r="D56" s="113"/>
      <c r="E56" s="124" t="s">
        <v>191</v>
      </c>
      <c r="F56" s="113"/>
      <c r="G56" s="113"/>
      <c r="H56" s="113"/>
      <c r="I56" s="113"/>
      <c r="J56" s="113"/>
      <c r="K56" s="113"/>
      <c r="L56" s="113"/>
      <c r="M56" s="113"/>
      <c r="N56" s="113"/>
    </row>
    <row r="57" spans="1:17" x14ac:dyDescent="0.2">
      <c r="A57" s="123" t="s">
        <v>192</v>
      </c>
      <c r="B57" s="113"/>
      <c r="C57" s="113"/>
      <c r="D57" s="113"/>
      <c r="E57" s="124" t="s">
        <v>193</v>
      </c>
      <c r="F57" s="113"/>
      <c r="G57" s="113"/>
      <c r="H57" s="113"/>
      <c r="I57" s="113"/>
      <c r="J57" s="113"/>
      <c r="K57" s="113"/>
      <c r="L57" s="113"/>
      <c r="M57" s="113"/>
      <c r="N57" s="113"/>
    </row>
    <row r="58" spans="1:17" x14ac:dyDescent="0.2">
      <c r="A58" s="123" t="s">
        <v>194</v>
      </c>
      <c r="B58" s="113"/>
      <c r="C58" s="113"/>
      <c r="D58" s="113"/>
      <c r="E58" s="124" t="s">
        <v>195</v>
      </c>
      <c r="F58" s="113"/>
      <c r="G58" s="113"/>
      <c r="H58" s="113"/>
      <c r="I58" s="113"/>
      <c r="J58" s="113"/>
      <c r="K58" s="113"/>
      <c r="L58" s="113"/>
      <c r="M58" s="113"/>
      <c r="N58" s="113"/>
    </row>
    <row r="59" spans="1:17" x14ac:dyDescent="0.2">
      <c r="A59" s="123" t="s">
        <v>196</v>
      </c>
      <c r="B59" s="113"/>
      <c r="C59" s="113"/>
      <c r="D59" s="113"/>
      <c r="E59" s="124" t="s">
        <v>197</v>
      </c>
      <c r="F59" s="113"/>
      <c r="G59" s="113"/>
      <c r="H59" s="113"/>
      <c r="I59" s="113"/>
      <c r="J59" s="113"/>
      <c r="K59" s="113"/>
      <c r="L59" s="113"/>
      <c r="M59" s="113"/>
      <c r="N59" s="113"/>
    </row>
    <row r="60" spans="1:17" x14ac:dyDescent="0.2">
      <c r="A60" s="123" t="s">
        <v>198</v>
      </c>
      <c r="B60" s="113"/>
      <c r="C60" s="113"/>
      <c r="D60" s="113"/>
      <c r="E60" s="124" t="s">
        <v>199</v>
      </c>
      <c r="F60" s="113"/>
      <c r="G60" s="113"/>
      <c r="H60" s="113"/>
      <c r="I60" s="113"/>
      <c r="J60" s="113"/>
      <c r="K60" s="113"/>
      <c r="L60" s="113"/>
      <c r="M60" s="113"/>
      <c r="N60" s="113"/>
    </row>
    <row r="61" spans="1:17" x14ac:dyDescent="0.2">
      <c r="A61" s="123" t="s">
        <v>200</v>
      </c>
      <c r="B61" s="113"/>
      <c r="C61" s="113"/>
      <c r="D61" s="113"/>
      <c r="E61" s="124" t="s">
        <v>201</v>
      </c>
      <c r="F61" s="113"/>
      <c r="G61" s="113"/>
      <c r="H61" s="113"/>
      <c r="I61" s="113"/>
      <c r="J61" s="113"/>
      <c r="K61" s="113"/>
      <c r="L61" s="113"/>
      <c r="M61" s="113"/>
      <c r="N61" s="113"/>
    </row>
    <row r="62" spans="1:17" x14ac:dyDescent="0.2">
      <c r="A62" s="123" t="s">
        <v>202</v>
      </c>
      <c r="B62" s="113"/>
      <c r="C62" s="113"/>
      <c r="D62" s="113"/>
      <c r="E62" s="124" t="s">
        <v>203</v>
      </c>
      <c r="F62" s="113"/>
      <c r="G62" s="113"/>
      <c r="H62" s="113"/>
      <c r="I62" s="113"/>
      <c r="J62" s="113"/>
      <c r="K62" s="113"/>
      <c r="L62" s="113"/>
      <c r="M62" s="113"/>
      <c r="N62" s="113"/>
    </row>
    <row r="63" spans="1:17" x14ac:dyDescent="0.2">
      <c r="A63" s="123" t="s">
        <v>204</v>
      </c>
      <c r="B63" s="113"/>
      <c r="C63" s="113"/>
      <c r="D63" s="113"/>
      <c r="E63" s="124" t="s">
        <v>205</v>
      </c>
      <c r="F63" s="113"/>
      <c r="G63" s="113"/>
      <c r="H63" s="113"/>
      <c r="I63" s="113"/>
      <c r="J63" s="113"/>
      <c r="K63" s="113"/>
      <c r="L63" s="113"/>
      <c r="M63" s="113"/>
      <c r="N63" s="113"/>
    </row>
    <row r="64" spans="1:17" ht="25" customHeight="1" x14ac:dyDescent="0.2">
      <c r="A64" s="127" t="s">
        <v>422</v>
      </c>
      <c r="B64" s="113"/>
      <c r="C64" s="113"/>
      <c r="D64" s="113"/>
      <c r="E64" s="128" t="s">
        <v>423</v>
      </c>
      <c r="F64" s="113"/>
      <c r="G64" s="113"/>
      <c r="H64" s="113"/>
      <c r="I64" s="113"/>
      <c r="J64" s="113"/>
      <c r="K64" s="113"/>
      <c r="L64" s="113"/>
      <c r="M64" s="113"/>
      <c r="N64" s="113"/>
      <c r="O64" s="113"/>
      <c r="P64" s="113"/>
      <c r="Q64" s="113"/>
    </row>
    <row r="65" spans="1:17" ht="48" customHeight="1" x14ac:dyDescent="0.2">
      <c r="A65" s="126" t="s">
        <v>424</v>
      </c>
      <c r="B65" s="113"/>
      <c r="C65" s="113"/>
      <c r="D65" s="113"/>
      <c r="E65" s="113"/>
      <c r="F65" s="113"/>
      <c r="G65" s="113"/>
      <c r="H65" s="113"/>
      <c r="I65" s="113"/>
      <c r="J65" s="113"/>
      <c r="K65" s="113"/>
      <c r="L65" s="113"/>
      <c r="M65" s="113"/>
      <c r="N65" s="113"/>
      <c r="O65" s="113"/>
      <c r="P65" s="113"/>
      <c r="Q65" s="113"/>
    </row>
    <row r="67" spans="1:17" ht="20" customHeight="1" x14ac:dyDescent="0.2">
      <c r="A67" s="3" t="s">
        <v>206</v>
      </c>
      <c r="B67" s="4"/>
      <c r="C67" s="4"/>
      <c r="D67" s="4"/>
      <c r="E67" s="4"/>
      <c r="F67" s="4"/>
      <c r="G67" s="4"/>
      <c r="H67" s="4"/>
      <c r="I67" s="4"/>
      <c r="J67" s="4"/>
      <c r="K67" s="4"/>
      <c r="L67" s="4"/>
      <c r="M67" s="4"/>
      <c r="N67" s="4"/>
      <c r="O67" s="4"/>
      <c r="P67" s="4"/>
      <c r="Q67" s="4"/>
    </row>
    <row r="68" spans="1:17" ht="58" customHeight="1" x14ac:dyDescent="0.2">
      <c r="A68" s="125" t="s">
        <v>207</v>
      </c>
      <c r="B68" s="113"/>
      <c r="C68" s="113"/>
      <c r="D68" s="113"/>
      <c r="E68" s="113"/>
      <c r="F68" s="112" t="s">
        <v>208</v>
      </c>
      <c r="G68" s="113"/>
      <c r="H68" s="113"/>
      <c r="I68" s="113"/>
      <c r="J68" s="113"/>
      <c r="K68" s="113"/>
      <c r="L68" s="113"/>
      <c r="M68" s="113"/>
      <c r="N68" s="113"/>
      <c r="O68" s="113"/>
      <c r="P68" s="113"/>
      <c r="Q68" s="113"/>
    </row>
    <row r="69" spans="1:17" ht="58" customHeight="1" x14ac:dyDescent="0.2">
      <c r="A69" s="125" t="s">
        <v>209</v>
      </c>
      <c r="B69" s="113"/>
      <c r="C69" s="113"/>
      <c r="D69" s="113"/>
      <c r="E69" s="113"/>
      <c r="F69" s="112" t="s">
        <v>210</v>
      </c>
      <c r="G69" s="113"/>
      <c r="H69" s="113"/>
      <c r="I69" s="113"/>
      <c r="J69" s="113"/>
      <c r="K69" s="113"/>
      <c r="L69" s="113"/>
      <c r="M69" s="113"/>
      <c r="N69" s="113"/>
      <c r="O69" s="113"/>
      <c r="P69" s="113"/>
      <c r="Q69" s="113"/>
    </row>
    <row r="70" spans="1:17" ht="58" customHeight="1" x14ac:dyDescent="0.2">
      <c r="A70" s="125" t="s">
        <v>211</v>
      </c>
      <c r="B70" s="113"/>
      <c r="C70" s="113"/>
      <c r="D70" s="113"/>
      <c r="E70" s="113"/>
      <c r="F70" s="112" t="s">
        <v>425</v>
      </c>
      <c r="G70" s="113"/>
      <c r="H70" s="113"/>
      <c r="I70" s="113"/>
      <c r="J70" s="113"/>
      <c r="K70" s="113"/>
      <c r="L70" s="113"/>
      <c r="M70" s="113"/>
      <c r="N70" s="113"/>
      <c r="O70" s="113"/>
      <c r="P70" s="113"/>
      <c r="Q70" s="113"/>
    </row>
    <row r="71" spans="1:17" ht="58" customHeight="1" x14ac:dyDescent="0.2">
      <c r="A71" s="125" t="s">
        <v>212</v>
      </c>
      <c r="B71" s="113"/>
      <c r="C71" s="113"/>
      <c r="D71" s="113"/>
      <c r="E71" s="113"/>
      <c r="F71" s="112" t="s">
        <v>213</v>
      </c>
      <c r="G71" s="113"/>
      <c r="H71" s="113"/>
      <c r="I71" s="113"/>
      <c r="J71" s="113"/>
      <c r="K71" s="113"/>
      <c r="L71" s="113"/>
      <c r="M71" s="113"/>
      <c r="N71" s="113"/>
      <c r="O71" s="113"/>
      <c r="P71" s="113"/>
      <c r="Q71" s="113"/>
    </row>
    <row r="198" spans="1:6" x14ac:dyDescent="0.2">
      <c r="A198" s="122" t="s">
        <v>214</v>
      </c>
      <c r="B198" s="113"/>
      <c r="C198" s="113"/>
      <c r="D198" s="113"/>
      <c r="E198" s="113"/>
      <c r="F198" s="113"/>
    </row>
    <row r="199" spans="1:6" ht="16" hidden="1" customHeight="1" x14ac:dyDescent="0.2">
      <c r="A199" s="9" t="s">
        <v>215</v>
      </c>
      <c r="B199" s="9" t="s">
        <v>216</v>
      </c>
      <c r="C199" s="9" t="s">
        <v>217</v>
      </c>
      <c r="D199" s="9" t="s">
        <v>218</v>
      </c>
      <c r="E199" s="9" t="s">
        <v>219</v>
      </c>
    </row>
    <row r="200" spans="1:6" hidden="1" x14ac:dyDescent="0.2">
      <c r="A200" s="44">
        <v>3757</v>
      </c>
      <c r="B200" s="44">
        <v>3757</v>
      </c>
      <c r="C200" s="44">
        <f>INDEX('04_Matriz_Cambios'!$B$6:$R$22,MATCH($A200,'04_Matriz_Cambios'!$A$6:$A$22,0),MATCH($B200,'04_Matriz_Cambios'!$B$5:$R$5,0))</f>
        <v>0</v>
      </c>
      <c r="D200" s="44">
        <f>INDEX('02_Datos_Maestros'!$I$5:$I$21,MATCH($A200,'02_Datos_Maestros'!$A$5:$A$21,0))</f>
        <v>3757</v>
      </c>
      <c r="E200" s="44">
        <f>INDEX('02_Datos_Maestros'!$I$5:$I$21,MATCH($B200,'02_Datos_Maestros'!$A$5:$A$21,0))</f>
        <v>3757</v>
      </c>
    </row>
    <row r="201" spans="1:6" hidden="1" x14ac:dyDescent="0.2">
      <c r="A201" s="44">
        <v>3757</v>
      </c>
      <c r="B201" s="44">
        <v>3925</v>
      </c>
      <c r="C201" s="44">
        <f>INDEX('04_Matriz_Cambios'!$B$6:$R$22,MATCH($A201,'04_Matriz_Cambios'!$A$6:$A$22,0),MATCH($B201,'04_Matriz_Cambios'!$B$5:$R$5,0))</f>
        <v>0</v>
      </c>
      <c r="D201" s="44">
        <f>INDEX('02_Datos_Maestros'!$I$5:$I$21,MATCH($A201,'02_Datos_Maestros'!$A$5:$A$21,0))</f>
        <v>3757</v>
      </c>
      <c r="E201" s="44">
        <f>INDEX('02_Datos_Maestros'!$I$5:$I$21,MATCH($B201,'02_Datos_Maestros'!$A$5:$A$21,0))</f>
        <v>3757</v>
      </c>
    </row>
    <row r="202" spans="1:6" hidden="1" x14ac:dyDescent="0.2">
      <c r="A202" s="44">
        <v>3757</v>
      </c>
      <c r="B202" s="44">
        <v>6616</v>
      </c>
      <c r="C202" s="44">
        <f>INDEX('04_Matriz_Cambios'!$B$6:$R$22,MATCH($A202,'04_Matriz_Cambios'!$A$6:$A$22,0),MATCH($B202,'04_Matriz_Cambios'!$B$5:$R$5,0))</f>
        <v>0</v>
      </c>
      <c r="D202" s="44">
        <f>INDEX('02_Datos_Maestros'!$I$5:$I$21,MATCH($A202,'02_Datos_Maestros'!$A$5:$A$21,0))</f>
        <v>3757</v>
      </c>
      <c r="E202" s="44">
        <f>INDEX('02_Datos_Maestros'!$I$5:$I$21,MATCH($B202,'02_Datos_Maestros'!$A$5:$A$21,0))</f>
        <v>3757</v>
      </c>
    </row>
    <row r="203" spans="1:6" hidden="1" x14ac:dyDescent="0.2">
      <c r="A203" s="44">
        <v>3757</v>
      </c>
      <c r="B203" s="44">
        <v>6639</v>
      </c>
      <c r="C203" s="44">
        <f>INDEX('04_Matriz_Cambios'!$B$6:$R$22,MATCH($A203,'04_Matriz_Cambios'!$A$6:$A$22,0),MATCH($B203,'04_Matriz_Cambios'!$B$5:$R$5,0))</f>
        <v>180</v>
      </c>
      <c r="D203" s="44">
        <f>INDEX('02_Datos_Maestros'!$I$5:$I$21,MATCH($A203,'02_Datos_Maestros'!$A$5:$A$21,0))</f>
        <v>3757</v>
      </c>
      <c r="E203" s="44">
        <f>INDEX('02_Datos_Maestros'!$I$5:$I$21,MATCH($B203,'02_Datos_Maestros'!$A$5:$A$21,0))</f>
        <v>6639</v>
      </c>
    </row>
    <row r="204" spans="1:6" hidden="1" x14ac:dyDescent="0.2">
      <c r="A204" s="44">
        <v>3757</v>
      </c>
      <c r="B204" s="44">
        <v>17246</v>
      </c>
      <c r="C204" s="44">
        <f>INDEX('04_Matriz_Cambios'!$B$6:$R$22,MATCH($A204,'04_Matriz_Cambios'!$A$6:$A$22,0),MATCH($B204,'04_Matriz_Cambios'!$B$5:$R$5,0))</f>
        <v>120</v>
      </c>
      <c r="D204" s="44">
        <f>INDEX('02_Datos_Maestros'!$I$5:$I$21,MATCH($A204,'02_Datos_Maestros'!$A$5:$A$21,0))</f>
        <v>3757</v>
      </c>
      <c r="E204" s="44">
        <f>INDEX('02_Datos_Maestros'!$I$5:$I$21,MATCH($B204,'02_Datos_Maestros'!$A$5:$A$21,0))</f>
        <v>3278</v>
      </c>
    </row>
    <row r="205" spans="1:6" hidden="1" x14ac:dyDescent="0.2">
      <c r="A205" s="44">
        <v>3757</v>
      </c>
      <c r="B205" s="44">
        <v>16816</v>
      </c>
      <c r="C205" s="44">
        <f>INDEX('04_Matriz_Cambios'!$B$6:$R$22,MATCH($A205,'04_Matriz_Cambios'!$A$6:$A$22,0),MATCH($B205,'04_Matriz_Cambios'!$B$5:$R$5,0))</f>
        <v>120</v>
      </c>
      <c r="D205" s="44">
        <f>INDEX('02_Datos_Maestros'!$I$5:$I$21,MATCH($A205,'02_Datos_Maestros'!$A$5:$A$21,0))</f>
        <v>3757</v>
      </c>
      <c r="E205" s="44">
        <f>INDEX('02_Datos_Maestros'!$I$5:$I$21,MATCH($B205,'02_Datos_Maestros'!$A$5:$A$21,0))</f>
        <v>3278</v>
      </c>
    </row>
    <row r="206" spans="1:6" hidden="1" x14ac:dyDescent="0.2">
      <c r="A206" s="44">
        <v>3757</v>
      </c>
      <c r="B206" s="44">
        <v>6743</v>
      </c>
      <c r="C206" s="44">
        <f>INDEX('04_Matriz_Cambios'!$B$6:$R$22,MATCH($A206,'04_Matriz_Cambios'!$A$6:$A$22,0),MATCH($B206,'04_Matriz_Cambios'!$B$5:$R$5,0))</f>
        <v>180</v>
      </c>
      <c r="D206" s="44">
        <f>INDEX('02_Datos_Maestros'!$I$5:$I$21,MATCH($A206,'02_Datos_Maestros'!$A$5:$A$21,0))</f>
        <v>3757</v>
      </c>
      <c r="E206" s="44">
        <f>INDEX('02_Datos_Maestros'!$I$5:$I$21,MATCH($B206,'02_Datos_Maestros'!$A$5:$A$21,0))</f>
        <v>6743</v>
      </c>
    </row>
    <row r="207" spans="1:6" hidden="1" x14ac:dyDescent="0.2">
      <c r="A207" s="44">
        <v>3757</v>
      </c>
      <c r="B207" s="44">
        <v>16787</v>
      </c>
      <c r="C207" s="44">
        <f>INDEX('04_Matriz_Cambios'!$B$6:$R$22,MATCH($A207,'04_Matriz_Cambios'!$A$6:$A$22,0),MATCH($B207,'04_Matriz_Cambios'!$B$5:$R$5,0))</f>
        <v>120</v>
      </c>
      <c r="D207" s="44">
        <f>INDEX('02_Datos_Maestros'!$I$5:$I$21,MATCH($A207,'02_Datos_Maestros'!$A$5:$A$21,0))</f>
        <v>3757</v>
      </c>
      <c r="E207" s="44">
        <f>INDEX('02_Datos_Maestros'!$I$5:$I$21,MATCH($B207,'02_Datos_Maestros'!$A$5:$A$21,0))</f>
        <v>5998</v>
      </c>
    </row>
    <row r="208" spans="1:6" hidden="1" x14ac:dyDescent="0.2">
      <c r="A208" s="44">
        <v>3757</v>
      </c>
      <c r="B208" s="44">
        <v>15881</v>
      </c>
      <c r="C208" s="44">
        <f>INDEX('04_Matriz_Cambios'!$B$6:$R$22,MATCH($A208,'04_Matriz_Cambios'!$A$6:$A$22,0),MATCH($B208,'04_Matriz_Cambios'!$B$5:$R$5,0))</f>
        <v>120</v>
      </c>
      <c r="D208" s="44">
        <f>INDEX('02_Datos_Maestros'!$I$5:$I$21,MATCH($A208,'02_Datos_Maestros'!$A$5:$A$21,0))</f>
        <v>3757</v>
      </c>
      <c r="E208" s="44">
        <f>INDEX('02_Datos_Maestros'!$I$5:$I$21,MATCH($B208,'02_Datos_Maestros'!$A$5:$A$21,0))</f>
        <v>5998</v>
      </c>
    </row>
    <row r="209" spans="1:5" hidden="1" x14ac:dyDescent="0.2">
      <c r="A209" s="44">
        <v>3757</v>
      </c>
      <c r="B209" s="44">
        <v>5998</v>
      </c>
      <c r="C209" s="44">
        <f>INDEX('04_Matriz_Cambios'!$B$6:$R$22,MATCH($A209,'04_Matriz_Cambios'!$A$6:$A$22,0),MATCH($B209,'04_Matriz_Cambios'!$B$5:$R$5,0))</f>
        <v>120</v>
      </c>
      <c r="D209" s="44">
        <f>INDEX('02_Datos_Maestros'!$I$5:$I$21,MATCH($A209,'02_Datos_Maestros'!$A$5:$A$21,0))</f>
        <v>3757</v>
      </c>
      <c r="E209" s="44">
        <f>INDEX('02_Datos_Maestros'!$I$5:$I$21,MATCH($B209,'02_Datos_Maestros'!$A$5:$A$21,0))</f>
        <v>5998</v>
      </c>
    </row>
    <row r="210" spans="1:5" hidden="1" x14ac:dyDescent="0.2">
      <c r="A210" s="44">
        <v>3757</v>
      </c>
      <c r="B210" s="44">
        <v>3749</v>
      </c>
      <c r="C210" s="44">
        <f>INDEX('04_Matriz_Cambios'!$B$6:$R$22,MATCH($A210,'04_Matriz_Cambios'!$A$6:$A$22,0),MATCH($B210,'04_Matriz_Cambios'!$B$5:$R$5,0))</f>
        <v>120</v>
      </c>
      <c r="D210" s="44">
        <f>INDEX('02_Datos_Maestros'!$I$5:$I$21,MATCH($A210,'02_Datos_Maestros'!$A$5:$A$21,0))</f>
        <v>3757</v>
      </c>
      <c r="E210" s="44">
        <f>INDEX('02_Datos_Maestros'!$I$5:$I$21,MATCH($B210,'02_Datos_Maestros'!$A$5:$A$21,0))</f>
        <v>3278</v>
      </c>
    </row>
    <row r="211" spans="1:5" hidden="1" x14ac:dyDescent="0.2">
      <c r="A211" s="44">
        <v>3757</v>
      </c>
      <c r="B211" s="44">
        <v>3278</v>
      </c>
      <c r="C211" s="44">
        <f>INDEX('04_Matriz_Cambios'!$B$6:$R$22,MATCH($A211,'04_Matriz_Cambios'!$A$6:$A$22,0),MATCH($B211,'04_Matriz_Cambios'!$B$5:$R$5,0))</f>
        <v>120</v>
      </c>
      <c r="D211" s="44">
        <f>INDEX('02_Datos_Maestros'!$I$5:$I$21,MATCH($A211,'02_Datos_Maestros'!$A$5:$A$21,0))</f>
        <v>3757</v>
      </c>
      <c r="E211" s="44">
        <f>INDEX('02_Datos_Maestros'!$I$5:$I$21,MATCH($B211,'02_Datos_Maestros'!$A$5:$A$21,0))</f>
        <v>3278</v>
      </c>
    </row>
    <row r="212" spans="1:5" hidden="1" x14ac:dyDescent="0.2">
      <c r="A212" s="44">
        <v>3757</v>
      </c>
      <c r="B212" s="44">
        <v>7590</v>
      </c>
      <c r="C212" s="44">
        <f>INDEX('04_Matriz_Cambios'!$B$6:$R$22,MATCH($A212,'04_Matriz_Cambios'!$A$6:$A$22,0),MATCH($B212,'04_Matriz_Cambios'!$B$5:$R$5,0))</f>
        <v>120</v>
      </c>
      <c r="D212" s="44">
        <f>INDEX('02_Datos_Maestros'!$I$5:$I$21,MATCH($A212,'02_Datos_Maestros'!$A$5:$A$21,0))</f>
        <v>3757</v>
      </c>
      <c r="E212" s="44">
        <f>INDEX('02_Datos_Maestros'!$I$5:$I$21,MATCH($B212,'02_Datos_Maestros'!$A$5:$A$21,0))</f>
        <v>3278</v>
      </c>
    </row>
    <row r="213" spans="1:5" hidden="1" x14ac:dyDescent="0.2">
      <c r="A213" s="44">
        <v>3757</v>
      </c>
      <c r="B213" s="44">
        <v>15795</v>
      </c>
      <c r="C213" s="44">
        <f>INDEX('04_Matriz_Cambios'!$B$6:$R$22,MATCH($A213,'04_Matriz_Cambios'!$A$6:$A$22,0),MATCH($B213,'04_Matriz_Cambios'!$B$5:$R$5,0))</f>
        <v>120</v>
      </c>
      <c r="D213" s="44">
        <f>INDEX('02_Datos_Maestros'!$I$5:$I$21,MATCH($A213,'02_Datos_Maestros'!$A$5:$A$21,0))</f>
        <v>3757</v>
      </c>
      <c r="E213" s="44">
        <f>INDEX('02_Datos_Maestros'!$I$5:$I$21,MATCH($B213,'02_Datos_Maestros'!$A$5:$A$21,0))</f>
        <v>3278</v>
      </c>
    </row>
    <row r="214" spans="1:5" hidden="1" x14ac:dyDescent="0.2">
      <c r="A214" s="44">
        <v>3757</v>
      </c>
      <c r="B214" s="44">
        <v>15564</v>
      </c>
      <c r="C214" s="44">
        <f>INDEX('04_Matriz_Cambios'!$B$6:$R$22,MATCH($A214,'04_Matriz_Cambios'!$A$6:$A$22,0),MATCH($B214,'04_Matriz_Cambios'!$B$5:$R$5,0))</f>
        <v>180</v>
      </c>
      <c r="D214" s="44">
        <f>INDEX('02_Datos_Maestros'!$I$5:$I$21,MATCH($A214,'02_Datos_Maestros'!$A$5:$A$21,0))</f>
        <v>3757</v>
      </c>
      <c r="E214" s="44">
        <f>INDEX('02_Datos_Maestros'!$I$5:$I$21,MATCH($B214,'02_Datos_Maestros'!$A$5:$A$21,0))</f>
        <v>15564</v>
      </c>
    </row>
    <row r="215" spans="1:5" hidden="1" x14ac:dyDescent="0.2">
      <c r="A215" s="44">
        <v>3757</v>
      </c>
      <c r="B215" s="44">
        <v>3643</v>
      </c>
      <c r="C215" s="44">
        <f>INDEX('04_Matriz_Cambios'!$B$6:$R$22,MATCH($A215,'04_Matriz_Cambios'!$A$6:$A$22,0),MATCH($B215,'04_Matriz_Cambios'!$B$5:$R$5,0))</f>
        <v>180</v>
      </c>
      <c r="D215" s="44">
        <f>INDEX('02_Datos_Maestros'!$I$5:$I$21,MATCH($A215,'02_Datos_Maestros'!$A$5:$A$21,0))</f>
        <v>3757</v>
      </c>
      <c r="E215" s="44">
        <f>INDEX('02_Datos_Maestros'!$I$5:$I$21,MATCH($B215,'02_Datos_Maestros'!$A$5:$A$21,0))</f>
        <v>3643</v>
      </c>
    </row>
    <row r="216" spans="1:5" hidden="1" x14ac:dyDescent="0.2">
      <c r="A216" s="44">
        <v>3757</v>
      </c>
      <c r="B216" s="44">
        <v>3533</v>
      </c>
      <c r="C216" s="44">
        <f>INDEX('04_Matriz_Cambios'!$B$6:$R$22,MATCH($A216,'04_Matriz_Cambios'!$A$6:$A$22,0),MATCH($B216,'04_Matriz_Cambios'!$B$5:$R$5,0))</f>
        <v>120</v>
      </c>
      <c r="D216" s="44">
        <f>INDEX('02_Datos_Maestros'!$I$5:$I$21,MATCH($A216,'02_Datos_Maestros'!$A$5:$A$21,0))</f>
        <v>3757</v>
      </c>
      <c r="E216" s="44">
        <f>INDEX('02_Datos_Maestros'!$I$5:$I$21,MATCH($B216,'02_Datos_Maestros'!$A$5:$A$21,0))</f>
        <v>3533</v>
      </c>
    </row>
    <row r="217" spans="1:5" hidden="1" x14ac:dyDescent="0.2">
      <c r="A217" s="44">
        <v>3925</v>
      </c>
      <c r="B217" s="44">
        <v>3757</v>
      </c>
      <c r="C217" s="44">
        <f>INDEX('04_Matriz_Cambios'!$B$6:$R$22,MATCH($A217,'04_Matriz_Cambios'!$A$6:$A$22,0),MATCH($B217,'04_Matriz_Cambios'!$B$5:$R$5,0))</f>
        <v>0</v>
      </c>
      <c r="D217" s="44">
        <f>INDEX('02_Datos_Maestros'!$I$5:$I$21,MATCH($A217,'02_Datos_Maestros'!$A$5:$A$21,0))</f>
        <v>3757</v>
      </c>
      <c r="E217" s="44">
        <f>INDEX('02_Datos_Maestros'!$I$5:$I$21,MATCH($B217,'02_Datos_Maestros'!$A$5:$A$21,0))</f>
        <v>3757</v>
      </c>
    </row>
    <row r="218" spans="1:5" hidden="1" x14ac:dyDescent="0.2">
      <c r="A218" s="44">
        <v>3925</v>
      </c>
      <c r="B218" s="44">
        <v>3925</v>
      </c>
      <c r="C218" s="44">
        <f>INDEX('04_Matriz_Cambios'!$B$6:$R$22,MATCH($A218,'04_Matriz_Cambios'!$A$6:$A$22,0),MATCH($B218,'04_Matriz_Cambios'!$B$5:$R$5,0))</f>
        <v>0</v>
      </c>
      <c r="D218" s="44">
        <f>INDEX('02_Datos_Maestros'!$I$5:$I$21,MATCH($A218,'02_Datos_Maestros'!$A$5:$A$21,0))</f>
        <v>3757</v>
      </c>
      <c r="E218" s="44">
        <f>INDEX('02_Datos_Maestros'!$I$5:$I$21,MATCH($B218,'02_Datos_Maestros'!$A$5:$A$21,0))</f>
        <v>3757</v>
      </c>
    </row>
    <row r="219" spans="1:5" hidden="1" x14ac:dyDescent="0.2">
      <c r="A219" s="44">
        <v>3925</v>
      </c>
      <c r="B219" s="44">
        <v>6616</v>
      </c>
      <c r="C219" s="44">
        <f>INDEX('04_Matriz_Cambios'!$B$6:$R$22,MATCH($A219,'04_Matriz_Cambios'!$A$6:$A$22,0),MATCH($B219,'04_Matriz_Cambios'!$B$5:$R$5,0))</f>
        <v>0</v>
      </c>
      <c r="D219" s="44">
        <f>INDEX('02_Datos_Maestros'!$I$5:$I$21,MATCH($A219,'02_Datos_Maestros'!$A$5:$A$21,0))</f>
        <v>3757</v>
      </c>
      <c r="E219" s="44">
        <f>INDEX('02_Datos_Maestros'!$I$5:$I$21,MATCH($B219,'02_Datos_Maestros'!$A$5:$A$21,0))</f>
        <v>3757</v>
      </c>
    </row>
    <row r="220" spans="1:5" hidden="1" x14ac:dyDescent="0.2">
      <c r="A220" s="44">
        <v>3925</v>
      </c>
      <c r="B220" s="44">
        <v>6639</v>
      </c>
      <c r="C220" s="44">
        <f>INDEX('04_Matriz_Cambios'!$B$6:$R$22,MATCH($A220,'04_Matriz_Cambios'!$A$6:$A$22,0),MATCH($B220,'04_Matriz_Cambios'!$B$5:$R$5,0))</f>
        <v>180</v>
      </c>
      <c r="D220" s="44">
        <f>INDEX('02_Datos_Maestros'!$I$5:$I$21,MATCH($A220,'02_Datos_Maestros'!$A$5:$A$21,0))</f>
        <v>3757</v>
      </c>
      <c r="E220" s="44">
        <f>INDEX('02_Datos_Maestros'!$I$5:$I$21,MATCH($B220,'02_Datos_Maestros'!$A$5:$A$21,0))</f>
        <v>6639</v>
      </c>
    </row>
    <row r="221" spans="1:5" hidden="1" x14ac:dyDescent="0.2">
      <c r="A221" s="44">
        <v>3925</v>
      </c>
      <c r="B221" s="44">
        <v>17246</v>
      </c>
      <c r="C221" s="44">
        <f>INDEX('04_Matriz_Cambios'!$B$6:$R$22,MATCH($A221,'04_Matriz_Cambios'!$A$6:$A$22,0),MATCH($B221,'04_Matriz_Cambios'!$B$5:$R$5,0))</f>
        <v>120</v>
      </c>
      <c r="D221" s="44">
        <f>INDEX('02_Datos_Maestros'!$I$5:$I$21,MATCH($A221,'02_Datos_Maestros'!$A$5:$A$21,0))</f>
        <v>3757</v>
      </c>
      <c r="E221" s="44">
        <f>INDEX('02_Datos_Maestros'!$I$5:$I$21,MATCH($B221,'02_Datos_Maestros'!$A$5:$A$21,0))</f>
        <v>3278</v>
      </c>
    </row>
    <row r="222" spans="1:5" hidden="1" x14ac:dyDescent="0.2">
      <c r="A222" s="44">
        <v>3925</v>
      </c>
      <c r="B222" s="44">
        <v>16816</v>
      </c>
      <c r="C222" s="44">
        <f>INDEX('04_Matriz_Cambios'!$B$6:$R$22,MATCH($A222,'04_Matriz_Cambios'!$A$6:$A$22,0),MATCH($B222,'04_Matriz_Cambios'!$B$5:$R$5,0))</f>
        <v>120</v>
      </c>
      <c r="D222" s="44">
        <f>INDEX('02_Datos_Maestros'!$I$5:$I$21,MATCH($A222,'02_Datos_Maestros'!$A$5:$A$21,0))</f>
        <v>3757</v>
      </c>
      <c r="E222" s="44">
        <f>INDEX('02_Datos_Maestros'!$I$5:$I$21,MATCH($B222,'02_Datos_Maestros'!$A$5:$A$21,0))</f>
        <v>3278</v>
      </c>
    </row>
    <row r="223" spans="1:5" hidden="1" x14ac:dyDescent="0.2">
      <c r="A223" s="44">
        <v>3925</v>
      </c>
      <c r="B223" s="44">
        <v>6743</v>
      </c>
      <c r="C223" s="44">
        <f>INDEX('04_Matriz_Cambios'!$B$6:$R$22,MATCH($A223,'04_Matriz_Cambios'!$A$6:$A$22,0),MATCH($B223,'04_Matriz_Cambios'!$B$5:$R$5,0))</f>
        <v>180</v>
      </c>
      <c r="D223" s="44">
        <f>INDEX('02_Datos_Maestros'!$I$5:$I$21,MATCH($A223,'02_Datos_Maestros'!$A$5:$A$21,0))</f>
        <v>3757</v>
      </c>
      <c r="E223" s="44">
        <f>INDEX('02_Datos_Maestros'!$I$5:$I$21,MATCH($B223,'02_Datos_Maestros'!$A$5:$A$21,0))</f>
        <v>6743</v>
      </c>
    </row>
    <row r="224" spans="1:5" hidden="1" x14ac:dyDescent="0.2">
      <c r="A224" s="44">
        <v>3925</v>
      </c>
      <c r="B224" s="44">
        <v>16787</v>
      </c>
      <c r="C224" s="44">
        <f>INDEX('04_Matriz_Cambios'!$B$6:$R$22,MATCH($A224,'04_Matriz_Cambios'!$A$6:$A$22,0),MATCH($B224,'04_Matriz_Cambios'!$B$5:$R$5,0))</f>
        <v>120</v>
      </c>
      <c r="D224" s="44">
        <f>INDEX('02_Datos_Maestros'!$I$5:$I$21,MATCH($A224,'02_Datos_Maestros'!$A$5:$A$21,0))</f>
        <v>3757</v>
      </c>
      <c r="E224" s="44">
        <f>INDEX('02_Datos_Maestros'!$I$5:$I$21,MATCH($B224,'02_Datos_Maestros'!$A$5:$A$21,0))</f>
        <v>5998</v>
      </c>
    </row>
    <row r="225" spans="1:5" hidden="1" x14ac:dyDescent="0.2">
      <c r="A225" s="44">
        <v>3925</v>
      </c>
      <c r="B225" s="44">
        <v>15881</v>
      </c>
      <c r="C225" s="44">
        <f>INDEX('04_Matriz_Cambios'!$B$6:$R$22,MATCH($A225,'04_Matriz_Cambios'!$A$6:$A$22,0),MATCH($B225,'04_Matriz_Cambios'!$B$5:$R$5,0))</f>
        <v>120</v>
      </c>
      <c r="D225" s="44">
        <f>INDEX('02_Datos_Maestros'!$I$5:$I$21,MATCH($A225,'02_Datos_Maestros'!$A$5:$A$21,0))</f>
        <v>3757</v>
      </c>
      <c r="E225" s="44">
        <f>INDEX('02_Datos_Maestros'!$I$5:$I$21,MATCH($B225,'02_Datos_Maestros'!$A$5:$A$21,0))</f>
        <v>5998</v>
      </c>
    </row>
    <row r="226" spans="1:5" hidden="1" x14ac:dyDescent="0.2">
      <c r="A226" s="44">
        <v>3925</v>
      </c>
      <c r="B226" s="44">
        <v>5998</v>
      </c>
      <c r="C226" s="44">
        <f>INDEX('04_Matriz_Cambios'!$B$6:$R$22,MATCH($A226,'04_Matriz_Cambios'!$A$6:$A$22,0),MATCH($B226,'04_Matriz_Cambios'!$B$5:$R$5,0))</f>
        <v>120</v>
      </c>
      <c r="D226" s="44">
        <f>INDEX('02_Datos_Maestros'!$I$5:$I$21,MATCH($A226,'02_Datos_Maestros'!$A$5:$A$21,0))</f>
        <v>3757</v>
      </c>
      <c r="E226" s="44">
        <f>INDEX('02_Datos_Maestros'!$I$5:$I$21,MATCH($B226,'02_Datos_Maestros'!$A$5:$A$21,0))</f>
        <v>5998</v>
      </c>
    </row>
    <row r="227" spans="1:5" hidden="1" x14ac:dyDescent="0.2">
      <c r="A227" s="44">
        <v>3925</v>
      </c>
      <c r="B227" s="44">
        <v>3749</v>
      </c>
      <c r="C227" s="44">
        <f>INDEX('04_Matriz_Cambios'!$B$6:$R$22,MATCH($A227,'04_Matriz_Cambios'!$A$6:$A$22,0),MATCH($B227,'04_Matriz_Cambios'!$B$5:$R$5,0))</f>
        <v>120</v>
      </c>
      <c r="D227" s="44">
        <f>INDEX('02_Datos_Maestros'!$I$5:$I$21,MATCH($A227,'02_Datos_Maestros'!$A$5:$A$21,0))</f>
        <v>3757</v>
      </c>
      <c r="E227" s="44">
        <f>INDEX('02_Datos_Maestros'!$I$5:$I$21,MATCH($B227,'02_Datos_Maestros'!$A$5:$A$21,0))</f>
        <v>3278</v>
      </c>
    </row>
    <row r="228" spans="1:5" hidden="1" x14ac:dyDescent="0.2">
      <c r="A228" s="44">
        <v>3925</v>
      </c>
      <c r="B228" s="44">
        <v>3278</v>
      </c>
      <c r="C228" s="44">
        <f>INDEX('04_Matriz_Cambios'!$B$6:$R$22,MATCH($A228,'04_Matriz_Cambios'!$A$6:$A$22,0),MATCH($B228,'04_Matriz_Cambios'!$B$5:$R$5,0))</f>
        <v>120</v>
      </c>
      <c r="D228" s="44">
        <f>INDEX('02_Datos_Maestros'!$I$5:$I$21,MATCH($A228,'02_Datos_Maestros'!$A$5:$A$21,0))</f>
        <v>3757</v>
      </c>
      <c r="E228" s="44">
        <f>INDEX('02_Datos_Maestros'!$I$5:$I$21,MATCH($B228,'02_Datos_Maestros'!$A$5:$A$21,0))</f>
        <v>3278</v>
      </c>
    </row>
    <row r="229" spans="1:5" hidden="1" x14ac:dyDescent="0.2">
      <c r="A229" s="44">
        <v>3925</v>
      </c>
      <c r="B229" s="44">
        <v>7590</v>
      </c>
      <c r="C229" s="44">
        <f>INDEX('04_Matriz_Cambios'!$B$6:$R$22,MATCH($A229,'04_Matriz_Cambios'!$A$6:$A$22,0),MATCH($B229,'04_Matriz_Cambios'!$B$5:$R$5,0))</f>
        <v>120</v>
      </c>
      <c r="D229" s="44">
        <f>INDEX('02_Datos_Maestros'!$I$5:$I$21,MATCH($A229,'02_Datos_Maestros'!$A$5:$A$21,0))</f>
        <v>3757</v>
      </c>
      <c r="E229" s="44">
        <f>INDEX('02_Datos_Maestros'!$I$5:$I$21,MATCH($B229,'02_Datos_Maestros'!$A$5:$A$21,0))</f>
        <v>3278</v>
      </c>
    </row>
    <row r="230" spans="1:5" hidden="1" x14ac:dyDescent="0.2">
      <c r="A230" s="44">
        <v>3925</v>
      </c>
      <c r="B230" s="44">
        <v>15795</v>
      </c>
      <c r="C230" s="44">
        <f>INDEX('04_Matriz_Cambios'!$B$6:$R$22,MATCH($A230,'04_Matriz_Cambios'!$A$6:$A$22,0),MATCH($B230,'04_Matriz_Cambios'!$B$5:$R$5,0))</f>
        <v>120</v>
      </c>
      <c r="D230" s="44">
        <f>INDEX('02_Datos_Maestros'!$I$5:$I$21,MATCH($A230,'02_Datos_Maestros'!$A$5:$A$21,0))</f>
        <v>3757</v>
      </c>
      <c r="E230" s="44">
        <f>INDEX('02_Datos_Maestros'!$I$5:$I$21,MATCH($B230,'02_Datos_Maestros'!$A$5:$A$21,0))</f>
        <v>3278</v>
      </c>
    </row>
    <row r="231" spans="1:5" hidden="1" x14ac:dyDescent="0.2">
      <c r="A231" s="44">
        <v>3925</v>
      </c>
      <c r="B231" s="44">
        <v>15564</v>
      </c>
      <c r="C231" s="44">
        <f>INDEX('04_Matriz_Cambios'!$B$6:$R$22,MATCH($A231,'04_Matriz_Cambios'!$A$6:$A$22,0),MATCH($B231,'04_Matriz_Cambios'!$B$5:$R$5,0))</f>
        <v>180</v>
      </c>
      <c r="D231" s="44">
        <f>INDEX('02_Datos_Maestros'!$I$5:$I$21,MATCH($A231,'02_Datos_Maestros'!$A$5:$A$21,0))</f>
        <v>3757</v>
      </c>
      <c r="E231" s="44">
        <f>INDEX('02_Datos_Maestros'!$I$5:$I$21,MATCH($B231,'02_Datos_Maestros'!$A$5:$A$21,0))</f>
        <v>15564</v>
      </c>
    </row>
    <row r="232" spans="1:5" hidden="1" x14ac:dyDescent="0.2">
      <c r="A232" s="44">
        <v>3925</v>
      </c>
      <c r="B232" s="44">
        <v>3643</v>
      </c>
      <c r="C232" s="44">
        <f>INDEX('04_Matriz_Cambios'!$B$6:$R$22,MATCH($A232,'04_Matriz_Cambios'!$A$6:$A$22,0),MATCH($B232,'04_Matriz_Cambios'!$B$5:$R$5,0))</f>
        <v>180</v>
      </c>
      <c r="D232" s="44">
        <f>INDEX('02_Datos_Maestros'!$I$5:$I$21,MATCH($A232,'02_Datos_Maestros'!$A$5:$A$21,0))</f>
        <v>3757</v>
      </c>
      <c r="E232" s="44">
        <f>INDEX('02_Datos_Maestros'!$I$5:$I$21,MATCH($B232,'02_Datos_Maestros'!$A$5:$A$21,0))</f>
        <v>3643</v>
      </c>
    </row>
    <row r="233" spans="1:5" hidden="1" x14ac:dyDescent="0.2">
      <c r="A233" s="44">
        <v>3925</v>
      </c>
      <c r="B233" s="44">
        <v>3533</v>
      </c>
      <c r="C233" s="44">
        <f>INDEX('04_Matriz_Cambios'!$B$6:$R$22,MATCH($A233,'04_Matriz_Cambios'!$A$6:$A$22,0),MATCH($B233,'04_Matriz_Cambios'!$B$5:$R$5,0))</f>
        <v>120</v>
      </c>
      <c r="D233" s="44">
        <f>INDEX('02_Datos_Maestros'!$I$5:$I$21,MATCH($A233,'02_Datos_Maestros'!$A$5:$A$21,0))</f>
        <v>3757</v>
      </c>
      <c r="E233" s="44">
        <f>INDEX('02_Datos_Maestros'!$I$5:$I$21,MATCH($B233,'02_Datos_Maestros'!$A$5:$A$21,0))</f>
        <v>3533</v>
      </c>
    </row>
    <row r="234" spans="1:5" hidden="1" x14ac:dyDescent="0.2">
      <c r="A234" s="44">
        <v>6616</v>
      </c>
      <c r="B234" s="44">
        <v>3757</v>
      </c>
      <c r="C234" s="44">
        <f>INDEX('04_Matriz_Cambios'!$B$6:$R$22,MATCH($A234,'04_Matriz_Cambios'!$A$6:$A$22,0),MATCH($B234,'04_Matriz_Cambios'!$B$5:$R$5,0))</f>
        <v>0</v>
      </c>
      <c r="D234" s="44">
        <f>INDEX('02_Datos_Maestros'!$I$5:$I$21,MATCH($A234,'02_Datos_Maestros'!$A$5:$A$21,0))</f>
        <v>3757</v>
      </c>
      <c r="E234" s="44">
        <f>INDEX('02_Datos_Maestros'!$I$5:$I$21,MATCH($B234,'02_Datos_Maestros'!$A$5:$A$21,0))</f>
        <v>3757</v>
      </c>
    </row>
    <row r="235" spans="1:5" hidden="1" x14ac:dyDescent="0.2">
      <c r="A235" s="44">
        <v>6616</v>
      </c>
      <c r="B235" s="44">
        <v>3925</v>
      </c>
      <c r="C235" s="44">
        <f>INDEX('04_Matriz_Cambios'!$B$6:$R$22,MATCH($A235,'04_Matriz_Cambios'!$A$6:$A$22,0),MATCH($B235,'04_Matriz_Cambios'!$B$5:$R$5,0))</f>
        <v>0</v>
      </c>
      <c r="D235" s="44">
        <f>INDEX('02_Datos_Maestros'!$I$5:$I$21,MATCH($A235,'02_Datos_Maestros'!$A$5:$A$21,0))</f>
        <v>3757</v>
      </c>
      <c r="E235" s="44">
        <f>INDEX('02_Datos_Maestros'!$I$5:$I$21,MATCH($B235,'02_Datos_Maestros'!$A$5:$A$21,0))</f>
        <v>3757</v>
      </c>
    </row>
    <row r="236" spans="1:5" hidden="1" x14ac:dyDescent="0.2">
      <c r="A236" s="44">
        <v>6616</v>
      </c>
      <c r="B236" s="44">
        <v>6616</v>
      </c>
      <c r="C236" s="44">
        <f>INDEX('04_Matriz_Cambios'!$B$6:$R$22,MATCH($A236,'04_Matriz_Cambios'!$A$6:$A$22,0),MATCH($B236,'04_Matriz_Cambios'!$B$5:$R$5,0))</f>
        <v>0</v>
      </c>
      <c r="D236" s="44">
        <f>INDEX('02_Datos_Maestros'!$I$5:$I$21,MATCH($A236,'02_Datos_Maestros'!$A$5:$A$21,0))</f>
        <v>3757</v>
      </c>
      <c r="E236" s="44">
        <f>INDEX('02_Datos_Maestros'!$I$5:$I$21,MATCH($B236,'02_Datos_Maestros'!$A$5:$A$21,0))</f>
        <v>3757</v>
      </c>
    </row>
    <row r="237" spans="1:5" hidden="1" x14ac:dyDescent="0.2">
      <c r="A237" s="44">
        <v>6616</v>
      </c>
      <c r="B237" s="44">
        <v>6639</v>
      </c>
      <c r="C237" s="44">
        <f>INDEX('04_Matriz_Cambios'!$B$6:$R$22,MATCH($A237,'04_Matriz_Cambios'!$A$6:$A$22,0),MATCH($B237,'04_Matriz_Cambios'!$B$5:$R$5,0))</f>
        <v>180</v>
      </c>
      <c r="D237" s="44">
        <f>INDEX('02_Datos_Maestros'!$I$5:$I$21,MATCH($A237,'02_Datos_Maestros'!$A$5:$A$21,0))</f>
        <v>3757</v>
      </c>
      <c r="E237" s="44">
        <f>INDEX('02_Datos_Maestros'!$I$5:$I$21,MATCH($B237,'02_Datos_Maestros'!$A$5:$A$21,0))</f>
        <v>6639</v>
      </c>
    </row>
    <row r="238" spans="1:5" hidden="1" x14ac:dyDescent="0.2">
      <c r="A238" s="44">
        <v>6616</v>
      </c>
      <c r="B238" s="44">
        <v>17246</v>
      </c>
      <c r="C238" s="44">
        <f>INDEX('04_Matriz_Cambios'!$B$6:$R$22,MATCH($A238,'04_Matriz_Cambios'!$A$6:$A$22,0),MATCH($B238,'04_Matriz_Cambios'!$B$5:$R$5,0))</f>
        <v>120</v>
      </c>
      <c r="D238" s="44">
        <f>INDEX('02_Datos_Maestros'!$I$5:$I$21,MATCH($A238,'02_Datos_Maestros'!$A$5:$A$21,0))</f>
        <v>3757</v>
      </c>
      <c r="E238" s="44">
        <f>INDEX('02_Datos_Maestros'!$I$5:$I$21,MATCH($B238,'02_Datos_Maestros'!$A$5:$A$21,0))</f>
        <v>3278</v>
      </c>
    </row>
    <row r="239" spans="1:5" hidden="1" x14ac:dyDescent="0.2">
      <c r="A239" s="44">
        <v>6616</v>
      </c>
      <c r="B239" s="44">
        <v>16816</v>
      </c>
      <c r="C239" s="44">
        <f>INDEX('04_Matriz_Cambios'!$B$6:$R$22,MATCH($A239,'04_Matriz_Cambios'!$A$6:$A$22,0),MATCH($B239,'04_Matriz_Cambios'!$B$5:$R$5,0))</f>
        <v>120</v>
      </c>
      <c r="D239" s="44">
        <f>INDEX('02_Datos_Maestros'!$I$5:$I$21,MATCH($A239,'02_Datos_Maestros'!$A$5:$A$21,0))</f>
        <v>3757</v>
      </c>
      <c r="E239" s="44">
        <f>INDEX('02_Datos_Maestros'!$I$5:$I$21,MATCH($B239,'02_Datos_Maestros'!$A$5:$A$21,0))</f>
        <v>3278</v>
      </c>
    </row>
    <row r="240" spans="1:5" hidden="1" x14ac:dyDescent="0.2">
      <c r="A240" s="44">
        <v>6616</v>
      </c>
      <c r="B240" s="44">
        <v>6743</v>
      </c>
      <c r="C240" s="44">
        <f>INDEX('04_Matriz_Cambios'!$B$6:$R$22,MATCH($A240,'04_Matriz_Cambios'!$A$6:$A$22,0),MATCH($B240,'04_Matriz_Cambios'!$B$5:$R$5,0))</f>
        <v>180</v>
      </c>
      <c r="D240" s="44">
        <f>INDEX('02_Datos_Maestros'!$I$5:$I$21,MATCH($A240,'02_Datos_Maestros'!$A$5:$A$21,0))</f>
        <v>3757</v>
      </c>
      <c r="E240" s="44">
        <f>INDEX('02_Datos_Maestros'!$I$5:$I$21,MATCH($B240,'02_Datos_Maestros'!$A$5:$A$21,0))</f>
        <v>6743</v>
      </c>
    </row>
    <row r="241" spans="1:5" hidden="1" x14ac:dyDescent="0.2">
      <c r="A241" s="44">
        <v>6616</v>
      </c>
      <c r="B241" s="44">
        <v>16787</v>
      </c>
      <c r="C241" s="44">
        <f>INDEX('04_Matriz_Cambios'!$B$6:$R$22,MATCH($A241,'04_Matriz_Cambios'!$A$6:$A$22,0),MATCH($B241,'04_Matriz_Cambios'!$B$5:$R$5,0))</f>
        <v>120</v>
      </c>
      <c r="D241" s="44">
        <f>INDEX('02_Datos_Maestros'!$I$5:$I$21,MATCH($A241,'02_Datos_Maestros'!$A$5:$A$21,0))</f>
        <v>3757</v>
      </c>
      <c r="E241" s="44">
        <f>INDEX('02_Datos_Maestros'!$I$5:$I$21,MATCH($B241,'02_Datos_Maestros'!$A$5:$A$21,0))</f>
        <v>5998</v>
      </c>
    </row>
    <row r="242" spans="1:5" hidden="1" x14ac:dyDescent="0.2">
      <c r="A242" s="44">
        <v>6616</v>
      </c>
      <c r="B242" s="44">
        <v>15881</v>
      </c>
      <c r="C242" s="44">
        <f>INDEX('04_Matriz_Cambios'!$B$6:$R$22,MATCH($A242,'04_Matriz_Cambios'!$A$6:$A$22,0),MATCH($B242,'04_Matriz_Cambios'!$B$5:$R$5,0))</f>
        <v>120</v>
      </c>
      <c r="D242" s="44">
        <f>INDEX('02_Datos_Maestros'!$I$5:$I$21,MATCH($A242,'02_Datos_Maestros'!$A$5:$A$21,0))</f>
        <v>3757</v>
      </c>
      <c r="E242" s="44">
        <f>INDEX('02_Datos_Maestros'!$I$5:$I$21,MATCH($B242,'02_Datos_Maestros'!$A$5:$A$21,0))</f>
        <v>5998</v>
      </c>
    </row>
    <row r="243" spans="1:5" hidden="1" x14ac:dyDescent="0.2">
      <c r="A243" s="44">
        <v>6616</v>
      </c>
      <c r="B243" s="44">
        <v>5998</v>
      </c>
      <c r="C243" s="44">
        <f>INDEX('04_Matriz_Cambios'!$B$6:$R$22,MATCH($A243,'04_Matriz_Cambios'!$A$6:$A$22,0),MATCH($B243,'04_Matriz_Cambios'!$B$5:$R$5,0))</f>
        <v>120</v>
      </c>
      <c r="D243" s="44">
        <f>INDEX('02_Datos_Maestros'!$I$5:$I$21,MATCH($A243,'02_Datos_Maestros'!$A$5:$A$21,0))</f>
        <v>3757</v>
      </c>
      <c r="E243" s="44">
        <f>INDEX('02_Datos_Maestros'!$I$5:$I$21,MATCH($B243,'02_Datos_Maestros'!$A$5:$A$21,0))</f>
        <v>5998</v>
      </c>
    </row>
    <row r="244" spans="1:5" hidden="1" x14ac:dyDescent="0.2">
      <c r="A244" s="44">
        <v>6616</v>
      </c>
      <c r="B244" s="44">
        <v>3749</v>
      </c>
      <c r="C244" s="44">
        <f>INDEX('04_Matriz_Cambios'!$B$6:$R$22,MATCH($A244,'04_Matriz_Cambios'!$A$6:$A$22,0),MATCH($B244,'04_Matriz_Cambios'!$B$5:$R$5,0))</f>
        <v>120</v>
      </c>
      <c r="D244" s="44">
        <f>INDEX('02_Datos_Maestros'!$I$5:$I$21,MATCH($A244,'02_Datos_Maestros'!$A$5:$A$21,0))</f>
        <v>3757</v>
      </c>
      <c r="E244" s="44">
        <f>INDEX('02_Datos_Maestros'!$I$5:$I$21,MATCH($B244,'02_Datos_Maestros'!$A$5:$A$21,0))</f>
        <v>3278</v>
      </c>
    </row>
    <row r="245" spans="1:5" hidden="1" x14ac:dyDescent="0.2">
      <c r="A245" s="44">
        <v>6616</v>
      </c>
      <c r="B245" s="44">
        <v>3278</v>
      </c>
      <c r="C245" s="44">
        <f>INDEX('04_Matriz_Cambios'!$B$6:$R$22,MATCH($A245,'04_Matriz_Cambios'!$A$6:$A$22,0),MATCH($B245,'04_Matriz_Cambios'!$B$5:$R$5,0))</f>
        <v>120</v>
      </c>
      <c r="D245" s="44">
        <f>INDEX('02_Datos_Maestros'!$I$5:$I$21,MATCH($A245,'02_Datos_Maestros'!$A$5:$A$21,0))</f>
        <v>3757</v>
      </c>
      <c r="E245" s="44">
        <f>INDEX('02_Datos_Maestros'!$I$5:$I$21,MATCH($B245,'02_Datos_Maestros'!$A$5:$A$21,0))</f>
        <v>3278</v>
      </c>
    </row>
    <row r="246" spans="1:5" hidden="1" x14ac:dyDescent="0.2">
      <c r="A246" s="44">
        <v>6616</v>
      </c>
      <c r="B246" s="44">
        <v>7590</v>
      </c>
      <c r="C246" s="44">
        <f>INDEX('04_Matriz_Cambios'!$B$6:$R$22,MATCH($A246,'04_Matriz_Cambios'!$A$6:$A$22,0),MATCH($B246,'04_Matriz_Cambios'!$B$5:$R$5,0))</f>
        <v>120</v>
      </c>
      <c r="D246" s="44">
        <f>INDEX('02_Datos_Maestros'!$I$5:$I$21,MATCH($A246,'02_Datos_Maestros'!$A$5:$A$21,0))</f>
        <v>3757</v>
      </c>
      <c r="E246" s="44">
        <f>INDEX('02_Datos_Maestros'!$I$5:$I$21,MATCH($B246,'02_Datos_Maestros'!$A$5:$A$21,0))</f>
        <v>3278</v>
      </c>
    </row>
    <row r="247" spans="1:5" hidden="1" x14ac:dyDescent="0.2">
      <c r="A247" s="44">
        <v>6616</v>
      </c>
      <c r="B247" s="44">
        <v>15795</v>
      </c>
      <c r="C247" s="44">
        <f>INDEX('04_Matriz_Cambios'!$B$6:$R$22,MATCH($A247,'04_Matriz_Cambios'!$A$6:$A$22,0),MATCH($B247,'04_Matriz_Cambios'!$B$5:$R$5,0))</f>
        <v>120</v>
      </c>
      <c r="D247" s="44">
        <f>INDEX('02_Datos_Maestros'!$I$5:$I$21,MATCH($A247,'02_Datos_Maestros'!$A$5:$A$21,0))</f>
        <v>3757</v>
      </c>
      <c r="E247" s="44">
        <f>INDEX('02_Datos_Maestros'!$I$5:$I$21,MATCH($B247,'02_Datos_Maestros'!$A$5:$A$21,0))</f>
        <v>3278</v>
      </c>
    </row>
    <row r="248" spans="1:5" hidden="1" x14ac:dyDescent="0.2">
      <c r="A248" s="44">
        <v>6616</v>
      </c>
      <c r="B248" s="44">
        <v>15564</v>
      </c>
      <c r="C248" s="44">
        <f>INDEX('04_Matriz_Cambios'!$B$6:$R$22,MATCH($A248,'04_Matriz_Cambios'!$A$6:$A$22,0),MATCH($B248,'04_Matriz_Cambios'!$B$5:$R$5,0))</f>
        <v>180</v>
      </c>
      <c r="D248" s="44">
        <f>INDEX('02_Datos_Maestros'!$I$5:$I$21,MATCH($A248,'02_Datos_Maestros'!$A$5:$A$21,0))</f>
        <v>3757</v>
      </c>
      <c r="E248" s="44">
        <f>INDEX('02_Datos_Maestros'!$I$5:$I$21,MATCH($B248,'02_Datos_Maestros'!$A$5:$A$21,0))</f>
        <v>15564</v>
      </c>
    </row>
    <row r="249" spans="1:5" hidden="1" x14ac:dyDescent="0.2">
      <c r="A249" s="44">
        <v>6616</v>
      </c>
      <c r="B249" s="44">
        <v>3643</v>
      </c>
      <c r="C249" s="44">
        <f>INDEX('04_Matriz_Cambios'!$B$6:$R$22,MATCH($A249,'04_Matriz_Cambios'!$A$6:$A$22,0),MATCH($B249,'04_Matriz_Cambios'!$B$5:$R$5,0))</f>
        <v>180</v>
      </c>
      <c r="D249" s="44">
        <f>INDEX('02_Datos_Maestros'!$I$5:$I$21,MATCH($A249,'02_Datos_Maestros'!$A$5:$A$21,0))</f>
        <v>3757</v>
      </c>
      <c r="E249" s="44">
        <f>INDEX('02_Datos_Maestros'!$I$5:$I$21,MATCH($B249,'02_Datos_Maestros'!$A$5:$A$21,0))</f>
        <v>3643</v>
      </c>
    </row>
    <row r="250" spans="1:5" hidden="1" x14ac:dyDescent="0.2">
      <c r="A250" s="44">
        <v>6616</v>
      </c>
      <c r="B250" s="44">
        <v>3533</v>
      </c>
      <c r="C250" s="44">
        <f>INDEX('04_Matriz_Cambios'!$B$6:$R$22,MATCH($A250,'04_Matriz_Cambios'!$A$6:$A$22,0),MATCH($B250,'04_Matriz_Cambios'!$B$5:$R$5,0))</f>
        <v>120</v>
      </c>
      <c r="D250" s="44">
        <f>INDEX('02_Datos_Maestros'!$I$5:$I$21,MATCH($A250,'02_Datos_Maestros'!$A$5:$A$21,0))</f>
        <v>3757</v>
      </c>
      <c r="E250" s="44">
        <f>INDEX('02_Datos_Maestros'!$I$5:$I$21,MATCH($B250,'02_Datos_Maestros'!$A$5:$A$21,0))</f>
        <v>3533</v>
      </c>
    </row>
    <row r="251" spans="1:5" hidden="1" x14ac:dyDescent="0.2">
      <c r="A251" s="44">
        <v>6639</v>
      </c>
      <c r="B251" s="44">
        <v>3757</v>
      </c>
      <c r="C251" s="44">
        <f>INDEX('04_Matriz_Cambios'!$B$6:$R$22,MATCH($A251,'04_Matriz_Cambios'!$A$6:$A$22,0),MATCH($B251,'04_Matriz_Cambios'!$B$5:$R$5,0))</f>
        <v>180</v>
      </c>
      <c r="D251" s="44">
        <f>INDEX('02_Datos_Maestros'!$I$5:$I$21,MATCH($A251,'02_Datos_Maestros'!$A$5:$A$21,0))</f>
        <v>6639</v>
      </c>
      <c r="E251" s="44">
        <f>INDEX('02_Datos_Maestros'!$I$5:$I$21,MATCH($B251,'02_Datos_Maestros'!$A$5:$A$21,0))</f>
        <v>3757</v>
      </c>
    </row>
    <row r="252" spans="1:5" hidden="1" x14ac:dyDescent="0.2">
      <c r="A252" s="44">
        <v>6639</v>
      </c>
      <c r="B252" s="44">
        <v>3925</v>
      </c>
      <c r="C252" s="44">
        <f>INDEX('04_Matriz_Cambios'!$B$6:$R$22,MATCH($A252,'04_Matriz_Cambios'!$A$6:$A$22,0),MATCH($B252,'04_Matriz_Cambios'!$B$5:$R$5,0))</f>
        <v>180</v>
      </c>
      <c r="D252" s="44">
        <f>INDEX('02_Datos_Maestros'!$I$5:$I$21,MATCH($A252,'02_Datos_Maestros'!$A$5:$A$21,0))</f>
        <v>6639</v>
      </c>
      <c r="E252" s="44">
        <f>INDEX('02_Datos_Maestros'!$I$5:$I$21,MATCH($B252,'02_Datos_Maestros'!$A$5:$A$21,0))</f>
        <v>3757</v>
      </c>
    </row>
    <row r="253" spans="1:5" hidden="1" x14ac:dyDescent="0.2">
      <c r="A253" s="44">
        <v>6639</v>
      </c>
      <c r="B253" s="44">
        <v>6616</v>
      </c>
      <c r="C253" s="44">
        <f>INDEX('04_Matriz_Cambios'!$B$6:$R$22,MATCH($A253,'04_Matriz_Cambios'!$A$6:$A$22,0),MATCH($B253,'04_Matriz_Cambios'!$B$5:$R$5,0))</f>
        <v>180</v>
      </c>
      <c r="D253" s="44">
        <f>INDEX('02_Datos_Maestros'!$I$5:$I$21,MATCH($A253,'02_Datos_Maestros'!$A$5:$A$21,0))</f>
        <v>6639</v>
      </c>
      <c r="E253" s="44">
        <f>INDEX('02_Datos_Maestros'!$I$5:$I$21,MATCH($B253,'02_Datos_Maestros'!$A$5:$A$21,0))</f>
        <v>3757</v>
      </c>
    </row>
    <row r="254" spans="1:5" hidden="1" x14ac:dyDescent="0.2">
      <c r="A254" s="44">
        <v>6639</v>
      </c>
      <c r="B254" s="44">
        <v>6639</v>
      </c>
      <c r="C254" s="44">
        <f>INDEX('04_Matriz_Cambios'!$B$6:$R$22,MATCH($A254,'04_Matriz_Cambios'!$A$6:$A$22,0),MATCH($B254,'04_Matriz_Cambios'!$B$5:$R$5,0))</f>
        <v>0</v>
      </c>
      <c r="D254" s="44">
        <f>INDEX('02_Datos_Maestros'!$I$5:$I$21,MATCH($A254,'02_Datos_Maestros'!$A$5:$A$21,0))</f>
        <v>6639</v>
      </c>
      <c r="E254" s="44">
        <f>INDEX('02_Datos_Maestros'!$I$5:$I$21,MATCH($B254,'02_Datos_Maestros'!$A$5:$A$21,0))</f>
        <v>6639</v>
      </c>
    </row>
    <row r="255" spans="1:5" hidden="1" x14ac:dyDescent="0.2">
      <c r="A255" s="44">
        <v>6639</v>
      </c>
      <c r="B255" s="44">
        <v>17246</v>
      </c>
      <c r="C255" s="44">
        <f>INDEX('04_Matriz_Cambios'!$B$6:$R$22,MATCH($A255,'04_Matriz_Cambios'!$A$6:$A$22,0),MATCH($B255,'04_Matriz_Cambios'!$B$5:$R$5,0))</f>
        <v>180</v>
      </c>
      <c r="D255" s="44">
        <f>INDEX('02_Datos_Maestros'!$I$5:$I$21,MATCH($A255,'02_Datos_Maestros'!$A$5:$A$21,0))</f>
        <v>6639</v>
      </c>
      <c r="E255" s="44">
        <f>INDEX('02_Datos_Maestros'!$I$5:$I$21,MATCH($B255,'02_Datos_Maestros'!$A$5:$A$21,0))</f>
        <v>3278</v>
      </c>
    </row>
    <row r="256" spans="1:5" hidden="1" x14ac:dyDescent="0.2">
      <c r="A256" s="44">
        <v>6639</v>
      </c>
      <c r="B256" s="44">
        <v>16816</v>
      </c>
      <c r="C256" s="44">
        <f>INDEX('04_Matriz_Cambios'!$B$6:$R$22,MATCH($A256,'04_Matriz_Cambios'!$A$6:$A$22,0),MATCH($B256,'04_Matriz_Cambios'!$B$5:$R$5,0))</f>
        <v>120</v>
      </c>
      <c r="D256" s="44">
        <f>INDEX('02_Datos_Maestros'!$I$5:$I$21,MATCH($A256,'02_Datos_Maestros'!$A$5:$A$21,0))</f>
        <v>6639</v>
      </c>
      <c r="E256" s="44">
        <f>INDEX('02_Datos_Maestros'!$I$5:$I$21,MATCH($B256,'02_Datos_Maestros'!$A$5:$A$21,0))</f>
        <v>3278</v>
      </c>
    </row>
    <row r="257" spans="1:5" hidden="1" x14ac:dyDescent="0.2">
      <c r="A257" s="44">
        <v>6639</v>
      </c>
      <c r="B257" s="44">
        <v>6743</v>
      </c>
      <c r="C257" s="44">
        <f>INDEX('04_Matriz_Cambios'!$B$6:$R$22,MATCH($A257,'04_Matriz_Cambios'!$A$6:$A$22,0),MATCH($B257,'04_Matriz_Cambios'!$B$5:$R$5,0))</f>
        <v>120</v>
      </c>
      <c r="D257" s="44">
        <f>INDEX('02_Datos_Maestros'!$I$5:$I$21,MATCH($A257,'02_Datos_Maestros'!$A$5:$A$21,0))</f>
        <v>6639</v>
      </c>
      <c r="E257" s="44">
        <f>INDEX('02_Datos_Maestros'!$I$5:$I$21,MATCH($B257,'02_Datos_Maestros'!$A$5:$A$21,0))</f>
        <v>6743</v>
      </c>
    </row>
    <row r="258" spans="1:5" hidden="1" x14ac:dyDescent="0.2">
      <c r="A258" s="44">
        <v>6639</v>
      </c>
      <c r="B258" s="44">
        <v>16787</v>
      </c>
      <c r="C258" s="44">
        <f>INDEX('04_Matriz_Cambios'!$B$6:$R$22,MATCH($A258,'04_Matriz_Cambios'!$A$6:$A$22,0),MATCH($B258,'04_Matriz_Cambios'!$B$5:$R$5,0))</f>
        <v>120</v>
      </c>
      <c r="D258" s="44">
        <f>INDEX('02_Datos_Maestros'!$I$5:$I$21,MATCH($A258,'02_Datos_Maestros'!$A$5:$A$21,0))</f>
        <v>6639</v>
      </c>
      <c r="E258" s="44">
        <f>INDEX('02_Datos_Maestros'!$I$5:$I$21,MATCH($B258,'02_Datos_Maestros'!$A$5:$A$21,0))</f>
        <v>5998</v>
      </c>
    </row>
    <row r="259" spans="1:5" hidden="1" x14ac:dyDescent="0.2">
      <c r="A259" s="44">
        <v>6639</v>
      </c>
      <c r="B259" s="44">
        <v>15881</v>
      </c>
      <c r="C259" s="44">
        <f>INDEX('04_Matriz_Cambios'!$B$6:$R$22,MATCH($A259,'04_Matriz_Cambios'!$A$6:$A$22,0),MATCH($B259,'04_Matriz_Cambios'!$B$5:$R$5,0))</f>
        <v>120</v>
      </c>
      <c r="D259" s="44">
        <f>INDEX('02_Datos_Maestros'!$I$5:$I$21,MATCH($A259,'02_Datos_Maestros'!$A$5:$A$21,0))</f>
        <v>6639</v>
      </c>
      <c r="E259" s="44">
        <f>INDEX('02_Datos_Maestros'!$I$5:$I$21,MATCH($B259,'02_Datos_Maestros'!$A$5:$A$21,0))</f>
        <v>5998</v>
      </c>
    </row>
    <row r="260" spans="1:5" hidden="1" x14ac:dyDescent="0.2">
      <c r="A260" s="44">
        <v>6639</v>
      </c>
      <c r="B260" s="44">
        <v>5998</v>
      </c>
      <c r="C260" s="44">
        <f>INDEX('04_Matriz_Cambios'!$B$6:$R$22,MATCH($A260,'04_Matriz_Cambios'!$A$6:$A$22,0),MATCH($B260,'04_Matriz_Cambios'!$B$5:$R$5,0))</f>
        <v>120</v>
      </c>
      <c r="D260" s="44">
        <f>INDEX('02_Datos_Maestros'!$I$5:$I$21,MATCH($A260,'02_Datos_Maestros'!$A$5:$A$21,0))</f>
        <v>6639</v>
      </c>
      <c r="E260" s="44">
        <f>INDEX('02_Datos_Maestros'!$I$5:$I$21,MATCH($B260,'02_Datos_Maestros'!$A$5:$A$21,0))</f>
        <v>5998</v>
      </c>
    </row>
    <row r="261" spans="1:5" hidden="1" x14ac:dyDescent="0.2">
      <c r="A261" s="44">
        <v>6639</v>
      </c>
      <c r="B261" s="44">
        <v>3749</v>
      </c>
      <c r="C261" s="44">
        <f>INDEX('04_Matriz_Cambios'!$B$6:$R$22,MATCH($A261,'04_Matriz_Cambios'!$A$6:$A$22,0),MATCH($B261,'04_Matriz_Cambios'!$B$5:$R$5,0))</f>
        <v>120</v>
      </c>
      <c r="D261" s="44">
        <f>INDEX('02_Datos_Maestros'!$I$5:$I$21,MATCH($A261,'02_Datos_Maestros'!$A$5:$A$21,0))</f>
        <v>6639</v>
      </c>
      <c r="E261" s="44">
        <f>INDEX('02_Datos_Maestros'!$I$5:$I$21,MATCH($B261,'02_Datos_Maestros'!$A$5:$A$21,0))</f>
        <v>3278</v>
      </c>
    </row>
    <row r="262" spans="1:5" hidden="1" x14ac:dyDescent="0.2">
      <c r="A262" s="44">
        <v>6639</v>
      </c>
      <c r="B262" s="44">
        <v>3278</v>
      </c>
      <c r="C262" s="44">
        <f>INDEX('04_Matriz_Cambios'!$B$6:$R$22,MATCH($A262,'04_Matriz_Cambios'!$A$6:$A$22,0),MATCH($B262,'04_Matriz_Cambios'!$B$5:$R$5,0))</f>
        <v>120</v>
      </c>
      <c r="D262" s="44">
        <f>INDEX('02_Datos_Maestros'!$I$5:$I$21,MATCH($A262,'02_Datos_Maestros'!$A$5:$A$21,0))</f>
        <v>6639</v>
      </c>
      <c r="E262" s="44">
        <f>INDEX('02_Datos_Maestros'!$I$5:$I$21,MATCH($B262,'02_Datos_Maestros'!$A$5:$A$21,0))</f>
        <v>3278</v>
      </c>
    </row>
    <row r="263" spans="1:5" hidden="1" x14ac:dyDescent="0.2">
      <c r="A263" s="44">
        <v>6639</v>
      </c>
      <c r="B263" s="44">
        <v>7590</v>
      </c>
      <c r="C263" s="44">
        <f>INDEX('04_Matriz_Cambios'!$B$6:$R$22,MATCH($A263,'04_Matriz_Cambios'!$A$6:$A$22,0),MATCH($B263,'04_Matriz_Cambios'!$B$5:$R$5,0))</f>
        <v>120</v>
      </c>
      <c r="D263" s="44">
        <f>INDEX('02_Datos_Maestros'!$I$5:$I$21,MATCH($A263,'02_Datos_Maestros'!$A$5:$A$21,0))</f>
        <v>6639</v>
      </c>
      <c r="E263" s="44">
        <f>INDEX('02_Datos_Maestros'!$I$5:$I$21,MATCH($B263,'02_Datos_Maestros'!$A$5:$A$21,0))</f>
        <v>3278</v>
      </c>
    </row>
    <row r="264" spans="1:5" hidden="1" x14ac:dyDescent="0.2">
      <c r="A264" s="44">
        <v>6639</v>
      </c>
      <c r="B264" s="44">
        <v>15795</v>
      </c>
      <c r="C264" s="44">
        <f>INDEX('04_Matriz_Cambios'!$B$6:$R$22,MATCH($A264,'04_Matriz_Cambios'!$A$6:$A$22,0),MATCH($B264,'04_Matriz_Cambios'!$B$5:$R$5,0))</f>
        <v>120</v>
      </c>
      <c r="D264" s="44">
        <f>INDEX('02_Datos_Maestros'!$I$5:$I$21,MATCH($A264,'02_Datos_Maestros'!$A$5:$A$21,0))</f>
        <v>6639</v>
      </c>
      <c r="E264" s="44">
        <f>INDEX('02_Datos_Maestros'!$I$5:$I$21,MATCH($B264,'02_Datos_Maestros'!$A$5:$A$21,0))</f>
        <v>3278</v>
      </c>
    </row>
    <row r="265" spans="1:5" hidden="1" x14ac:dyDescent="0.2">
      <c r="A265" s="44">
        <v>6639</v>
      </c>
      <c r="B265" s="44">
        <v>15564</v>
      </c>
      <c r="C265" s="44">
        <f>INDEX('04_Matriz_Cambios'!$B$6:$R$22,MATCH($A265,'04_Matriz_Cambios'!$A$6:$A$22,0),MATCH($B265,'04_Matriz_Cambios'!$B$5:$R$5,0))</f>
        <v>120</v>
      </c>
      <c r="D265" s="44">
        <f>INDEX('02_Datos_Maestros'!$I$5:$I$21,MATCH($A265,'02_Datos_Maestros'!$A$5:$A$21,0))</f>
        <v>6639</v>
      </c>
      <c r="E265" s="44">
        <f>INDEX('02_Datos_Maestros'!$I$5:$I$21,MATCH($B265,'02_Datos_Maestros'!$A$5:$A$21,0))</f>
        <v>15564</v>
      </c>
    </row>
    <row r="266" spans="1:5" hidden="1" x14ac:dyDescent="0.2">
      <c r="A266" s="44">
        <v>6639</v>
      </c>
      <c r="B266" s="44">
        <v>3643</v>
      </c>
      <c r="C266" s="44">
        <f>INDEX('04_Matriz_Cambios'!$B$6:$R$22,MATCH($A266,'04_Matriz_Cambios'!$A$6:$A$22,0),MATCH($B266,'04_Matriz_Cambios'!$B$5:$R$5,0))</f>
        <v>120</v>
      </c>
      <c r="D266" s="44">
        <f>INDEX('02_Datos_Maestros'!$I$5:$I$21,MATCH($A266,'02_Datos_Maestros'!$A$5:$A$21,0))</f>
        <v>6639</v>
      </c>
      <c r="E266" s="44">
        <f>INDEX('02_Datos_Maestros'!$I$5:$I$21,MATCH($B266,'02_Datos_Maestros'!$A$5:$A$21,0))</f>
        <v>3643</v>
      </c>
    </row>
    <row r="267" spans="1:5" hidden="1" x14ac:dyDescent="0.2">
      <c r="A267" s="44">
        <v>6639</v>
      </c>
      <c r="B267" s="44">
        <v>3533</v>
      </c>
      <c r="C267" s="44">
        <f>INDEX('04_Matriz_Cambios'!$B$6:$R$22,MATCH($A267,'04_Matriz_Cambios'!$A$6:$A$22,0),MATCH($B267,'04_Matriz_Cambios'!$B$5:$R$5,0))</f>
        <v>120</v>
      </c>
      <c r="D267" s="44">
        <f>INDEX('02_Datos_Maestros'!$I$5:$I$21,MATCH($A267,'02_Datos_Maestros'!$A$5:$A$21,0))</f>
        <v>6639</v>
      </c>
      <c r="E267" s="44">
        <f>INDEX('02_Datos_Maestros'!$I$5:$I$21,MATCH($B267,'02_Datos_Maestros'!$A$5:$A$21,0))</f>
        <v>3533</v>
      </c>
    </row>
    <row r="268" spans="1:5" hidden="1" x14ac:dyDescent="0.2">
      <c r="A268" s="44">
        <v>17246</v>
      </c>
      <c r="B268" s="44">
        <v>3757</v>
      </c>
      <c r="C268" s="44">
        <f>INDEX('04_Matriz_Cambios'!$B$6:$R$22,MATCH($A268,'04_Matriz_Cambios'!$A$6:$A$22,0),MATCH($B268,'04_Matriz_Cambios'!$B$5:$R$5,0))</f>
        <v>120</v>
      </c>
      <c r="D268" s="44">
        <f>INDEX('02_Datos_Maestros'!$I$5:$I$21,MATCH($A268,'02_Datos_Maestros'!$A$5:$A$21,0))</f>
        <v>3278</v>
      </c>
      <c r="E268" s="44">
        <f>INDEX('02_Datos_Maestros'!$I$5:$I$21,MATCH($B268,'02_Datos_Maestros'!$A$5:$A$21,0))</f>
        <v>3757</v>
      </c>
    </row>
    <row r="269" spans="1:5" hidden="1" x14ac:dyDescent="0.2">
      <c r="A269" s="44">
        <v>17246</v>
      </c>
      <c r="B269" s="44">
        <v>3925</v>
      </c>
      <c r="C269" s="44">
        <f>INDEX('04_Matriz_Cambios'!$B$6:$R$22,MATCH($A269,'04_Matriz_Cambios'!$A$6:$A$22,0),MATCH($B269,'04_Matriz_Cambios'!$B$5:$R$5,0))</f>
        <v>120</v>
      </c>
      <c r="D269" s="44">
        <f>INDEX('02_Datos_Maestros'!$I$5:$I$21,MATCH($A269,'02_Datos_Maestros'!$A$5:$A$21,0))</f>
        <v>3278</v>
      </c>
      <c r="E269" s="44">
        <f>INDEX('02_Datos_Maestros'!$I$5:$I$21,MATCH($B269,'02_Datos_Maestros'!$A$5:$A$21,0))</f>
        <v>3757</v>
      </c>
    </row>
    <row r="270" spans="1:5" hidden="1" x14ac:dyDescent="0.2">
      <c r="A270" s="44">
        <v>17246</v>
      </c>
      <c r="B270" s="44">
        <v>6616</v>
      </c>
      <c r="C270" s="44">
        <f>INDEX('04_Matriz_Cambios'!$B$6:$R$22,MATCH($A270,'04_Matriz_Cambios'!$A$6:$A$22,0),MATCH($B270,'04_Matriz_Cambios'!$B$5:$R$5,0))</f>
        <v>120</v>
      </c>
      <c r="D270" s="44">
        <f>INDEX('02_Datos_Maestros'!$I$5:$I$21,MATCH($A270,'02_Datos_Maestros'!$A$5:$A$21,0))</f>
        <v>3278</v>
      </c>
      <c r="E270" s="44">
        <f>INDEX('02_Datos_Maestros'!$I$5:$I$21,MATCH($B270,'02_Datos_Maestros'!$A$5:$A$21,0))</f>
        <v>3757</v>
      </c>
    </row>
    <row r="271" spans="1:5" hidden="1" x14ac:dyDescent="0.2">
      <c r="A271" s="44">
        <v>17246</v>
      </c>
      <c r="B271" s="44">
        <v>6639</v>
      </c>
      <c r="C271" s="44">
        <f>INDEX('04_Matriz_Cambios'!$B$6:$R$22,MATCH($A271,'04_Matriz_Cambios'!$A$6:$A$22,0),MATCH($B271,'04_Matriz_Cambios'!$B$5:$R$5,0))</f>
        <v>180</v>
      </c>
      <c r="D271" s="44">
        <f>INDEX('02_Datos_Maestros'!$I$5:$I$21,MATCH($A271,'02_Datos_Maestros'!$A$5:$A$21,0))</f>
        <v>3278</v>
      </c>
      <c r="E271" s="44">
        <f>INDEX('02_Datos_Maestros'!$I$5:$I$21,MATCH($B271,'02_Datos_Maestros'!$A$5:$A$21,0))</f>
        <v>6639</v>
      </c>
    </row>
    <row r="272" spans="1:5" hidden="1" x14ac:dyDescent="0.2">
      <c r="A272" s="44">
        <v>17246</v>
      </c>
      <c r="B272" s="44">
        <v>17246</v>
      </c>
      <c r="C272" s="44">
        <f>INDEX('04_Matriz_Cambios'!$B$6:$R$22,MATCH($A272,'04_Matriz_Cambios'!$A$6:$A$22,0),MATCH($B272,'04_Matriz_Cambios'!$B$5:$R$5,0))</f>
        <v>0</v>
      </c>
      <c r="D272" s="44">
        <f>INDEX('02_Datos_Maestros'!$I$5:$I$21,MATCH($A272,'02_Datos_Maestros'!$A$5:$A$21,0))</f>
        <v>3278</v>
      </c>
      <c r="E272" s="44">
        <f>INDEX('02_Datos_Maestros'!$I$5:$I$21,MATCH($B272,'02_Datos_Maestros'!$A$5:$A$21,0))</f>
        <v>3278</v>
      </c>
    </row>
    <row r="273" spans="1:5" hidden="1" x14ac:dyDescent="0.2">
      <c r="A273" s="44">
        <v>17246</v>
      </c>
      <c r="B273" s="44">
        <v>16816</v>
      </c>
      <c r="C273" s="44">
        <f>INDEX('04_Matriz_Cambios'!$B$6:$R$22,MATCH($A273,'04_Matriz_Cambios'!$A$6:$A$22,0),MATCH($B273,'04_Matriz_Cambios'!$B$5:$R$5,0))</f>
        <v>0</v>
      </c>
      <c r="D273" s="44">
        <f>INDEX('02_Datos_Maestros'!$I$5:$I$21,MATCH($A273,'02_Datos_Maestros'!$A$5:$A$21,0))</f>
        <v>3278</v>
      </c>
      <c r="E273" s="44">
        <f>INDEX('02_Datos_Maestros'!$I$5:$I$21,MATCH($B273,'02_Datos_Maestros'!$A$5:$A$21,0))</f>
        <v>3278</v>
      </c>
    </row>
    <row r="274" spans="1:5" hidden="1" x14ac:dyDescent="0.2">
      <c r="A274" s="44">
        <v>17246</v>
      </c>
      <c r="B274" s="44">
        <v>6743</v>
      </c>
      <c r="C274" s="44">
        <f>INDEX('04_Matriz_Cambios'!$B$6:$R$22,MATCH($A274,'04_Matriz_Cambios'!$A$6:$A$22,0),MATCH($B274,'04_Matriz_Cambios'!$B$5:$R$5,0))</f>
        <v>180</v>
      </c>
      <c r="D274" s="44">
        <f>INDEX('02_Datos_Maestros'!$I$5:$I$21,MATCH($A274,'02_Datos_Maestros'!$A$5:$A$21,0))</f>
        <v>3278</v>
      </c>
      <c r="E274" s="44">
        <f>INDEX('02_Datos_Maestros'!$I$5:$I$21,MATCH($B274,'02_Datos_Maestros'!$A$5:$A$21,0))</f>
        <v>6743</v>
      </c>
    </row>
    <row r="275" spans="1:5" hidden="1" x14ac:dyDescent="0.2">
      <c r="A275" s="44">
        <v>17246</v>
      </c>
      <c r="B275" s="44">
        <v>16787</v>
      </c>
      <c r="C275" s="44">
        <f>INDEX('04_Matriz_Cambios'!$B$6:$R$22,MATCH($A275,'04_Matriz_Cambios'!$A$6:$A$22,0),MATCH($B275,'04_Matriz_Cambios'!$B$5:$R$5,0))</f>
        <v>120</v>
      </c>
      <c r="D275" s="44">
        <f>INDEX('02_Datos_Maestros'!$I$5:$I$21,MATCH($A275,'02_Datos_Maestros'!$A$5:$A$21,0))</f>
        <v>3278</v>
      </c>
      <c r="E275" s="44">
        <f>INDEX('02_Datos_Maestros'!$I$5:$I$21,MATCH($B275,'02_Datos_Maestros'!$A$5:$A$21,0))</f>
        <v>5998</v>
      </c>
    </row>
    <row r="276" spans="1:5" hidden="1" x14ac:dyDescent="0.2">
      <c r="A276" s="44">
        <v>17246</v>
      </c>
      <c r="B276" s="44">
        <v>15881</v>
      </c>
      <c r="C276" s="44">
        <f>INDEX('04_Matriz_Cambios'!$B$6:$R$22,MATCH($A276,'04_Matriz_Cambios'!$A$6:$A$22,0),MATCH($B276,'04_Matriz_Cambios'!$B$5:$R$5,0))</f>
        <v>120</v>
      </c>
      <c r="D276" s="44">
        <f>INDEX('02_Datos_Maestros'!$I$5:$I$21,MATCH($A276,'02_Datos_Maestros'!$A$5:$A$21,0))</f>
        <v>3278</v>
      </c>
      <c r="E276" s="44">
        <f>INDEX('02_Datos_Maestros'!$I$5:$I$21,MATCH($B276,'02_Datos_Maestros'!$A$5:$A$21,0))</f>
        <v>5998</v>
      </c>
    </row>
    <row r="277" spans="1:5" hidden="1" x14ac:dyDescent="0.2">
      <c r="A277" s="44">
        <v>17246</v>
      </c>
      <c r="B277" s="44">
        <v>5998</v>
      </c>
      <c r="C277" s="44">
        <f>INDEX('04_Matriz_Cambios'!$B$6:$R$22,MATCH($A277,'04_Matriz_Cambios'!$A$6:$A$22,0),MATCH($B277,'04_Matriz_Cambios'!$B$5:$R$5,0))</f>
        <v>120</v>
      </c>
      <c r="D277" s="44">
        <f>INDEX('02_Datos_Maestros'!$I$5:$I$21,MATCH($A277,'02_Datos_Maestros'!$A$5:$A$21,0))</f>
        <v>3278</v>
      </c>
      <c r="E277" s="44">
        <f>INDEX('02_Datos_Maestros'!$I$5:$I$21,MATCH($B277,'02_Datos_Maestros'!$A$5:$A$21,0))</f>
        <v>5998</v>
      </c>
    </row>
    <row r="278" spans="1:5" hidden="1" x14ac:dyDescent="0.2">
      <c r="A278" s="44">
        <v>17246</v>
      </c>
      <c r="B278" s="44">
        <v>3749</v>
      </c>
      <c r="C278" s="44">
        <f>INDEX('04_Matriz_Cambios'!$B$6:$R$22,MATCH($A278,'04_Matriz_Cambios'!$A$6:$A$22,0),MATCH($B278,'04_Matriz_Cambios'!$B$5:$R$5,0))</f>
        <v>0</v>
      </c>
      <c r="D278" s="44">
        <f>INDEX('02_Datos_Maestros'!$I$5:$I$21,MATCH($A278,'02_Datos_Maestros'!$A$5:$A$21,0))</f>
        <v>3278</v>
      </c>
      <c r="E278" s="44">
        <f>INDEX('02_Datos_Maestros'!$I$5:$I$21,MATCH($B278,'02_Datos_Maestros'!$A$5:$A$21,0))</f>
        <v>3278</v>
      </c>
    </row>
    <row r="279" spans="1:5" hidden="1" x14ac:dyDescent="0.2">
      <c r="A279" s="44">
        <v>17246</v>
      </c>
      <c r="B279" s="44">
        <v>3278</v>
      </c>
      <c r="C279" s="44">
        <f>INDEX('04_Matriz_Cambios'!$B$6:$R$22,MATCH($A279,'04_Matriz_Cambios'!$A$6:$A$22,0),MATCH($B279,'04_Matriz_Cambios'!$B$5:$R$5,0))</f>
        <v>0</v>
      </c>
      <c r="D279" s="44">
        <f>INDEX('02_Datos_Maestros'!$I$5:$I$21,MATCH($A279,'02_Datos_Maestros'!$A$5:$A$21,0))</f>
        <v>3278</v>
      </c>
      <c r="E279" s="44">
        <f>INDEX('02_Datos_Maestros'!$I$5:$I$21,MATCH($B279,'02_Datos_Maestros'!$A$5:$A$21,0))</f>
        <v>3278</v>
      </c>
    </row>
    <row r="280" spans="1:5" hidden="1" x14ac:dyDescent="0.2">
      <c r="A280" s="44">
        <v>17246</v>
      </c>
      <c r="B280" s="44">
        <v>7590</v>
      </c>
      <c r="C280" s="44">
        <f>INDEX('04_Matriz_Cambios'!$B$6:$R$22,MATCH($A280,'04_Matriz_Cambios'!$A$6:$A$22,0),MATCH($B280,'04_Matriz_Cambios'!$B$5:$R$5,0))</f>
        <v>0</v>
      </c>
      <c r="D280" s="44">
        <f>INDEX('02_Datos_Maestros'!$I$5:$I$21,MATCH($A280,'02_Datos_Maestros'!$A$5:$A$21,0))</f>
        <v>3278</v>
      </c>
      <c r="E280" s="44">
        <f>INDEX('02_Datos_Maestros'!$I$5:$I$21,MATCH($B280,'02_Datos_Maestros'!$A$5:$A$21,0))</f>
        <v>3278</v>
      </c>
    </row>
    <row r="281" spans="1:5" hidden="1" x14ac:dyDescent="0.2">
      <c r="A281" s="44">
        <v>17246</v>
      </c>
      <c r="B281" s="44">
        <v>15795</v>
      </c>
      <c r="C281" s="44">
        <f>INDEX('04_Matriz_Cambios'!$B$6:$R$22,MATCH($A281,'04_Matriz_Cambios'!$A$6:$A$22,0),MATCH($B281,'04_Matriz_Cambios'!$B$5:$R$5,0))</f>
        <v>0</v>
      </c>
      <c r="D281" s="44">
        <f>INDEX('02_Datos_Maestros'!$I$5:$I$21,MATCH($A281,'02_Datos_Maestros'!$A$5:$A$21,0))</f>
        <v>3278</v>
      </c>
      <c r="E281" s="44">
        <f>INDEX('02_Datos_Maestros'!$I$5:$I$21,MATCH($B281,'02_Datos_Maestros'!$A$5:$A$21,0))</f>
        <v>3278</v>
      </c>
    </row>
    <row r="282" spans="1:5" hidden="1" x14ac:dyDescent="0.2">
      <c r="A282" s="44">
        <v>17246</v>
      </c>
      <c r="B282" s="44">
        <v>15564</v>
      </c>
      <c r="C282" s="44">
        <f>INDEX('04_Matriz_Cambios'!$B$6:$R$22,MATCH($A282,'04_Matriz_Cambios'!$A$6:$A$22,0),MATCH($B282,'04_Matriz_Cambios'!$B$5:$R$5,0))</f>
        <v>120</v>
      </c>
      <c r="D282" s="44">
        <f>INDEX('02_Datos_Maestros'!$I$5:$I$21,MATCH($A282,'02_Datos_Maestros'!$A$5:$A$21,0))</f>
        <v>3278</v>
      </c>
      <c r="E282" s="44">
        <f>INDEX('02_Datos_Maestros'!$I$5:$I$21,MATCH($B282,'02_Datos_Maestros'!$A$5:$A$21,0))</f>
        <v>15564</v>
      </c>
    </row>
    <row r="283" spans="1:5" hidden="1" x14ac:dyDescent="0.2">
      <c r="A283" s="44">
        <v>17246</v>
      </c>
      <c r="B283" s="44">
        <v>3643</v>
      </c>
      <c r="C283" s="44">
        <f>INDEX('04_Matriz_Cambios'!$B$6:$R$22,MATCH($A283,'04_Matriz_Cambios'!$A$6:$A$22,0),MATCH($B283,'04_Matriz_Cambios'!$B$5:$R$5,0))</f>
        <v>120</v>
      </c>
      <c r="D283" s="44">
        <f>INDEX('02_Datos_Maestros'!$I$5:$I$21,MATCH($A283,'02_Datos_Maestros'!$A$5:$A$21,0))</f>
        <v>3278</v>
      </c>
      <c r="E283" s="44">
        <f>INDEX('02_Datos_Maestros'!$I$5:$I$21,MATCH($B283,'02_Datos_Maestros'!$A$5:$A$21,0))</f>
        <v>3643</v>
      </c>
    </row>
    <row r="284" spans="1:5" hidden="1" x14ac:dyDescent="0.2">
      <c r="A284" s="44">
        <v>17246</v>
      </c>
      <c r="B284" s="44">
        <v>3533</v>
      </c>
      <c r="C284" s="44">
        <f>INDEX('04_Matriz_Cambios'!$B$6:$R$22,MATCH($A284,'04_Matriz_Cambios'!$A$6:$A$22,0),MATCH($B284,'04_Matriz_Cambios'!$B$5:$R$5,0))</f>
        <v>120</v>
      </c>
      <c r="D284" s="44">
        <f>INDEX('02_Datos_Maestros'!$I$5:$I$21,MATCH($A284,'02_Datos_Maestros'!$A$5:$A$21,0))</f>
        <v>3278</v>
      </c>
      <c r="E284" s="44">
        <f>INDEX('02_Datos_Maestros'!$I$5:$I$21,MATCH($B284,'02_Datos_Maestros'!$A$5:$A$21,0))</f>
        <v>3533</v>
      </c>
    </row>
    <row r="285" spans="1:5" hidden="1" x14ac:dyDescent="0.2">
      <c r="A285" s="44">
        <v>16816</v>
      </c>
      <c r="B285" s="44">
        <v>3757</v>
      </c>
      <c r="C285" s="44">
        <f>INDEX('04_Matriz_Cambios'!$B$6:$R$22,MATCH($A285,'04_Matriz_Cambios'!$A$6:$A$22,0),MATCH($B285,'04_Matriz_Cambios'!$B$5:$R$5,0))</f>
        <v>120</v>
      </c>
      <c r="D285" s="44">
        <f>INDEX('02_Datos_Maestros'!$I$5:$I$21,MATCH($A285,'02_Datos_Maestros'!$A$5:$A$21,0))</f>
        <v>3278</v>
      </c>
      <c r="E285" s="44">
        <f>INDEX('02_Datos_Maestros'!$I$5:$I$21,MATCH($B285,'02_Datos_Maestros'!$A$5:$A$21,0))</f>
        <v>3757</v>
      </c>
    </row>
    <row r="286" spans="1:5" hidden="1" x14ac:dyDescent="0.2">
      <c r="A286" s="44">
        <v>16816</v>
      </c>
      <c r="B286" s="44">
        <v>3925</v>
      </c>
      <c r="C286" s="44">
        <f>INDEX('04_Matriz_Cambios'!$B$6:$R$22,MATCH($A286,'04_Matriz_Cambios'!$A$6:$A$22,0),MATCH($B286,'04_Matriz_Cambios'!$B$5:$R$5,0))</f>
        <v>120</v>
      </c>
      <c r="D286" s="44">
        <f>INDEX('02_Datos_Maestros'!$I$5:$I$21,MATCH($A286,'02_Datos_Maestros'!$A$5:$A$21,0))</f>
        <v>3278</v>
      </c>
      <c r="E286" s="44">
        <f>INDEX('02_Datos_Maestros'!$I$5:$I$21,MATCH($B286,'02_Datos_Maestros'!$A$5:$A$21,0))</f>
        <v>3757</v>
      </c>
    </row>
    <row r="287" spans="1:5" hidden="1" x14ac:dyDescent="0.2">
      <c r="A287" s="44">
        <v>16816</v>
      </c>
      <c r="B287" s="44">
        <v>6616</v>
      </c>
      <c r="C287" s="44">
        <f>INDEX('04_Matriz_Cambios'!$B$6:$R$22,MATCH($A287,'04_Matriz_Cambios'!$A$6:$A$22,0),MATCH($B287,'04_Matriz_Cambios'!$B$5:$R$5,0))</f>
        <v>120</v>
      </c>
      <c r="D287" s="44">
        <f>INDEX('02_Datos_Maestros'!$I$5:$I$21,MATCH($A287,'02_Datos_Maestros'!$A$5:$A$21,0))</f>
        <v>3278</v>
      </c>
      <c r="E287" s="44">
        <f>INDEX('02_Datos_Maestros'!$I$5:$I$21,MATCH($B287,'02_Datos_Maestros'!$A$5:$A$21,0))</f>
        <v>3757</v>
      </c>
    </row>
    <row r="288" spans="1:5" hidden="1" x14ac:dyDescent="0.2">
      <c r="A288" s="44">
        <v>16816</v>
      </c>
      <c r="B288" s="44">
        <v>6639</v>
      </c>
      <c r="C288" s="44">
        <f>INDEX('04_Matriz_Cambios'!$B$6:$R$22,MATCH($A288,'04_Matriz_Cambios'!$A$6:$A$22,0),MATCH($B288,'04_Matriz_Cambios'!$B$5:$R$5,0))</f>
        <v>120</v>
      </c>
      <c r="D288" s="44">
        <f>INDEX('02_Datos_Maestros'!$I$5:$I$21,MATCH($A288,'02_Datos_Maestros'!$A$5:$A$21,0))</f>
        <v>3278</v>
      </c>
      <c r="E288" s="44">
        <f>INDEX('02_Datos_Maestros'!$I$5:$I$21,MATCH($B288,'02_Datos_Maestros'!$A$5:$A$21,0))</f>
        <v>6639</v>
      </c>
    </row>
    <row r="289" spans="1:5" hidden="1" x14ac:dyDescent="0.2">
      <c r="A289" s="44">
        <v>16816</v>
      </c>
      <c r="B289" s="44">
        <v>17246</v>
      </c>
      <c r="C289" s="44">
        <f>INDEX('04_Matriz_Cambios'!$B$6:$R$22,MATCH($A289,'04_Matriz_Cambios'!$A$6:$A$22,0),MATCH($B289,'04_Matriz_Cambios'!$B$5:$R$5,0))</f>
        <v>0</v>
      </c>
      <c r="D289" s="44">
        <f>INDEX('02_Datos_Maestros'!$I$5:$I$21,MATCH($A289,'02_Datos_Maestros'!$A$5:$A$21,0))</f>
        <v>3278</v>
      </c>
      <c r="E289" s="44">
        <f>INDEX('02_Datos_Maestros'!$I$5:$I$21,MATCH($B289,'02_Datos_Maestros'!$A$5:$A$21,0))</f>
        <v>3278</v>
      </c>
    </row>
    <row r="290" spans="1:5" hidden="1" x14ac:dyDescent="0.2">
      <c r="A290" s="44">
        <v>16816</v>
      </c>
      <c r="B290" s="44">
        <v>16816</v>
      </c>
      <c r="C290" s="44">
        <f>INDEX('04_Matriz_Cambios'!$B$6:$R$22,MATCH($A290,'04_Matriz_Cambios'!$A$6:$A$22,0),MATCH($B290,'04_Matriz_Cambios'!$B$5:$R$5,0))</f>
        <v>0</v>
      </c>
      <c r="D290" s="44">
        <f>INDEX('02_Datos_Maestros'!$I$5:$I$21,MATCH($A290,'02_Datos_Maestros'!$A$5:$A$21,0))</f>
        <v>3278</v>
      </c>
      <c r="E290" s="44">
        <f>INDEX('02_Datos_Maestros'!$I$5:$I$21,MATCH($B290,'02_Datos_Maestros'!$A$5:$A$21,0))</f>
        <v>3278</v>
      </c>
    </row>
    <row r="291" spans="1:5" hidden="1" x14ac:dyDescent="0.2">
      <c r="A291" s="44">
        <v>16816</v>
      </c>
      <c r="B291" s="44">
        <v>6743</v>
      </c>
      <c r="C291" s="44">
        <f>INDEX('04_Matriz_Cambios'!$B$6:$R$22,MATCH($A291,'04_Matriz_Cambios'!$A$6:$A$22,0),MATCH($B291,'04_Matriz_Cambios'!$B$5:$R$5,0))</f>
        <v>180</v>
      </c>
      <c r="D291" s="44">
        <f>INDEX('02_Datos_Maestros'!$I$5:$I$21,MATCH($A291,'02_Datos_Maestros'!$A$5:$A$21,0))</f>
        <v>3278</v>
      </c>
      <c r="E291" s="44">
        <f>INDEX('02_Datos_Maestros'!$I$5:$I$21,MATCH($B291,'02_Datos_Maestros'!$A$5:$A$21,0))</f>
        <v>6743</v>
      </c>
    </row>
    <row r="292" spans="1:5" hidden="1" x14ac:dyDescent="0.2">
      <c r="A292" s="44">
        <v>16816</v>
      </c>
      <c r="B292" s="44">
        <v>16787</v>
      </c>
      <c r="C292" s="44">
        <f>INDEX('04_Matriz_Cambios'!$B$6:$R$22,MATCH($A292,'04_Matriz_Cambios'!$A$6:$A$22,0),MATCH($B292,'04_Matriz_Cambios'!$B$5:$R$5,0))</f>
        <v>120</v>
      </c>
      <c r="D292" s="44">
        <f>INDEX('02_Datos_Maestros'!$I$5:$I$21,MATCH($A292,'02_Datos_Maestros'!$A$5:$A$21,0))</f>
        <v>3278</v>
      </c>
      <c r="E292" s="44">
        <f>INDEX('02_Datos_Maestros'!$I$5:$I$21,MATCH($B292,'02_Datos_Maestros'!$A$5:$A$21,0))</f>
        <v>5998</v>
      </c>
    </row>
    <row r="293" spans="1:5" hidden="1" x14ac:dyDescent="0.2">
      <c r="A293" s="44">
        <v>16816</v>
      </c>
      <c r="B293" s="44">
        <v>15881</v>
      </c>
      <c r="C293" s="44">
        <f>INDEX('04_Matriz_Cambios'!$B$6:$R$22,MATCH($A293,'04_Matriz_Cambios'!$A$6:$A$22,0),MATCH($B293,'04_Matriz_Cambios'!$B$5:$R$5,0))</f>
        <v>120</v>
      </c>
      <c r="D293" s="44">
        <f>INDEX('02_Datos_Maestros'!$I$5:$I$21,MATCH($A293,'02_Datos_Maestros'!$A$5:$A$21,0))</f>
        <v>3278</v>
      </c>
      <c r="E293" s="44">
        <f>INDEX('02_Datos_Maestros'!$I$5:$I$21,MATCH($B293,'02_Datos_Maestros'!$A$5:$A$21,0))</f>
        <v>5998</v>
      </c>
    </row>
    <row r="294" spans="1:5" hidden="1" x14ac:dyDescent="0.2">
      <c r="A294" s="44">
        <v>16816</v>
      </c>
      <c r="B294" s="44">
        <v>5998</v>
      </c>
      <c r="C294" s="44">
        <f>INDEX('04_Matriz_Cambios'!$B$6:$R$22,MATCH($A294,'04_Matriz_Cambios'!$A$6:$A$22,0),MATCH($B294,'04_Matriz_Cambios'!$B$5:$R$5,0))</f>
        <v>120</v>
      </c>
      <c r="D294" s="44">
        <f>INDEX('02_Datos_Maestros'!$I$5:$I$21,MATCH($A294,'02_Datos_Maestros'!$A$5:$A$21,0))</f>
        <v>3278</v>
      </c>
      <c r="E294" s="44">
        <f>INDEX('02_Datos_Maestros'!$I$5:$I$21,MATCH($B294,'02_Datos_Maestros'!$A$5:$A$21,0))</f>
        <v>5998</v>
      </c>
    </row>
    <row r="295" spans="1:5" hidden="1" x14ac:dyDescent="0.2">
      <c r="A295" s="44">
        <v>16816</v>
      </c>
      <c r="B295" s="44">
        <v>3749</v>
      </c>
      <c r="C295" s="44">
        <f>INDEX('04_Matriz_Cambios'!$B$6:$R$22,MATCH($A295,'04_Matriz_Cambios'!$A$6:$A$22,0),MATCH($B295,'04_Matriz_Cambios'!$B$5:$R$5,0))</f>
        <v>0</v>
      </c>
      <c r="D295" s="44">
        <f>INDEX('02_Datos_Maestros'!$I$5:$I$21,MATCH($A295,'02_Datos_Maestros'!$A$5:$A$21,0))</f>
        <v>3278</v>
      </c>
      <c r="E295" s="44">
        <f>INDEX('02_Datos_Maestros'!$I$5:$I$21,MATCH($B295,'02_Datos_Maestros'!$A$5:$A$21,0))</f>
        <v>3278</v>
      </c>
    </row>
    <row r="296" spans="1:5" hidden="1" x14ac:dyDescent="0.2">
      <c r="A296" s="44">
        <v>16816</v>
      </c>
      <c r="B296" s="44">
        <v>3278</v>
      </c>
      <c r="C296" s="44">
        <f>INDEX('04_Matriz_Cambios'!$B$6:$R$22,MATCH($A296,'04_Matriz_Cambios'!$A$6:$A$22,0),MATCH($B296,'04_Matriz_Cambios'!$B$5:$R$5,0))</f>
        <v>0</v>
      </c>
      <c r="D296" s="44">
        <f>INDEX('02_Datos_Maestros'!$I$5:$I$21,MATCH($A296,'02_Datos_Maestros'!$A$5:$A$21,0))</f>
        <v>3278</v>
      </c>
      <c r="E296" s="44">
        <f>INDEX('02_Datos_Maestros'!$I$5:$I$21,MATCH($B296,'02_Datos_Maestros'!$A$5:$A$21,0))</f>
        <v>3278</v>
      </c>
    </row>
    <row r="297" spans="1:5" hidden="1" x14ac:dyDescent="0.2">
      <c r="A297" s="44">
        <v>16816</v>
      </c>
      <c r="B297" s="44">
        <v>7590</v>
      </c>
      <c r="C297" s="44">
        <f>INDEX('04_Matriz_Cambios'!$B$6:$R$22,MATCH($A297,'04_Matriz_Cambios'!$A$6:$A$22,0),MATCH($B297,'04_Matriz_Cambios'!$B$5:$R$5,0))</f>
        <v>0</v>
      </c>
      <c r="D297" s="44">
        <f>INDEX('02_Datos_Maestros'!$I$5:$I$21,MATCH($A297,'02_Datos_Maestros'!$A$5:$A$21,0))</f>
        <v>3278</v>
      </c>
      <c r="E297" s="44">
        <f>INDEX('02_Datos_Maestros'!$I$5:$I$21,MATCH($B297,'02_Datos_Maestros'!$A$5:$A$21,0))</f>
        <v>3278</v>
      </c>
    </row>
    <row r="298" spans="1:5" hidden="1" x14ac:dyDescent="0.2">
      <c r="A298" s="44">
        <v>16816</v>
      </c>
      <c r="B298" s="44">
        <v>15795</v>
      </c>
      <c r="C298" s="44">
        <f>INDEX('04_Matriz_Cambios'!$B$6:$R$22,MATCH($A298,'04_Matriz_Cambios'!$A$6:$A$22,0),MATCH($B298,'04_Matriz_Cambios'!$B$5:$R$5,0))</f>
        <v>0</v>
      </c>
      <c r="D298" s="44">
        <f>INDEX('02_Datos_Maestros'!$I$5:$I$21,MATCH($A298,'02_Datos_Maestros'!$A$5:$A$21,0))</f>
        <v>3278</v>
      </c>
      <c r="E298" s="44">
        <f>INDEX('02_Datos_Maestros'!$I$5:$I$21,MATCH($B298,'02_Datos_Maestros'!$A$5:$A$21,0))</f>
        <v>3278</v>
      </c>
    </row>
    <row r="299" spans="1:5" hidden="1" x14ac:dyDescent="0.2">
      <c r="A299" s="44">
        <v>16816</v>
      </c>
      <c r="B299" s="44">
        <v>15564</v>
      </c>
      <c r="C299" s="44">
        <f>INDEX('04_Matriz_Cambios'!$B$6:$R$22,MATCH($A299,'04_Matriz_Cambios'!$A$6:$A$22,0),MATCH($B299,'04_Matriz_Cambios'!$B$5:$R$5,0))</f>
        <v>120</v>
      </c>
      <c r="D299" s="44">
        <f>INDEX('02_Datos_Maestros'!$I$5:$I$21,MATCH($A299,'02_Datos_Maestros'!$A$5:$A$21,0))</f>
        <v>3278</v>
      </c>
      <c r="E299" s="44">
        <f>INDEX('02_Datos_Maestros'!$I$5:$I$21,MATCH($B299,'02_Datos_Maestros'!$A$5:$A$21,0))</f>
        <v>15564</v>
      </c>
    </row>
    <row r="300" spans="1:5" hidden="1" x14ac:dyDescent="0.2">
      <c r="A300" s="44">
        <v>16816</v>
      </c>
      <c r="B300" s="44">
        <v>3643</v>
      </c>
      <c r="C300" s="44">
        <f>INDEX('04_Matriz_Cambios'!$B$6:$R$22,MATCH($A300,'04_Matriz_Cambios'!$A$6:$A$22,0),MATCH($B300,'04_Matriz_Cambios'!$B$5:$R$5,0))</f>
        <v>120</v>
      </c>
      <c r="D300" s="44">
        <f>INDEX('02_Datos_Maestros'!$I$5:$I$21,MATCH($A300,'02_Datos_Maestros'!$A$5:$A$21,0))</f>
        <v>3278</v>
      </c>
      <c r="E300" s="44">
        <f>INDEX('02_Datos_Maestros'!$I$5:$I$21,MATCH($B300,'02_Datos_Maestros'!$A$5:$A$21,0))</f>
        <v>3643</v>
      </c>
    </row>
    <row r="301" spans="1:5" hidden="1" x14ac:dyDescent="0.2">
      <c r="A301" s="44">
        <v>16816</v>
      </c>
      <c r="B301" s="44">
        <v>3533</v>
      </c>
      <c r="C301" s="44">
        <f>INDEX('04_Matriz_Cambios'!$B$6:$R$22,MATCH($A301,'04_Matriz_Cambios'!$A$6:$A$22,0),MATCH($B301,'04_Matriz_Cambios'!$B$5:$R$5,0))</f>
        <v>120</v>
      </c>
      <c r="D301" s="44">
        <f>INDEX('02_Datos_Maestros'!$I$5:$I$21,MATCH($A301,'02_Datos_Maestros'!$A$5:$A$21,0))</f>
        <v>3278</v>
      </c>
      <c r="E301" s="44">
        <f>INDEX('02_Datos_Maestros'!$I$5:$I$21,MATCH($B301,'02_Datos_Maestros'!$A$5:$A$21,0))</f>
        <v>3533</v>
      </c>
    </row>
    <row r="302" spans="1:5" hidden="1" x14ac:dyDescent="0.2">
      <c r="A302" s="44">
        <v>6743</v>
      </c>
      <c r="B302" s="44">
        <v>3757</v>
      </c>
      <c r="C302" s="44">
        <f>INDEX('04_Matriz_Cambios'!$B$6:$R$22,MATCH($A302,'04_Matriz_Cambios'!$A$6:$A$22,0),MATCH($B302,'04_Matriz_Cambios'!$B$5:$R$5,0))</f>
        <v>180</v>
      </c>
      <c r="D302" s="44">
        <f>INDEX('02_Datos_Maestros'!$I$5:$I$21,MATCH($A302,'02_Datos_Maestros'!$A$5:$A$21,0))</f>
        <v>6743</v>
      </c>
      <c r="E302" s="44">
        <f>INDEX('02_Datos_Maestros'!$I$5:$I$21,MATCH($B302,'02_Datos_Maestros'!$A$5:$A$21,0))</f>
        <v>3757</v>
      </c>
    </row>
    <row r="303" spans="1:5" hidden="1" x14ac:dyDescent="0.2">
      <c r="A303" s="44">
        <v>6743</v>
      </c>
      <c r="B303" s="44">
        <v>3925</v>
      </c>
      <c r="C303" s="44">
        <f>INDEX('04_Matriz_Cambios'!$B$6:$R$22,MATCH($A303,'04_Matriz_Cambios'!$A$6:$A$22,0),MATCH($B303,'04_Matriz_Cambios'!$B$5:$R$5,0))</f>
        <v>180</v>
      </c>
      <c r="D303" s="44">
        <f>INDEX('02_Datos_Maestros'!$I$5:$I$21,MATCH($A303,'02_Datos_Maestros'!$A$5:$A$21,0))</f>
        <v>6743</v>
      </c>
      <c r="E303" s="44">
        <f>INDEX('02_Datos_Maestros'!$I$5:$I$21,MATCH($B303,'02_Datos_Maestros'!$A$5:$A$21,0))</f>
        <v>3757</v>
      </c>
    </row>
    <row r="304" spans="1:5" hidden="1" x14ac:dyDescent="0.2">
      <c r="A304" s="44">
        <v>6743</v>
      </c>
      <c r="B304" s="44">
        <v>6616</v>
      </c>
      <c r="C304" s="44">
        <f>INDEX('04_Matriz_Cambios'!$B$6:$R$22,MATCH($A304,'04_Matriz_Cambios'!$A$6:$A$22,0),MATCH($B304,'04_Matriz_Cambios'!$B$5:$R$5,0))</f>
        <v>180</v>
      </c>
      <c r="D304" s="44">
        <f>INDEX('02_Datos_Maestros'!$I$5:$I$21,MATCH($A304,'02_Datos_Maestros'!$A$5:$A$21,0))</f>
        <v>6743</v>
      </c>
      <c r="E304" s="44">
        <f>INDEX('02_Datos_Maestros'!$I$5:$I$21,MATCH($B304,'02_Datos_Maestros'!$A$5:$A$21,0))</f>
        <v>3757</v>
      </c>
    </row>
    <row r="305" spans="1:5" hidden="1" x14ac:dyDescent="0.2">
      <c r="A305" s="44">
        <v>6743</v>
      </c>
      <c r="B305" s="44">
        <v>6639</v>
      </c>
      <c r="C305" s="44">
        <f>INDEX('04_Matriz_Cambios'!$B$6:$R$22,MATCH($A305,'04_Matriz_Cambios'!$A$6:$A$22,0),MATCH($B305,'04_Matriz_Cambios'!$B$5:$R$5,0))</f>
        <v>120</v>
      </c>
      <c r="D305" s="44">
        <f>INDEX('02_Datos_Maestros'!$I$5:$I$21,MATCH($A305,'02_Datos_Maestros'!$A$5:$A$21,0))</f>
        <v>6743</v>
      </c>
      <c r="E305" s="44">
        <f>INDEX('02_Datos_Maestros'!$I$5:$I$21,MATCH($B305,'02_Datos_Maestros'!$A$5:$A$21,0))</f>
        <v>6639</v>
      </c>
    </row>
    <row r="306" spans="1:5" hidden="1" x14ac:dyDescent="0.2">
      <c r="A306" s="44">
        <v>6743</v>
      </c>
      <c r="B306" s="44">
        <v>17246</v>
      </c>
      <c r="C306" s="44">
        <f>INDEX('04_Matriz_Cambios'!$B$6:$R$22,MATCH($A306,'04_Matriz_Cambios'!$A$6:$A$22,0),MATCH($B306,'04_Matriz_Cambios'!$B$5:$R$5,0))</f>
        <v>180</v>
      </c>
      <c r="D306" s="44">
        <f>INDEX('02_Datos_Maestros'!$I$5:$I$21,MATCH($A306,'02_Datos_Maestros'!$A$5:$A$21,0))</f>
        <v>6743</v>
      </c>
      <c r="E306" s="44">
        <f>INDEX('02_Datos_Maestros'!$I$5:$I$21,MATCH($B306,'02_Datos_Maestros'!$A$5:$A$21,0))</f>
        <v>3278</v>
      </c>
    </row>
    <row r="307" spans="1:5" hidden="1" x14ac:dyDescent="0.2">
      <c r="A307" s="44">
        <v>6743</v>
      </c>
      <c r="B307" s="44">
        <v>16816</v>
      </c>
      <c r="C307" s="44">
        <f>INDEX('04_Matriz_Cambios'!$B$6:$R$22,MATCH($A307,'04_Matriz_Cambios'!$A$6:$A$22,0),MATCH($B307,'04_Matriz_Cambios'!$B$5:$R$5,0))</f>
        <v>180</v>
      </c>
      <c r="D307" s="44">
        <f>INDEX('02_Datos_Maestros'!$I$5:$I$21,MATCH($A307,'02_Datos_Maestros'!$A$5:$A$21,0))</f>
        <v>6743</v>
      </c>
      <c r="E307" s="44">
        <f>INDEX('02_Datos_Maestros'!$I$5:$I$21,MATCH($B307,'02_Datos_Maestros'!$A$5:$A$21,0))</f>
        <v>3278</v>
      </c>
    </row>
    <row r="308" spans="1:5" hidden="1" x14ac:dyDescent="0.2">
      <c r="A308" s="44">
        <v>6743</v>
      </c>
      <c r="B308" s="44">
        <v>6743</v>
      </c>
      <c r="C308" s="44">
        <f>INDEX('04_Matriz_Cambios'!$B$6:$R$22,MATCH($A308,'04_Matriz_Cambios'!$A$6:$A$22,0),MATCH($B308,'04_Matriz_Cambios'!$B$5:$R$5,0))</f>
        <v>0</v>
      </c>
      <c r="D308" s="44">
        <f>INDEX('02_Datos_Maestros'!$I$5:$I$21,MATCH($A308,'02_Datos_Maestros'!$A$5:$A$21,0))</f>
        <v>6743</v>
      </c>
      <c r="E308" s="44">
        <f>INDEX('02_Datos_Maestros'!$I$5:$I$21,MATCH($B308,'02_Datos_Maestros'!$A$5:$A$21,0))</f>
        <v>6743</v>
      </c>
    </row>
    <row r="309" spans="1:5" hidden="1" x14ac:dyDescent="0.2">
      <c r="A309" s="44">
        <v>6743</v>
      </c>
      <c r="B309" s="44">
        <v>16787</v>
      </c>
      <c r="C309" s="44">
        <f>INDEX('04_Matriz_Cambios'!$B$6:$R$22,MATCH($A309,'04_Matriz_Cambios'!$A$6:$A$22,0),MATCH($B309,'04_Matriz_Cambios'!$B$5:$R$5,0))</f>
        <v>120</v>
      </c>
      <c r="D309" s="44">
        <f>INDEX('02_Datos_Maestros'!$I$5:$I$21,MATCH($A309,'02_Datos_Maestros'!$A$5:$A$21,0))</f>
        <v>6743</v>
      </c>
      <c r="E309" s="44">
        <f>INDEX('02_Datos_Maestros'!$I$5:$I$21,MATCH($B309,'02_Datos_Maestros'!$A$5:$A$21,0))</f>
        <v>5998</v>
      </c>
    </row>
    <row r="310" spans="1:5" hidden="1" x14ac:dyDescent="0.2">
      <c r="A310" s="44">
        <v>6743</v>
      </c>
      <c r="B310" s="44">
        <v>15881</v>
      </c>
      <c r="C310" s="44">
        <f>INDEX('04_Matriz_Cambios'!$B$6:$R$22,MATCH($A310,'04_Matriz_Cambios'!$A$6:$A$22,0),MATCH($B310,'04_Matriz_Cambios'!$B$5:$R$5,0))</f>
        <v>120</v>
      </c>
      <c r="D310" s="44">
        <f>INDEX('02_Datos_Maestros'!$I$5:$I$21,MATCH($A310,'02_Datos_Maestros'!$A$5:$A$21,0))</f>
        <v>6743</v>
      </c>
      <c r="E310" s="44">
        <f>INDEX('02_Datos_Maestros'!$I$5:$I$21,MATCH($B310,'02_Datos_Maestros'!$A$5:$A$21,0))</f>
        <v>5998</v>
      </c>
    </row>
    <row r="311" spans="1:5" hidden="1" x14ac:dyDescent="0.2">
      <c r="A311" s="44">
        <v>6743</v>
      </c>
      <c r="B311" s="44">
        <v>5998</v>
      </c>
      <c r="C311" s="44">
        <f>INDEX('04_Matriz_Cambios'!$B$6:$R$22,MATCH($A311,'04_Matriz_Cambios'!$A$6:$A$22,0),MATCH($B311,'04_Matriz_Cambios'!$B$5:$R$5,0))</f>
        <v>120</v>
      </c>
      <c r="D311" s="44">
        <f>INDEX('02_Datos_Maestros'!$I$5:$I$21,MATCH($A311,'02_Datos_Maestros'!$A$5:$A$21,0))</f>
        <v>6743</v>
      </c>
      <c r="E311" s="44">
        <f>INDEX('02_Datos_Maestros'!$I$5:$I$21,MATCH($B311,'02_Datos_Maestros'!$A$5:$A$21,0))</f>
        <v>5998</v>
      </c>
    </row>
    <row r="312" spans="1:5" hidden="1" x14ac:dyDescent="0.2">
      <c r="A312" s="44">
        <v>6743</v>
      </c>
      <c r="B312" s="44">
        <v>3749</v>
      </c>
      <c r="C312" s="44">
        <f>INDEX('04_Matriz_Cambios'!$B$6:$R$22,MATCH($A312,'04_Matriz_Cambios'!$A$6:$A$22,0),MATCH($B312,'04_Matriz_Cambios'!$B$5:$R$5,0))</f>
        <v>120</v>
      </c>
      <c r="D312" s="44">
        <f>INDEX('02_Datos_Maestros'!$I$5:$I$21,MATCH($A312,'02_Datos_Maestros'!$A$5:$A$21,0))</f>
        <v>6743</v>
      </c>
      <c r="E312" s="44">
        <f>INDEX('02_Datos_Maestros'!$I$5:$I$21,MATCH($B312,'02_Datos_Maestros'!$A$5:$A$21,0))</f>
        <v>3278</v>
      </c>
    </row>
    <row r="313" spans="1:5" hidden="1" x14ac:dyDescent="0.2">
      <c r="A313" s="44">
        <v>6743</v>
      </c>
      <c r="B313" s="44">
        <v>3278</v>
      </c>
      <c r="C313" s="44">
        <f>INDEX('04_Matriz_Cambios'!$B$6:$R$22,MATCH($A313,'04_Matriz_Cambios'!$A$6:$A$22,0),MATCH($B313,'04_Matriz_Cambios'!$B$5:$R$5,0))</f>
        <v>120</v>
      </c>
      <c r="D313" s="44">
        <f>INDEX('02_Datos_Maestros'!$I$5:$I$21,MATCH($A313,'02_Datos_Maestros'!$A$5:$A$21,0))</f>
        <v>6743</v>
      </c>
      <c r="E313" s="44">
        <f>INDEX('02_Datos_Maestros'!$I$5:$I$21,MATCH($B313,'02_Datos_Maestros'!$A$5:$A$21,0))</f>
        <v>3278</v>
      </c>
    </row>
    <row r="314" spans="1:5" hidden="1" x14ac:dyDescent="0.2">
      <c r="A314" s="44">
        <v>6743</v>
      </c>
      <c r="B314" s="44">
        <v>7590</v>
      </c>
      <c r="C314" s="44">
        <f>INDEX('04_Matriz_Cambios'!$B$6:$R$22,MATCH($A314,'04_Matriz_Cambios'!$A$6:$A$22,0),MATCH($B314,'04_Matriz_Cambios'!$B$5:$R$5,0))</f>
        <v>120</v>
      </c>
      <c r="D314" s="44">
        <f>INDEX('02_Datos_Maestros'!$I$5:$I$21,MATCH($A314,'02_Datos_Maestros'!$A$5:$A$21,0))</f>
        <v>6743</v>
      </c>
      <c r="E314" s="44">
        <f>INDEX('02_Datos_Maestros'!$I$5:$I$21,MATCH($B314,'02_Datos_Maestros'!$A$5:$A$21,0))</f>
        <v>3278</v>
      </c>
    </row>
    <row r="315" spans="1:5" hidden="1" x14ac:dyDescent="0.2">
      <c r="A315" s="44">
        <v>6743</v>
      </c>
      <c r="B315" s="44">
        <v>15795</v>
      </c>
      <c r="C315" s="44">
        <f>INDEX('04_Matriz_Cambios'!$B$6:$R$22,MATCH($A315,'04_Matriz_Cambios'!$A$6:$A$22,0),MATCH($B315,'04_Matriz_Cambios'!$B$5:$R$5,0))</f>
        <v>120</v>
      </c>
      <c r="D315" s="44">
        <f>INDEX('02_Datos_Maestros'!$I$5:$I$21,MATCH($A315,'02_Datos_Maestros'!$A$5:$A$21,0))</f>
        <v>6743</v>
      </c>
      <c r="E315" s="44">
        <f>INDEX('02_Datos_Maestros'!$I$5:$I$21,MATCH($B315,'02_Datos_Maestros'!$A$5:$A$21,0))</f>
        <v>3278</v>
      </c>
    </row>
    <row r="316" spans="1:5" hidden="1" x14ac:dyDescent="0.2">
      <c r="A316" s="44">
        <v>6743</v>
      </c>
      <c r="B316" s="44">
        <v>15564</v>
      </c>
      <c r="C316" s="44">
        <f>INDEX('04_Matriz_Cambios'!$B$6:$R$22,MATCH($A316,'04_Matriz_Cambios'!$A$6:$A$22,0),MATCH($B316,'04_Matriz_Cambios'!$B$5:$R$5,0))</f>
        <v>120</v>
      </c>
      <c r="D316" s="44">
        <f>INDEX('02_Datos_Maestros'!$I$5:$I$21,MATCH($A316,'02_Datos_Maestros'!$A$5:$A$21,0))</f>
        <v>6743</v>
      </c>
      <c r="E316" s="44">
        <f>INDEX('02_Datos_Maestros'!$I$5:$I$21,MATCH($B316,'02_Datos_Maestros'!$A$5:$A$21,0))</f>
        <v>15564</v>
      </c>
    </row>
    <row r="317" spans="1:5" hidden="1" x14ac:dyDescent="0.2">
      <c r="A317" s="44">
        <v>6743</v>
      </c>
      <c r="B317" s="44">
        <v>3643</v>
      </c>
      <c r="C317" s="44">
        <f>INDEX('04_Matriz_Cambios'!$B$6:$R$22,MATCH($A317,'04_Matriz_Cambios'!$A$6:$A$22,0),MATCH($B317,'04_Matriz_Cambios'!$B$5:$R$5,0))</f>
        <v>120</v>
      </c>
      <c r="D317" s="44">
        <f>INDEX('02_Datos_Maestros'!$I$5:$I$21,MATCH($A317,'02_Datos_Maestros'!$A$5:$A$21,0))</f>
        <v>6743</v>
      </c>
      <c r="E317" s="44">
        <f>INDEX('02_Datos_Maestros'!$I$5:$I$21,MATCH($B317,'02_Datos_Maestros'!$A$5:$A$21,0))</f>
        <v>3643</v>
      </c>
    </row>
    <row r="318" spans="1:5" hidden="1" x14ac:dyDescent="0.2">
      <c r="A318" s="44">
        <v>6743</v>
      </c>
      <c r="B318" s="44">
        <v>3533</v>
      </c>
      <c r="C318" s="44">
        <f>INDEX('04_Matriz_Cambios'!$B$6:$R$22,MATCH($A318,'04_Matriz_Cambios'!$A$6:$A$22,0),MATCH($B318,'04_Matriz_Cambios'!$B$5:$R$5,0))</f>
        <v>120</v>
      </c>
      <c r="D318" s="44">
        <f>INDEX('02_Datos_Maestros'!$I$5:$I$21,MATCH($A318,'02_Datos_Maestros'!$A$5:$A$21,0))</f>
        <v>6743</v>
      </c>
      <c r="E318" s="44">
        <f>INDEX('02_Datos_Maestros'!$I$5:$I$21,MATCH($B318,'02_Datos_Maestros'!$A$5:$A$21,0))</f>
        <v>3533</v>
      </c>
    </row>
    <row r="319" spans="1:5" hidden="1" x14ac:dyDescent="0.2">
      <c r="A319" s="44">
        <v>16787</v>
      </c>
      <c r="B319" s="44">
        <v>3757</v>
      </c>
      <c r="C319" s="44">
        <f>INDEX('04_Matriz_Cambios'!$B$6:$R$22,MATCH($A319,'04_Matriz_Cambios'!$A$6:$A$22,0),MATCH($B319,'04_Matriz_Cambios'!$B$5:$R$5,0))</f>
        <v>120</v>
      </c>
      <c r="D319" s="44">
        <f>INDEX('02_Datos_Maestros'!$I$5:$I$21,MATCH($A319,'02_Datos_Maestros'!$A$5:$A$21,0))</f>
        <v>5998</v>
      </c>
      <c r="E319" s="44">
        <f>INDEX('02_Datos_Maestros'!$I$5:$I$21,MATCH($B319,'02_Datos_Maestros'!$A$5:$A$21,0))</f>
        <v>3757</v>
      </c>
    </row>
    <row r="320" spans="1:5" hidden="1" x14ac:dyDescent="0.2">
      <c r="A320" s="44">
        <v>16787</v>
      </c>
      <c r="B320" s="44">
        <v>3925</v>
      </c>
      <c r="C320" s="44">
        <f>INDEX('04_Matriz_Cambios'!$B$6:$R$22,MATCH($A320,'04_Matriz_Cambios'!$A$6:$A$22,0),MATCH($B320,'04_Matriz_Cambios'!$B$5:$R$5,0))</f>
        <v>120</v>
      </c>
      <c r="D320" s="44">
        <f>INDEX('02_Datos_Maestros'!$I$5:$I$21,MATCH($A320,'02_Datos_Maestros'!$A$5:$A$21,0))</f>
        <v>5998</v>
      </c>
      <c r="E320" s="44">
        <f>INDEX('02_Datos_Maestros'!$I$5:$I$21,MATCH($B320,'02_Datos_Maestros'!$A$5:$A$21,0))</f>
        <v>3757</v>
      </c>
    </row>
    <row r="321" spans="1:5" hidden="1" x14ac:dyDescent="0.2">
      <c r="A321" s="44">
        <v>16787</v>
      </c>
      <c r="B321" s="44">
        <v>6616</v>
      </c>
      <c r="C321" s="44">
        <f>INDEX('04_Matriz_Cambios'!$B$6:$R$22,MATCH($A321,'04_Matriz_Cambios'!$A$6:$A$22,0),MATCH($B321,'04_Matriz_Cambios'!$B$5:$R$5,0))</f>
        <v>120</v>
      </c>
      <c r="D321" s="44">
        <f>INDEX('02_Datos_Maestros'!$I$5:$I$21,MATCH($A321,'02_Datos_Maestros'!$A$5:$A$21,0))</f>
        <v>5998</v>
      </c>
      <c r="E321" s="44">
        <f>INDEX('02_Datos_Maestros'!$I$5:$I$21,MATCH($B321,'02_Datos_Maestros'!$A$5:$A$21,0))</f>
        <v>3757</v>
      </c>
    </row>
    <row r="322" spans="1:5" hidden="1" x14ac:dyDescent="0.2">
      <c r="A322" s="44">
        <v>16787</v>
      </c>
      <c r="B322" s="44">
        <v>6639</v>
      </c>
      <c r="C322" s="44">
        <f>INDEX('04_Matriz_Cambios'!$B$6:$R$22,MATCH($A322,'04_Matriz_Cambios'!$A$6:$A$22,0),MATCH($B322,'04_Matriz_Cambios'!$B$5:$R$5,0))</f>
        <v>120</v>
      </c>
      <c r="D322" s="44">
        <f>INDEX('02_Datos_Maestros'!$I$5:$I$21,MATCH($A322,'02_Datos_Maestros'!$A$5:$A$21,0))</f>
        <v>5998</v>
      </c>
      <c r="E322" s="44">
        <f>INDEX('02_Datos_Maestros'!$I$5:$I$21,MATCH($B322,'02_Datos_Maestros'!$A$5:$A$21,0))</f>
        <v>6639</v>
      </c>
    </row>
    <row r="323" spans="1:5" hidden="1" x14ac:dyDescent="0.2">
      <c r="A323" s="44">
        <v>16787</v>
      </c>
      <c r="B323" s="44">
        <v>17246</v>
      </c>
      <c r="C323" s="44">
        <f>INDEX('04_Matriz_Cambios'!$B$6:$R$22,MATCH($A323,'04_Matriz_Cambios'!$A$6:$A$22,0),MATCH($B323,'04_Matriz_Cambios'!$B$5:$R$5,0))</f>
        <v>120</v>
      </c>
      <c r="D323" s="44">
        <f>INDEX('02_Datos_Maestros'!$I$5:$I$21,MATCH($A323,'02_Datos_Maestros'!$A$5:$A$21,0))</f>
        <v>5998</v>
      </c>
      <c r="E323" s="44">
        <f>INDEX('02_Datos_Maestros'!$I$5:$I$21,MATCH($B323,'02_Datos_Maestros'!$A$5:$A$21,0))</f>
        <v>3278</v>
      </c>
    </row>
    <row r="324" spans="1:5" hidden="1" x14ac:dyDescent="0.2">
      <c r="A324" s="44">
        <v>16787</v>
      </c>
      <c r="B324" s="44">
        <v>16816</v>
      </c>
      <c r="C324" s="44">
        <f>INDEX('04_Matriz_Cambios'!$B$6:$R$22,MATCH($A324,'04_Matriz_Cambios'!$A$6:$A$22,0),MATCH($B324,'04_Matriz_Cambios'!$B$5:$R$5,0))</f>
        <v>120</v>
      </c>
      <c r="D324" s="44">
        <f>INDEX('02_Datos_Maestros'!$I$5:$I$21,MATCH($A324,'02_Datos_Maestros'!$A$5:$A$21,0))</f>
        <v>5998</v>
      </c>
      <c r="E324" s="44">
        <f>INDEX('02_Datos_Maestros'!$I$5:$I$21,MATCH($B324,'02_Datos_Maestros'!$A$5:$A$21,0))</f>
        <v>3278</v>
      </c>
    </row>
    <row r="325" spans="1:5" hidden="1" x14ac:dyDescent="0.2">
      <c r="A325" s="44">
        <v>16787</v>
      </c>
      <c r="B325" s="44">
        <v>6743</v>
      </c>
      <c r="C325" s="44">
        <f>INDEX('04_Matriz_Cambios'!$B$6:$R$22,MATCH($A325,'04_Matriz_Cambios'!$A$6:$A$22,0),MATCH($B325,'04_Matriz_Cambios'!$B$5:$R$5,0))</f>
        <v>120</v>
      </c>
      <c r="D325" s="44">
        <f>INDEX('02_Datos_Maestros'!$I$5:$I$21,MATCH($A325,'02_Datos_Maestros'!$A$5:$A$21,0))</f>
        <v>5998</v>
      </c>
      <c r="E325" s="44">
        <f>INDEX('02_Datos_Maestros'!$I$5:$I$21,MATCH($B325,'02_Datos_Maestros'!$A$5:$A$21,0))</f>
        <v>6743</v>
      </c>
    </row>
    <row r="326" spans="1:5" hidden="1" x14ac:dyDescent="0.2">
      <c r="A326" s="44">
        <v>16787</v>
      </c>
      <c r="B326" s="44">
        <v>16787</v>
      </c>
      <c r="C326" s="44">
        <f>INDEX('04_Matriz_Cambios'!$B$6:$R$22,MATCH($A326,'04_Matriz_Cambios'!$A$6:$A$22,0),MATCH($B326,'04_Matriz_Cambios'!$B$5:$R$5,0))</f>
        <v>0</v>
      </c>
      <c r="D326" s="44">
        <f>INDEX('02_Datos_Maestros'!$I$5:$I$21,MATCH($A326,'02_Datos_Maestros'!$A$5:$A$21,0))</f>
        <v>5998</v>
      </c>
      <c r="E326" s="44">
        <f>INDEX('02_Datos_Maestros'!$I$5:$I$21,MATCH($B326,'02_Datos_Maestros'!$A$5:$A$21,0))</f>
        <v>5998</v>
      </c>
    </row>
    <row r="327" spans="1:5" hidden="1" x14ac:dyDescent="0.2">
      <c r="A327" s="44">
        <v>16787</v>
      </c>
      <c r="B327" s="44">
        <v>15881</v>
      </c>
      <c r="C327" s="44">
        <f>INDEX('04_Matriz_Cambios'!$B$6:$R$22,MATCH($A327,'04_Matriz_Cambios'!$A$6:$A$22,0),MATCH($B327,'04_Matriz_Cambios'!$B$5:$R$5,0))</f>
        <v>0</v>
      </c>
      <c r="D327" s="44">
        <f>INDEX('02_Datos_Maestros'!$I$5:$I$21,MATCH($A327,'02_Datos_Maestros'!$A$5:$A$21,0))</f>
        <v>5998</v>
      </c>
      <c r="E327" s="44">
        <f>INDEX('02_Datos_Maestros'!$I$5:$I$21,MATCH($B327,'02_Datos_Maestros'!$A$5:$A$21,0))</f>
        <v>5998</v>
      </c>
    </row>
    <row r="328" spans="1:5" hidden="1" x14ac:dyDescent="0.2">
      <c r="A328" s="44">
        <v>16787</v>
      </c>
      <c r="B328" s="44">
        <v>5998</v>
      </c>
      <c r="C328" s="44">
        <f>INDEX('04_Matriz_Cambios'!$B$6:$R$22,MATCH($A328,'04_Matriz_Cambios'!$A$6:$A$22,0),MATCH($B328,'04_Matriz_Cambios'!$B$5:$R$5,0))</f>
        <v>0</v>
      </c>
      <c r="D328" s="44">
        <f>INDEX('02_Datos_Maestros'!$I$5:$I$21,MATCH($A328,'02_Datos_Maestros'!$A$5:$A$21,0))</f>
        <v>5998</v>
      </c>
      <c r="E328" s="44">
        <f>INDEX('02_Datos_Maestros'!$I$5:$I$21,MATCH($B328,'02_Datos_Maestros'!$A$5:$A$21,0))</f>
        <v>5998</v>
      </c>
    </row>
    <row r="329" spans="1:5" hidden="1" x14ac:dyDescent="0.2">
      <c r="A329" s="44">
        <v>16787</v>
      </c>
      <c r="B329" s="44">
        <v>3749</v>
      </c>
      <c r="C329" s="44">
        <f>INDEX('04_Matriz_Cambios'!$B$6:$R$22,MATCH($A329,'04_Matriz_Cambios'!$A$6:$A$22,0),MATCH($B329,'04_Matriz_Cambios'!$B$5:$R$5,0))</f>
        <v>120</v>
      </c>
      <c r="D329" s="44">
        <f>INDEX('02_Datos_Maestros'!$I$5:$I$21,MATCH($A329,'02_Datos_Maestros'!$A$5:$A$21,0))</f>
        <v>5998</v>
      </c>
      <c r="E329" s="44">
        <f>INDEX('02_Datos_Maestros'!$I$5:$I$21,MATCH($B329,'02_Datos_Maestros'!$A$5:$A$21,0))</f>
        <v>3278</v>
      </c>
    </row>
    <row r="330" spans="1:5" hidden="1" x14ac:dyDescent="0.2">
      <c r="A330" s="44">
        <v>16787</v>
      </c>
      <c r="B330" s="44">
        <v>3278</v>
      </c>
      <c r="C330" s="44">
        <f>INDEX('04_Matriz_Cambios'!$B$6:$R$22,MATCH($A330,'04_Matriz_Cambios'!$A$6:$A$22,0),MATCH($B330,'04_Matriz_Cambios'!$B$5:$R$5,0))</f>
        <v>120</v>
      </c>
      <c r="D330" s="44">
        <f>INDEX('02_Datos_Maestros'!$I$5:$I$21,MATCH($A330,'02_Datos_Maestros'!$A$5:$A$21,0))</f>
        <v>5998</v>
      </c>
      <c r="E330" s="44">
        <f>INDEX('02_Datos_Maestros'!$I$5:$I$21,MATCH($B330,'02_Datos_Maestros'!$A$5:$A$21,0))</f>
        <v>3278</v>
      </c>
    </row>
    <row r="331" spans="1:5" hidden="1" x14ac:dyDescent="0.2">
      <c r="A331" s="44">
        <v>16787</v>
      </c>
      <c r="B331" s="44">
        <v>7590</v>
      </c>
      <c r="C331" s="44">
        <f>INDEX('04_Matriz_Cambios'!$B$6:$R$22,MATCH($A331,'04_Matriz_Cambios'!$A$6:$A$22,0),MATCH($B331,'04_Matriz_Cambios'!$B$5:$R$5,0))</f>
        <v>120</v>
      </c>
      <c r="D331" s="44">
        <f>INDEX('02_Datos_Maestros'!$I$5:$I$21,MATCH($A331,'02_Datos_Maestros'!$A$5:$A$21,0))</f>
        <v>5998</v>
      </c>
      <c r="E331" s="44">
        <f>INDEX('02_Datos_Maestros'!$I$5:$I$21,MATCH($B331,'02_Datos_Maestros'!$A$5:$A$21,0))</f>
        <v>3278</v>
      </c>
    </row>
    <row r="332" spans="1:5" hidden="1" x14ac:dyDescent="0.2">
      <c r="A332" s="44">
        <v>16787</v>
      </c>
      <c r="B332" s="44">
        <v>15795</v>
      </c>
      <c r="C332" s="44">
        <f>INDEX('04_Matriz_Cambios'!$B$6:$R$22,MATCH($A332,'04_Matriz_Cambios'!$A$6:$A$22,0),MATCH($B332,'04_Matriz_Cambios'!$B$5:$R$5,0))</f>
        <v>120</v>
      </c>
      <c r="D332" s="44">
        <f>INDEX('02_Datos_Maestros'!$I$5:$I$21,MATCH($A332,'02_Datos_Maestros'!$A$5:$A$21,0))</f>
        <v>5998</v>
      </c>
      <c r="E332" s="44">
        <f>INDEX('02_Datos_Maestros'!$I$5:$I$21,MATCH($B332,'02_Datos_Maestros'!$A$5:$A$21,0))</f>
        <v>3278</v>
      </c>
    </row>
    <row r="333" spans="1:5" hidden="1" x14ac:dyDescent="0.2">
      <c r="A333" s="44">
        <v>16787</v>
      </c>
      <c r="B333" s="44">
        <v>15564</v>
      </c>
      <c r="C333" s="44">
        <f>INDEX('04_Matriz_Cambios'!$B$6:$R$22,MATCH($A333,'04_Matriz_Cambios'!$A$6:$A$22,0),MATCH($B333,'04_Matriz_Cambios'!$B$5:$R$5,0))</f>
        <v>120</v>
      </c>
      <c r="D333" s="44">
        <f>INDEX('02_Datos_Maestros'!$I$5:$I$21,MATCH($A333,'02_Datos_Maestros'!$A$5:$A$21,0))</f>
        <v>5998</v>
      </c>
      <c r="E333" s="44">
        <f>INDEX('02_Datos_Maestros'!$I$5:$I$21,MATCH($B333,'02_Datos_Maestros'!$A$5:$A$21,0))</f>
        <v>15564</v>
      </c>
    </row>
    <row r="334" spans="1:5" hidden="1" x14ac:dyDescent="0.2">
      <c r="A334" s="44">
        <v>16787</v>
      </c>
      <c r="B334" s="44">
        <v>3643</v>
      </c>
      <c r="C334" s="44">
        <f>INDEX('04_Matriz_Cambios'!$B$6:$R$22,MATCH($A334,'04_Matriz_Cambios'!$A$6:$A$22,0),MATCH($B334,'04_Matriz_Cambios'!$B$5:$R$5,0))</f>
        <v>120</v>
      </c>
      <c r="D334" s="44">
        <f>INDEX('02_Datos_Maestros'!$I$5:$I$21,MATCH($A334,'02_Datos_Maestros'!$A$5:$A$21,0))</f>
        <v>5998</v>
      </c>
      <c r="E334" s="44">
        <f>INDEX('02_Datos_Maestros'!$I$5:$I$21,MATCH($B334,'02_Datos_Maestros'!$A$5:$A$21,0))</f>
        <v>3643</v>
      </c>
    </row>
    <row r="335" spans="1:5" hidden="1" x14ac:dyDescent="0.2">
      <c r="A335" s="44">
        <v>16787</v>
      </c>
      <c r="B335" s="44">
        <v>3533</v>
      </c>
      <c r="C335" s="44">
        <f>INDEX('04_Matriz_Cambios'!$B$6:$R$22,MATCH($A335,'04_Matriz_Cambios'!$A$6:$A$22,0),MATCH($B335,'04_Matriz_Cambios'!$B$5:$R$5,0))</f>
        <v>120</v>
      </c>
      <c r="D335" s="44">
        <f>INDEX('02_Datos_Maestros'!$I$5:$I$21,MATCH($A335,'02_Datos_Maestros'!$A$5:$A$21,0))</f>
        <v>5998</v>
      </c>
      <c r="E335" s="44">
        <f>INDEX('02_Datos_Maestros'!$I$5:$I$21,MATCH($B335,'02_Datos_Maestros'!$A$5:$A$21,0))</f>
        <v>3533</v>
      </c>
    </row>
    <row r="336" spans="1:5" hidden="1" x14ac:dyDescent="0.2">
      <c r="A336" s="44">
        <v>15881</v>
      </c>
      <c r="B336" s="44">
        <v>3757</v>
      </c>
      <c r="C336" s="44">
        <f>INDEX('04_Matriz_Cambios'!$B$6:$R$22,MATCH($A336,'04_Matriz_Cambios'!$A$6:$A$22,0),MATCH($B336,'04_Matriz_Cambios'!$B$5:$R$5,0))</f>
        <v>120</v>
      </c>
      <c r="D336" s="44">
        <f>INDEX('02_Datos_Maestros'!$I$5:$I$21,MATCH($A336,'02_Datos_Maestros'!$A$5:$A$21,0))</f>
        <v>5998</v>
      </c>
      <c r="E336" s="44">
        <f>INDEX('02_Datos_Maestros'!$I$5:$I$21,MATCH($B336,'02_Datos_Maestros'!$A$5:$A$21,0))</f>
        <v>3757</v>
      </c>
    </row>
    <row r="337" spans="1:5" hidden="1" x14ac:dyDescent="0.2">
      <c r="A337" s="44">
        <v>15881</v>
      </c>
      <c r="B337" s="44">
        <v>3925</v>
      </c>
      <c r="C337" s="44">
        <f>INDEX('04_Matriz_Cambios'!$B$6:$R$22,MATCH($A337,'04_Matriz_Cambios'!$A$6:$A$22,0),MATCH($B337,'04_Matriz_Cambios'!$B$5:$R$5,0))</f>
        <v>120</v>
      </c>
      <c r="D337" s="44">
        <f>INDEX('02_Datos_Maestros'!$I$5:$I$21,MATCH($A337,'02_Datos_Maestros'!$A$5:$A$21,0))</f>
        <v>5998</v>
      </c>
      <c r="E337" s="44">
        <f>INDEX('02_Datos_Maestros'!$I$5:$I$21,MATCH($B337,'02_Datos_Maestros'!$A$5:$A$21,0))</f>
        <v>3757</v>
      </c>
    </row>
    <row r="338" spans="1:5" hidden="1" x14ac:dyDescent="0.2">
      <c r="A338" s="44">
        <v>15881</v>
      </c>
      <c r="B338" s="44">
        <v>6616</v>
      </c>
      <c r="C338" s="44">
        <f>INDEX('04_Matriz_Cambios'!$B$6:$R$22,MATCH($A338,'04_Matriz_Cambios'!$A$6:$A$22,0),MATCH($B338,'04_Matriz_Cambios'!$B$5:$R$5,0))</f>
        <v>120</v>
      </c>
      <c r="D338" s="44">
        <f>INDEX('02_Datos_Maestros'!$I$5:$I$21,MATCH($A338,'02_Datos_Maestros'!$A$5:$A$21,0))</f>
        <v>5998</v>
      </c>
      <c r="E338" s="44">
        <f>INDEX('02_Datos_Maestros'!$I$5:$I$21,MATCH($B338,'02_Datos_Maestros'!$A$5:$A$21,0))</f>
        <v>3757</v>
      </c>
    </row>
    <row r="339" spans="1:5" hidden="1" x14ac:dyDescent="0.2">
      <c r="A339" s="44">
        <v>15881</v>
      </c>
      <c r="B339" s="44">
        <v>6639</v>
      </c>
      <c r="C339" s="44">
        <f>INDEX('04_Matriz_Cambios'!$B$6:$R$22,MATCH($A339,'04_Matriz_Cambios'!$A$6:$A$22,0),MATCH($B339,'04_Matriz_Cambios'!$B$5:$R$5,0))</f>
        <v>120</v>
      </c>
      <c r="D339" s="44">
        <f>INDEX('02_Datos_Maestros'!$I$5:$I$21,MATCH($A339,'02_Datos_Maestros'!$A$5:$A$21,0))</f>
        <v>5998</v>
      </c>
      <c r="E339" s="44">
        <f>INDEX('02_Datos_Maestros'!$I$5:$I$21,MATCH($B339,'02_Datos_Maestros'!$A$5:$A$21,0))</f>
        <v>6639</v>
      </c>
    </row>
    <row r="340" spans="1:5" hidden="1" x14ac:dyDescent="0.2">
      <c r="A340" s="44">
        <v>15881</v>
      </c>
      <c r="B340" s="44">
        <v>17246</v>
      </c>
      <c r="C340" s="44">
        <f>INDEX('04_Matriz_Cambios'!$B$6:$R$22,MATCH($A340,'04_Matriz_Cambios'!$A$6:$A$22,0),MATCH($B340,'04_Matriz_Cambios'!$B$5:$R$5,0))</f>
        <v>120</v>
      </c>
      <c r="D340" s="44">
        <f>INDEX('02_Datos_Maestros'!$I$5:$I$21,MATCH($A340,'02_Datos_Maestros'!$A$5:$A$21,0))</f>
        <v>5998</v>
      </c>
      <c r="E340" s="44">
        <f>INDEX('02_Datos_Maestros'!$I$5:$I$21,MATCH($B340,'02_Datos_Maestros'!$A$5:$A$21,0))</f>
        <v>3278</v>
      </c>
    </row>
    <row r="341" spans="1:5" hidden="1" x14ac:dyDescent="0.2">
      <c r="A341" s="44">
        <v>15881</v>
      </c>
      <c r="B341" s="44">
        <v>16816</v>
      </c>
      <c r="C341" s="44">
        <f>INDEX('04_Matriz_Cambios'!$B$6:$R$22,MATCH($A341,'04_Matriz_Cambios'!$A$6:$A$22,0),MATCH($B341,'04_Matriz_Cambios'!$B$5:$R$5,0))</f>
        <v>120</v>
      </c>
      <c r="D341" s="44">
        <f>INDEX('02_Datos_Maestros'!$I$5:$I$21,MATCH($A341,'02_Datos_Maestros'!$A$5:$A$21,0))</f>
        <v>5998</v>
      </c>
      <c r="E341" s="44">
        <f>INDEX('02_Datos_Maestros'!$I$5:$I$21,MATCH($B341,'02_Datos_Maestros'!$A$5:$A$21,0))</f>
        <v>3278</v>
      </c>
    </row>
    <row r="342" spans="1:5" hidden="1" x14ac:dyDescent="0.2">
      <c r="A342" s="44">
        <v>15881</v>
      </c>
      <c r="B342" s="44">
        <v>6743</v>
      </c>
      <c r="C342" s="44">
        <f>INDEX('04_Matriz_Cambios'!$B$6:$R$22,MATCH($A342,'04_Matriz_Cambios'!$A$6:$A$22,0),MATCH($B342,'04_Matriz_Cambios'!$B$5:$R$5,0))</f>
        <v>120</v>
      </c>
      <c r="D342" s="44">
        <f>INDEX('02_Datos_Maestros'!$I$5:$I$21,MATCH($A342,'02_Datos_Maestros'!$A$5:$A$21,0))</f>
        <v>5998</v>
      </c>
      <c r="E342" s="44">
        <f>INDEX('02_Datos_Maestros'!$I$5:$I$21,MATCH($B342,'02_Datos_Maestros'!$A$5:$A$21,0))</f>
        <v>6743</v>
      </c>
    </row>
    <row r="343" spans="1:5" hidden="1" x14ac:dyDescent="0.2">
      <c r="A343" s="44">
        <v>15881</v>
      </c>
      <c r="B343" s="44">
        <v>16787</v>
      </c>
      <c r="C343" s="44">
        <f>INDEX('04_Matriz_Cambios'!$B$6:$R$22,MATCH($A343,'04_Matriz_Cambios'!$A$6:$A$22,0),MATCH($B343,'04_Matriz_Cambios'!$B$5:$R$5,0))</f>
        <v>0</v>
      </c>
      <c r="D343" s="44">
        <f>INDEX('02_Datos_Maestros'!$I$5:$I$21,MATCH($A343,'02_Datos_Maestros'!$A$5:$A$21,0))</f>
        <v>5998</v>
      </c>
      <c r="E343" s="44">
        <f>INDEX('02_Datos_Maestros'!$I$5:$I$21,MATCH($B343,'02_Datos_Maestros'!$A$5:$A$21,0))</f>
        <v>5998</v>
      </c>
    </row>
    <row r="344" spans="1:5" hidden="1" x14ac:dyDescent="0.2">
      <c r="A344" s="44">
        <v>15881</v>
      </c>
      <c r="B344" s="44">
        <v>15881</v>
      </c>
      <c r="C344" s="44">
        <f>INDEX('04_Matriz_Cambios'!$B$6:$R$22,MATCH($A344,'04_Matriz_Cambios'!$A$6:$A$22,0),MATCH($B344,'04_Matriz_Cambios'!$B$5:$R$5,0))</f>
        <v>0</v>
      </c>
      <c r="D344" s="44">
        <f>INDEX('02_Datos_Maestros'!$I$5:$I$21,MATCH($A344,'02_Datos_Maestros'!$A$5:$A$21,0))</f>
        <v>5998</v>
      </c>
      <c r="E344" s="44">
        <f>INDEX('02_Datos_Maestros'!$I$5:$I$21,MATCH($B344,'02_Datos_Maestros'!$A$5:$A$21,0))</f>
        <v>5998</v>
      </c>
    </row>
    <row r="345" spans="1:5" hidden="1" x14ac:dyDescent="0.2">
      <c r="A345" s="44">
        <v>15881</v>
      </c>
      <c r="B345" s="44">
        <v>5998</v>
      </c>
      <c r="C345" s="44">
        <f>INDEX('04_Matriz_Cambios'!$B$6:$R$22,MATCH($A345,'04_Matriz_Cambios'!$A$6:$A$22,0),MATCH($B345,'04_Matriz_Cambios'!$B$5:$R$5,0))</f>
        <v>0</v>
      </c>
      <c r="D345" s="44">
        <f>INDEX('02_Datos_Maestros'!$I$5:$I$21,MATCH($A345,'02_Datos_Maestros'!$A$5:$A$21,0))</f>
        <v>5998</v>
      </c>
      <c r="E345" s="44">
        <f>INDEX('02_Datos_Maestros'!$I$5:$I$21,MATCH($B345,'02_Datos_Maestros'!$A$5:$A$21,0))</f>
        <v>5998</v>
      </c>
    </row>
    <row r="346" spans="1:5" hidden="1" x14ac:dyDescent="0.2">
      <c r="A346" s="44">
        <v>15881</v>
      </c>
      <c r="B346" s="44">
        <v>3749</v>
      </c>
      <c r="C346" s="44">
        <f>INDEX('04_Matriz_Cambios'!$B$6:$R$22,MATCH($A346,'04_Matriz_Cambios'!$A$6:$A$22,0),MATCH($B346,'04_Matriz_Cambios'!$B$5:$R$5,0))</f>
        <v>120</v>
      </c>
      <c r="D346" s="44">
        <f>INDEX('02_Datos_Maestros'!$I$5:$I$21,MATCH($A346,'02_Datos_Maestros'!$A$5:$A$21,0))</f>
        <v>5998</v>
      </c>
      <c r="E346" s="44">
        <f>INDEX('02_Datos_Maestros'!$I$5:$I$21,MATCH($B346,'02_Datos_Maestros'!$A$5:$A$21,0))</f>
        <v>3278</v>
      </c>
    </row>
    <row r="347" spans="1:5" hidden="1" x14ac:dyDescent="0.2">
      <c r="A347" s="44">
        <v>15881</v>
      </c>
      <c r="B347" s="44">
        <v>3278</v>
      </c>
      <c r="C347" s="44">
        <f>INDEX('04_Matriz_Cambios'!$B$6:$R$22,MATCH($A347,'04_Matriz_Cambios'!$A$6:$A$22,0),MATCH($B347,'04_Matriz_Cambios'!$B$5:$R$5,0))</f>
        <v>120</v>
      </c>
      <c r="D347" s="44">
        <f>INDEX('02_Datos_Maestros'!$I$5:$I$21,MATCH($A347,'02_Datos_Maestros'!$A$5:$A$21,0))</f>
        <v>5998</v>
      </c>
      <c r="E347" s="44">
        <f>INDEX('02_Datos_Maestros'!$I$5:$I$21,MATCH($B347,'02_Datos_Maestros'!$A$5:$A$21,0))</f>
        <v>3278</v>
      </c>
    </row>
    <row r="348" spans="1:5" hidden="1" x14ac:dyDescent="0.2">
      <c r="A348" s="44">
        <v>15881</v>
      </c>
      <c r="B348" s="44">
        <v>7590</v>
      </c>
      <c r="C348" s="44">
        <f>INDEX('04_Matriz_Cambios'!$B$6:$R$22,MATCH($A348,'04_Matriz_Cambios'!$A$6:$A$22,0),MATCH($B348,'04_Matriz_Cambios'!$B$5:$R$5,0))</f>
        <v>120</v>
      </c>
      <c r="D348" s="44">
        <f>INDEX('02_Datos_Maestros'!$I$5:$I$21,MATCH($A348,'02_Datos_Maestros'!$A$5:$A$21,0))</f>
        <v>5998</v>
      </c>
      <c r="E348" s="44">
        <f>INDEX('02_Datos_Maestros'!$I$5:$I$21,MATCH($B348,'02_Datos_Maestros'!$A$5:$A$21,0))</f>
        <v>3278</v>
      </c>
    </row>
    <row r="349" spans="1:5" hidden="1" x14ac:dyDescent="0.2">
      <c r="A349" s="44">
        <v>15881</v>
      </c>
      <c r="B349" s="44">
        <v>15795</v>
      </c>
      <c r="C349" s="44">
        <f>INDEX('04_Matriz_Cambios'!$B$6:$R$22,MATCH($A349,'04_Matriz_Cambios'!$A$6:$A$22,0),MATCH($B349,'04_Matriz_Cambios'!$B$5:$R$5,0))</f>
        <v>120</v>
      </c>
      <c r="D349" s="44">
        <f>INDEX('02_Datos_Maestros'!$I$5:$I$21,MATCH($A349,'02_Datos_Maestros'!$A$5:$A$21,0))</f>
        <v>5998</v>
      </c>
      <c r="E349" s="44">
        <f>INDEX('02_Datos_Maestros'!$I$5:$I$21,MATCH($B349,'02_Datos_Maestros'!$A$5:$A$21,0))</f>
        <v>3278</v>
      </c>
    </row>
    <row r="350" spans="1:5" hidden="1" x14ac:dyDescent="0.2">
      <c r="A350" s="44">
        <v>15881</v>
      </c>
      <c r="B350" s="44">
        <v>15564</v>
      </c>
      <c r="C350" s="44">
        <f>INDEX('04_Matriz_Cambios'!$B$6:$R$22,MATCH($A350,'04_Matriz_Cambios'!$A$6:$A$22,0),MATCH($B350,'04_Matriz_Cambios'!$B$5:$R$5,0))</f>
        <v>120</v>
      </c>
      <c r="D350" s="44">
        <f>INDEX('02_Datos_Maestros'!$I$5:$I$21,MATCH($A350,'02_Datos_Maestros'!$A$5:$A$21,0))</f>
        <v>5998</v>
      </c>
      <c r="E350" s="44">
        <f>INDEX('02_Datos_Maestros'!$I$5:$I$21,MATCH($B350,'02_Datos_Maestros'!$A$5:$A$21,0))</f>
        <v>15564</v>
      </c>
    </row>
    <row r="351" spans="1:5" hidden="1" x14ac:dyDescent="0.2">
      <c r="A351" s="44">
        <v>15881</v>
      </c>
      <c r="B351" s="44">
        <v>3643</v>
      </c>
      <c r="C351" s="44">
        <f>INDEX('04_Matriz_Cambios'!$B$6:$R$22,MATCH($A351,'04_Matriz_Cambios'!$A$6:$A$22,0),MATCH($B351,'04_Matriz_Cambios'!$B$5:$R$5,0))</f>
        <v>120</v>
      </c>
      <c r="D351" s="44">
        <f>INDEX('02_Datos_Maestros'!$I$5:$I$21,MATCH($A351,'02_Datos_Maestros'!$A$5:$A$21,0))</f>
        <v>5998</v>
      </c>
      <c r="E351" s="44">
        <f>INDEX('02_Datos_Maestros'!$I$5:$I$21,MATCH($B351,'02_Datos_Maestros'!$A$5:$A$21,0))</f>
        <v>3643</v>
      </c>
    </row>
    <row r="352" spans="1:5" hidden="1" x14ac:dyDescent="0.2">
      <c r="A352" s="44">
        <v>15881</v>
      </c>
      <c r="B352" s="44">
        <v>3533</v>
      </c>
      <c r="C352" s="44">
        <f>INDEX('04_Matriz_Cambios'!$B$6:$R$22,MATCH($A352,'04_Matriz_Cambios'!$A$6:$A$22,0),MATCH($B352,'04_Matriz_Cambios'!$B$5:$R$5,0))</f>
        <v>120</v>
      </c>
      <c r="D352" s="44">
        <f>INDEX('02_Datos_Maestros'!$I$5:$I$21,MATCH($A352,'02_Datos_Maestros'!$A$5:$A$21,0))</f>
        <v>5998</v>
      </c>
      <c r="E352" s="44">
        <f>INDEX('02_Datos_Maestros'!$I$5:$I$21,MATCH($B352,'02_Datos_Maestros'!$A$5:$A$21,0))</f>
        <v>3533</v>
      </c>
    </row>
    <row r="353" spans="1:5" hidden="1" x14ac:dyDescent="0.2">
      <c r="A353" s="44">
        <v>5998</v>
      </c>
      <c r="B353" s="44">
        <v>3757</v>
      </c>
      <c r="C353" s="44">
        <f>INDEX('04_Matriz_Cambios'!$B$6:$R$22,MATCH($A353,'04_Matriz_Cambios'!$A$6:$A$22,0),MATCH($B353,'04_Matriz_Cambios'!$B$5:$R$5,0))</f>
        <v>120</v>
      </c>
      <c r="D353" s="44">
        <f>INDEX('02_Datos_Maestros'!$I$5:$I$21,MATCH($A353,'02_Datos_Maestros'!$A$5:$A$21,0))</f>
        <v>5998</v>
      </c>
      <c r="E353" s="44">
        <f>INDEX('02_Datos_Maestros'!$I$5:$I$21,MATCH($B353,'02_Datos_Maestros'!$A$5:$A$21,0))</f>
        <v>3757</v>
      </c>
    </row>
    <row r="354" spans="1:5" hidden="1" x14ac:dyDescent="0.2">
      <c r="A354" s="44">
        <v>5998</v>
      </c>
      <c r="B354" s="44">
        <v>3925</v>
      </c>
      <c r="C354" s="44">
        <f>INDEX('04_Matriz_Cambios'!$B$6:$R$22,MATCH($A354,'04_Matriz_Cambios'!$A$6:$A$22,0),MATCH($B354,'04_Matriz_Cambios'!$B$5:$R$5,0))</f>
        <v>120</v>
      </c>
      <c r="D354" s="44">
        <f>INDEX('02_Datos_Maestros'!$I$5:$I$21,MATCH($A354,'02_Datos_Maestros'!$A$5:$A$21,0))</f>
        <v>5998</v>
      </c>
      <c r="E354" s="44">
        <f>INDEX('02_Datos_Maestros'!$I$5:$I$21,MATCH($B354,'02_Datos_Maestros'!$A$5:$A$21,0))</f>
        <v>3757</v>
      </c>
    </row>
    <row r="355" spans="1:5" hidden="1" x14ac:dyDescent="0.2">
      <c r="A355" s="44">
        <v>5998</v>
      </c>
      <c r="B355" s="44">
        <v>6616</v>
      </c>
      <c r="C355" s="44">
        <f>INDEX('04_Matriz_Cambios'!$B$6:$R$22,MATCH($A355,'04_Matriz_Cambios'!$A$6:$A$22,0),MATCH($B355,'04_Matriz_Cambios'!$B$5:$R$5,0))</f>
        <v>120</v>
      </c>
      <c r="D355" s="44">
        <f>INDEX('02_Datos_Maestros'!$I$5:$I$21,MATCH($A355,'02_Datos_Maestros'!$A$5:$A$21,0))</f>
        <v>5998</v>
      </c>
      <c r="E355" s="44">
        <f>INDEX('02_Datos_Maestros'!$I$5:$I$21,MATCH($B355,'02_Datos_Maestros'!$A$5:$A$21,0))</f>
        <v>3757</v>
      </c>
    </row>
    <row r="356" spans="1:5" hidden="1" x14ac:dyDescent="0.2">
      <c r="A356" s="44">
        <v>5998</v>
      </c>
      <c r="B356" s="44">
        <v>6639</v>
      </c>
      <c r="C356" s="44">
        <f>INDEX('04_Matriz_Cambios'!$B$6:$R$22,MATCH($A356,'04_Matriz_Cambios'!$A$6:$A$22,0),MATCH($B356,'04_Matriz_Cambios'!$B$5:$R$5,0))</f>
        <v>120</v>
      </c>
      <c r="D356" s="44">
        <f>INDEX('02_Datos_Maestros'!$I$5:$I$21,MATCH($A356,'02_Datos_Maestros'!$A$5:$A$21,0))</f>
        <v>5998</v>
      </c>
      <c r="E356" s="44">
        <f>INDEX('02_Datos_Maestros'!$I$5:$I$21,MATCH($B356,'02_Datos_Maestros'!$A$5:$A$21,0))</f>
        <v>6639</v>
      </c>
    </row>
    <row r="357" spans="1:5" hidden="1" x14ac:dyDescent="0.2">
      <c r="A357" s="44">
        <v>5998</v>
      </c>
      <c r="B357" s="44">
        <v>17246</v>
      </c>
      <c r="C357" s="44">
        <f>INDEX('04_Matriz_Cambios'!$B$6:$R$22,MATCH($A357,'04_Matriz_Cambios'!$A$6:$A$22,0),MATCH($B357,'04_Matriz_Cambios'!$B$5:$R$5,0))</f>
        <v>120</v>
      </c>
      <c r="D357" s="44">
        <f>INDEX('02_Datos_Maestros'!$I$5:$I$21,MATCH($A357,'02_Datos_Maestros'!$A$5:$A$21,0))</f>
        <v>5998</v>
      </c>
      <c r="E357" s="44">
        <f>INDEX('02_Datos_Maestros'!$I$5:$I$21,MATCH($B357,'02_Datos_Maestros'!$A$5:$A$21,0))</f>
        <v>3278</v>
      </c>
    </row>
    <row r="358" spans="1:5" hidden="1" x14ac:dyDescent="0.2">
      <c r="A358" s="44">
        <v>5998</v>
      </c>
      <c r="B358" s="44">
        <v>16816</v>
      </c>
      <c r="C358" s="44">
        <f>INDEX('04_Matriz_Cambios'!$B$6:$R$22,MATCH($A358,'04_Matriz_Cambios'!$A$6:$A$22,0),MATCH($B358,'04_Matriz_Cambios'!$B$5:$R$5,0))</f>
        <v>120</v>
      </c>
      <c r="D358" s="44">
        <f>INDEX('02_Datos_Maestros'!$I$5:$I$21,MATCH($A358,'02_Datos_Maestros'!$A$5:$A$21,0))</f>
        <v>5998</v>
      </c>
      <c r="E358" s="44">
        <f>INDEX('02_Datos_Maestros'!$I$5:$I$21,MATCH($B358,'02_Datos_Maestros'!$A$5:$A$21,0))</f>
        <v>3278</v>
      </c>
    </row>
    <row r="359" spans="1:5" hidden="1" x14ac:dyDescent="0.2">
      <c r="A359" s="44">
        <v>5998</v>
      </c>
      <c r="B359" s="44">
        <v>6743</v>
      </c>
      <c r="C359" s="44">
        <f>INDEX('04_Matriz_Cambios'!$B$6:$R$22,MATCH($A359,'04_Matriz_Cambios'!$A$6:$A$22,0),MATCH($B359,'04_Matriz_Cambios'!$B$5:$R$5,0))</f>
        <v>120</v>
      </c>
      <c r="D359" s="44">
        <f>INDEX('02_Datos_Maestros'!$I$5:$I$21,MATCH($A359,'02_Datos_Maestros'!$A$5:$A$21,0))</f>
        <v>5998</v>
      </c>
      <c r="E359" s="44">
        <f>INDEX('02_Datos_Maestros'!$I$5:$I$21,MATCH($B359,'02_Datos_Maestros'!$A$5:$A$21,0))</f>
        <v>6743</v>
      </c>
    </row>
    <row r="360" spans="1:5" hidden="1" x14ac:dyDescent="0.2">
      <c r="A360" s="44">
        <v>5998</v>
      </c>
      <c r="B360" s="44">
        <v>16787</v>
      </c>
      <c r="C360" s="44">
        <f>INDEX('04_Matriz_Cambios'!$B$6:$R$22,MATCH($A360,'04_Matriz_Cambios'!$A$6:$A$22,0),MATCH($B360,'04_Matriz_Cambios'!$B$5:$R$5,0))</f>
        <v>0</v>
      </c>
      <c r="D360" s="44">
        <f>INDEX('02_Datos_Maestros'!$I$5:$I$21,MATCH($A360,'02_Datos_Maestros'!$A$5:$A$21,0))</f>
        <v>5998</v>
      </c>
      <c r="E360" s="44">
        <f>INDEX('02_Datos_Maestros'!$I$5:$I$21,MATCH($B360,'02_Datos_Maestros'!$A$5:$A$21,0))</f>
        <v>5998</v>
      </c>
    </row>
    <row r="361" spans="1:5" hidden="1" x14ac:dyDescent="0.2">
      <c r="A361" s="44">
        <v>5998</v>
      </c>
      <c r="B361" s="44">
        <v>15881</v>
      </c>
      <c r="C361" s="44">
        <f>INDEX('04_Matriz_Cambios'!$B$6:$R$22,MATCH($A361,'04_Matriz_Cambios'!$A$6:$A$22,0),MATCH($B361,'04_Matriz_Cambios'!$B$5:$R$5,0))</f>
        <v>0</v>
      </c>
      <c r="D361" s="44">
        <f>INDEX('02_Datos_Maestros'!$I$5:$I$21,MATCH($A361,'02_Datos_Maestros'!$A$5:$A$21,0))</f>
        <v>5998</v>
      </c>
      <c r="E361" s="44">
        <f>INDEX('02_Datos_Maestros'!$I$5:$I$21,MATCH($B361,'02_Datos_Maestros'!$A$5:$A$21,0))</f>
        <v>5998</v>
      </c>
    </row>
    <row r="362" spans="1:5" hidden="1" x14ac:dyDescent="0.2">
      <c r="A362" s="44">
        <v>5998</v>
      </c>
      <c r="B362" s="44">
        <v>5998</v>
      </c>
      <c r="C362" s="44">
        <f>INDEX('04_Matriz_Cambios'!$B$6:$R$22,MATCH($A362,'04_Matriz_Cambios'!$A$6:$A$22,0),MATCH($B362,'04_Matriz_Cambios'!$B$5:$R$5,0))</f>
        <v>0</v>
      </c>
      <c r="D362" s="44">
        <f>INDEX('02_Datos_Maestros'!$I$5:$I$21,MATCH($A362,'02_Datos_Maestros'!$A$5:$A$21,0))</f>
        <v>5998</v>
      </c>
      <c r="E362" s="44">
        <f>INDEX('02_Datos_Maestros'!$I$5:$I$21,MATCH($B362,'02_Datos_Maestros'!$A$5:$A$21,0))</f>
        <v>5998</v>
      </c>
    </row>
    <row r="363" spans="1:5" hidden="1" x14ac:dyDescent="0.2">
      <c r="A363" s="44">
        <v>5998</v>
      </c>
      <c r="B363" s="44">
        <v>3749</v>
      </c>
      <c r="C363" s="44">
        <f>INDEX('04_Matriz_Cambios'!$B$6:$R$22,MATCH($A363,'04_Matriz_Cambios'!$A$6:$A$22,0),MATCH($B363,'04_Matriz_Cambios'!$B$5:$R$5,0))</f>
        <v>120</v>
      </c>
      <c r="D363" s="44">
        <f>INDEX('02_Datos_Maestros'!$I$5:$I$21,MATCH($A363,'02_Datos_Maestros'!$A$5:$A$21,0))</f>
        <v>5998</v>
      </c>
      <c r="E363" s="44">
        <f>INDEX('02_Datos_Maestros'!$I$5:$I$21,MATCH($B363,'02_Datos_Maestros'!$A$5:$A$21,0))</f>
        <v>3278</v>
      </c>
    </row>
    <row r="364" spans="1:5" hidden="1" x14ac:dyDescent="0.2">
      <c r="A364" s="44">
        <v>5998</v>
      </c>
      <c r="B364" s="44">
        <v>3278</v>
      </c>
      <c r="C364" s="44">
        <f>INDEX('04_Matriz_Cambios'!$B$6:$R$22,MATCH($A364,'04_Matriz_Cambios'!$A$6:$A$22,0),MATCH($B364,'04_Matriz_Cambios'!$B$5:$R$5,0))</f>
        <v>120</v>
      </c>
      <c r="D364" s="44">
        <f>INDEX('02_Datos_Maestros'!$I$5:$I$21,MATCH($A364,'02_Datos_Maestros'!$A$5:$A$21,0))</f>
        <v>5998</v>
      </c>
      <c r="E364" s="44">
        <f>INDEX('02_Datos_Maestros'!$I$5:$I$21,MATCH($B364,'02_Datos_Maestros'!$A$5:$A$21,0))</f>
        <v>3278</v>
      </c>
    </row>
    <row r="365" spans="1:5" hidden="1" x14ac:dyDescent="0.2">
      <c r="A365" s="44">
        <v>5998</v>
      </c>
      <c r="B365" s="44">
        <v>7590</v>
      </c>
      <c r="C365" s="44">
        <f>INDEX('04_Matriz_Cambios'!$B$6:$R$22,MATCH($A365,'04_Matriz_Cambios'!$A$6:$A$22,0),MATCH($B365,'04_Matriz_Cambios'!$B$5:$R$5,0))</f>
        <v>120</v>
      </c>
      <c r="D365" s="44">
        <f>INDEX('02_Datos_Maestros'!$I$5:$I$21,MATCH($A365,'02_Datos_Maestros'!$A$5:$A$21,0))</f>
        <v>5998</v>
      </c>
      <c r="E365" s="44">
        <f>INDEX('02_Datos_Maestros'!$I$5:$I$21,MATCH($B365,'02_Datos_Maestros'!$A$5:$A$21,0))</f>
        <v>3278</v>
      </c>
    </row>
    <row r="366" spans="1:5" hidden="1" x14ac:dyDescent="0.2">
      <c r="A366" s="44">
        <v>5998</v>
      </c>
      <c r="B366" s="44">
        <v>15795</v>
      </c>
      <c r="C366" s="44">
        <f>INDEX('04_Matriz_Cambios'!$B$6:$R$22,MATCH($A366,'04_Matriz_Cambios'!$A$6:$A$22,0),MATCH($B366,'04_Matriz_Cambios'!$B$5:$R$5,0))</f>
        <v>120</v>
      </c>
      <c r="D366" s="44">
        <f>INDEX('02_Datos_Maestros'!$I$5:$I$21,MATCH($A366,'02_Datos_Maestros'!$A$5:$A$21,0))</f>
        <v>5998</v>
      </c>
      <c r="E366" s="44">
        <f>INDEX('02_Datos_Maestros'!$I$5:$I$21,MATCH($B366,'02_Datos_Maestros'!$A$5:$A$21,0))</f>
        <v>3278</v>
      </c>
    </row>
    <row r="367" spans="1:5" hidden="1" x14ac:dyDescent="0.2">
      <c r="A367" s="44">
        <v>5998</v>
      </c>
      <c r="B367" s="44">
        <v>15564</v>
      </c>
      <c r="C367" s="44">
        <f>INDEX('04_Matriz_Cambios'!$B$6:$R$22,MATCH($A367,'04_Matriz_Cambios'!$A$6:$A$22,0),MATCH($B367,'04_Matriz_Cambios'!$B$5:$R$5,0))</f>
        <v>120</v>
      </c>
      <c r="D367" s="44">
        <f>INDEX('02_Datos_Maestros'!$I$5:$I$21,MATCH($A367,'02_Datos_Maestros'!$A$5:$A$21,0))</f>
        <v>5998</v>
      </c>
      <c r="E367" s="44">
        <f>INDEX('02_Datos_Maestros'!$I$5:$I$21,MATCH($B367,'02_Datos_Maestros'!$A$5:$A$21,0))</f>
        <v>15564</v>
      </c>
    </row>
    <row r="368" spans="1:5" hidden="1" x14ac:dyDescent="0.2">
      <c r="A368" s="44">
        <v>5998</v>
      </c>
      <c r="B368" s="44">
        <v>3643</v>
      </c>
      <c r="C368" s="44">
        <f>INDEX('04_Matriz_Cambios'!$B$6:$R$22,MATCH($A368,'04_Matriz_Cambios'!$A$6:$A$22,0),MATCH($B368,'04_Matriz_Cambios'!$B$5:$R$5,0))</f>
        <v>120</v>
      </c>
      <c r="D368" s="44">
        <f>INDEX('02_Datos_Maestros'!$I$5:$I$21,MATCH($A368,'02_Datos_Maestros'!$A$5:$A$21,0))</f>
        <v>5998</v>
      </c>
      <c r="E368" s="44">
        <f>INDEX('02_Datos_Maestros'!$I$5:$I$21,MATCH($B368,'02_Datos_Maestros'!$A$5:$A$21,0))</f>
        <v>3643</v>
      </c>
    </row>
    <row r="369" spans="1:5" hidden="1" x14ac:dyDescent="0.2">
      <c r="A369" s="44">
        <v>5998</v>
      </c>
      <c r="B369" s="44">
        <v>3533</v>
      </c>
      <c r="C369" s="44">
        <f>INDEX('04_Matriz_Cambios'!$B$6:$R$22,MATCH($A369,'04_Matriz_Cambios'!$A$6:$A$22,0),MATCH($B369,'04_Matriz_Cambios'!$B$5:$R$5,0))</f>
        <v>120</v>
      </c>
      <c r="D369" s="44">
        <f>INDEX('02_Datos_Maestros'!$I$5:$I$21,MATCH($A369,'02_Datos_Maestros'!$A$5:$A$21,0))</f>
        <v>5998</v>
      </c>
      <c r="E369" s="44">
        <f>INDEX('02_Datos_Maestros'!$I$5:$I$21,MATCH($B369,'02_Datos_Maestros'!$A$5:$A$21,0))</f>
        <v>3533</v>
      </c>
    </row>
    <row r="370" spans="1:5" hidden="1" x14ac:dyDescent="0.2">
      <c r="A370" s="44">
        <v>3749</v>
      </c>
      <c r="B370" s="44">
        <v>3757</v>
      </c>
      <c r="C370" s="44">
        <f>INDEX('04_Matriz_Cambios'!$B$6:$R$22,MATCH($A370,'04_Matriz_Cambios'!$A$6:$A$22,0),MATCH($B370,'04_Matriz_Cambios'!$B$5:$R$5,0))</f>
        <v>120</v>
      </c>
      <c r="D370" s="44">
        <f>INDEX('02_Datos_Maestros'!$I$5:$I$21,MATCH($A370,'02_Datos_Maestros'!$A$5:$A$21,0))</f>
        <v>3278</v>
      </c>
      <c r="E370" s="44">
        <f>INDEX('02_Datos_Maestros'!$I$5:$I$21,MATCH($B370,'02_Datos_Maestros'!$A$5:$A$21,0))</f>
        <v>3757</v>
      </c>
    </row>
    <row r="371" spans="1:5" hidden="1" x14ac:dyDescent="0.2">
      <c r="A371" s="44">
        <v>3749</v>
      </c>
      <c r="B371" s="44">
        <v>3925</v>
      </c>
      <c r="C371" s="44">
        <f>INDEX('04_Matriz_Cambios'!$B$6:$R$22,MATCH($A371,'04_Matriz_Cambios'!$A$6:$A$22,0),MATCH($B371,'04_Matriz_Cambios'!$B$5:$R$5,0))</f>
        <v>120</v>
      </c>
      <c r="D371" s="44">
        <f>INDEX('02_Datos_Maestros'!$I$5:$I$21,MATCH($A371,'02_Datos_Maestros'!$A$5:$A$21,0))</f>
        <v>3278</v>
      </c>
      <c r="E371" s="44">
        <f>INDEX('02_Datos_Maestros'!$I$5:$I$21,MATCH($B371,'02_Datos_Maestros'!$A$5:$A$21,0))</f>
        <v>3757</v>
      </c>
    </row>
    <row r="372" spans="1:5" hidden="1" x14ac:dyDescent="0.2">
      <c r="A372" s="44">
        <v>3749</v>
      </c>
      <c r="B372" s="44">
        <v>6616</v>
      </c>
      <c r="C372" s="44">
        <f>INDEX('04_Matriz_Cambios'!$B$6:$R$22,MATCH($A372,'04_Matriz_Cambios'!$A$6:$A$22,0),MATCH($B372,'04_Matriz_Cambios'!$B$5:$R$5,0))</f>
        <v>120</v>
      </c>
      <c r="D372" s="44">
        <f>INDEX('02_Datos_Maestros'!$I$5:$I$21,MATCH($A372,'02_Datos_Maestros'!$A$5:$A$21,0))</f>
        <v>3278</v>
      </c>
      <c r="E372" s="44">
        <f>INDEX('02_Datos_Maestros'!$I$5:$I$21,MATCH($B372,'02_Datos_Maestros'!$A$5:$A$21,0))</f>
        <v>3757</v>
      </c>
    </row>
    <row r="373" spans="1:5" hidden="1" x14ac:dyDescent="0.2">
      <c r="A373" s="44">
        <v>3749</v>
      </c>
      <c r="B373" s="44">
        <v>6639</v>
      </c>
      <c r="C373" s="44">
        <f>INDEX('04_Matriz_Cambios'!$B$6:$R$22,MATCH($A373,'04_Matriz_Cambios'!$A$6:$A$22,0),MATCH($B373,'04_Matriz_Cambios'!$B$5:$R$5,0))</f>
        <v>120</v>
      </c>
      <c r="D373" s="44">
        <f>INDEX('02_Datos_Maestros'!$I$5:$I$21,MATCH($A373,'02_Datos_Maestros'!$A$5:$A$21,0))</f>
        <v>3278</v>
      </c>
      <c r="E373" s="44">
        <f>INDEX('02_Datos_Maestros'!$I$5:$I$21,MATCH($B373,'02_Datos_Maestros'!$A$5:$A$21,0))</f>
        <v>6639</v>
      </c>
    </row>
    <row r="374" spans="1:5" hidden="1" x14ac:dyDescent="0.2">
      <c r="A374" s="44">
        <v>3749</v>
      </c>
      <c r="B374" s="44">
        <v>17246</v>
      </c>
      <c r="C374" s="44">
        <f>INDEX('04_Matriz_Cambios'!$B$6:$R$22,MATCH($A374,'04_Matriz_Cambios'!$A$6:$A$22,0),MATCH($B374,'04_Matriz_Cambios'!$B$5:$R$5,0))</f>
        <v>0</v>
      </c>
      <c r="D374" s="44">
        <f>INDEX('02_Datos_Maestros'!$I$5:$I$21,MATCH($A374,'02_Datos_Maestros'!$A$5:$A$21,0))</f>
        <v>3278</v>
      </c>
      <c r="E374" s="44">
        <f>INDEX('02_Datos_Maestros'!$I$5:$I$21,MATCH($B374,'02_Datos_Maestros'!$A$5:$A$21,0))</f>
        <v>3278</v>
      </c>
    </row>
    <row r="375" spans="1:5" hidden="1" x14ac:dyDescent="0.2">
      <c r="A375" s="44">
        <v>3749</v>
      </c>
      <c r="B375" s="44">
        <v>16816</v>
      </c>
      <c r="C375" s="44">
        <f>INDEX('04_Matriz_Cambios'!$B$6:$R$22,MATCH($A375,'04_Matriz_Cambios'!$A$6:$A$22,0),MATCH($B375,'04_Matriz_Cambios'!$B$5:$R$5,0))</f>
        <v>0</v>
      </c>
      <c r="D375" s="44">
        <f>INDEX('02_Datos_Maestros'!$I$5:$I$21,MATCH($A375,'02_Datos_Maestros'!$A$5:$A$21,0))</f>
        <v>3278</v>
      </c>
      <c r="E375" s="44">
        <f>INDEX('02_Datos_Maestros'!$I$5:$I$21,MATCH($B375,'02_Datos_Maestros'!$A$5:$A$21,0))</f>
        <v>3278</v>
      </c>
    </row>
    <row r="376" spans="1:5" hidden="1" x14ac:dyDescent="0.2">
      <c r="A376" s="44">
        <v>3749</v>
      </c>
      <c r="B376" s="44">
        <v>6743</v>
      </c>
      <c r="C376" s="44">
        <f>INDEX('04_Matriz_Cambios'!$B$6:$R$22,MATCH($A376,'04_Matriz_Cambios'!$A$6:$A$22,0),MATCH($B376,'04_Matriz_Cambios'!$B$5:$R$5,0))</f>
        <v>120</v>
      </c>
      <c r="D376" s="44">
        <f>INDEX('02_Datos_Maestros'!$I$5:$I$21,MATCH($A376,'02_Datos_Maestros'!$A$5:$A$21,0))</f>
        <v>3278</v>
      </c>
      <c r="E376" s="44">
        <f>INDEX('02_Datos_Maestros'!$I$5:$I$21,MATCH($B376,'02_Datos_Maestros'!$A$5:$A$21,0))</f>
        <v>6743</v>
      </c>
    </row>
    <row r="377" spans="1:5" hidden="1" x14ac:dyDescent="0.2">
      <c r="A377" s="44">
        <v>3749</v>
      </c>
      <c r="B377" s="44">
        <v>16787</v>
      </c>
      <c r="C377" s="44">
        <f>INDEX('04_Matriz_Cambios'!$B$6:$R$22,MATCH($A377,'04_Matriz_Cambios'!$A$6:$A$22,0),MATCH($B377,'04_Matriz_Cambios'!$B$5:$R$5,0))</f>
        <v>120</v>
      </c>
      <c r="D377" s="44">
        <f>INDEX('02_Datos_Maestros'!$I$5:$I$21,MATCH($A377,'02_Datos_Maestros'!$A$5:$A$21,0))</f>
        <v>3278</v>
      </c>
      <c r="E377" s="44">
        <f>INDEX('02_Datos_Maestros'!$I$5:$I$21,MATCH($B377,'02_Datos_Maestros'!$A$5:$A$21,0))</f>
        <v>5998</v>
      </c>
    </row>
    <row r="378" spans="1:5" hidden="1" x14ac:dyDescent="0.2">
      <c r="A378" s="44">
        <v>3749</v>
      </c>
      <c r="B378" s="44">
        <v>15881</v>
      </c>
      <c r="C378" s="44">
        <f>INDEX('04_Matriz_Cambios'!$B$6:$R$22,MATCH($A378,'04_Matriz_Cambios'!$A$6:$A$22,0),MATCH($B378,'04_Matriz_Cambios'!$B$5:$R$5,0))</f>
        <v>120</v>
      </c>
      <c r="D378" s="44">
        <f>INDEX('02_Datos_Maestros'!$I$5:$I$21,MATCH($A378,'02_Datos_Maestros'!$A$5:$A$21,0))</f>
        <v>3278</v>
      </c>
      <c r="E378" s="44">
        <f>INDEX('02_Datos_Maestros'!$I$5:$I$21,MATCH($B378,'02_Datos_Maestros'!$A$5:$A$21,0))</f>
        <v>5998</v>
      </c>
    </row>
    <row r="379" spans="1:5" hidden="1" x14ac:dyDescent="0.2">
      <c r="A379" s="44">
        <v>3749</v>
      </c>
      <c r="B379" s="44">
        <v>5998</v>
      </c>
      <c r="C379" s="44">
        <f>INDEX('04_Matriz_Cambios'!$B$6:$R$22,MATCH($A379,'04_Matriz_Cambios'!$A$6:$A$22,0),MATCH($B379,'04_Matriz_Cambios'!$B$5:$R$5,0))</f>
        <v>120</v>
      </c>
      <c r="D379" s="44">
        <f>INDEX('02_Datos_Maestros'!$I$5:$I$21,MATCH($A379,'02_Datos_Maestros'!$A$5:$A$21,0))</f>
        <v>3278</v>
      </c>
      <c r="E379" s="44">
        <f>INDEX('02_Datos_Maestros'!$I$5:$I$21,MATCH($B379,'02_Datos_Maestros'!$A$5:$A$21,0))</f>
        <v>5998</v>
      </c>
    </row>
    <row r="380" spans="1:5" hidden="1" x14ac:dyDescent="0.2">
      <c r="A380" s="44">
        <v>3749</v>
      </c>
      <c r="B380" s="44">
        <v>3749</v>
      </c>
      <c r="C380" s="44">
        <f>INDEX('04_Matriz_Cambios'!$B$6:$R$22,MATCH($A380,'04_Matriz_Cambios'!$A$6:$A$22,0),MATCH($B380,'04_Matriz_Cambios'!$B$5:$R$5,0))</f>
        <v>0</v>
      </c>
      <c r="D380" s="44">
        <f>INDEX('02_Datos_Maestros'!$I$5:$I$21,MATCH($A380,'02_Datos_Maestros'!$A$5:$A$21,0))</f>
        <v>3278</v>
      </c>
      <c r="E380" s="44">
        <f>INDEX('02_Datos_Maestros'!$I$5:$I$21,MATCH($B380,'02_Datos_Maestros'!$A$5:$A$21,0))</f>
        <v>3278</v>
      </c>
    </row>
    <row r="381" spans="1:5" hidden="1" x14ac:dyDescent="0.2">
      <c r="A381" s="44">
        <v>3749</v>
      </c>
      <c r="B381" s="44">
        <v>3278</v>
      </c>
      <c r="C381" s="44">
        <f>INDEX('04_Matriz_Cambios'!$B$6:$R$22,MATCH($A381,'04_Matriz_Cambios'!$A$6:$A$22,0),MATCH($B381,'04_Matriz_Cambios'!$B$5:$R$5,0))</f>
        <v>0</v>
      </c>
      <c r="D381" s="44">
        <f>INDEX('02_Datos_Maestros'!$I$5:$I$21,MATCH($A381,'02_Datos_Maestros'!$A$5:$A$21,0))</f>
        <v>3278</v>
      </c>
      <c r="E381" s="44">
        <f>INDEX('02_Datos_Maestros'!$I$5:$I$21,MATCH($B381,'02_Datos_Maestros'!$A$5:$A$21,0))</f>
        <v>3278</v>
      </c>
    </row>
    <row r="382" spans="1:5" hidden="1" x14ac:dyDescent="0.2">
      <c r="A382" s="44">
        <v>3749</v>
      </c>
      <c r="B382" s="44">
        <v>7590</v>
      </c>
      <c r="C382" s="44">
        <f>INDEX('04_Matriz_Cambios'!$B$6:$R$22,MATCH($A382,'04_Matriz_Cambios'!$A$6:$A$22,0),MATCH($B382,'04_Matriz_Cambios'!$B$5:$R$5,0))</f>
        <v>0</v>
      </c>
      <c r="D382" s="44">
        <f>INDEX('02_Datos_Maestros'!$I$5:$I$21,MATCH($A382,'02_Datos_Maestros'!$A$5:$A$21,0))</f>
        <v>3278</v>
      </c>
      <c r="E382" s="44">
        <f>INDEX('02_Datos_Maestros'!$I$5:$I$21,MATCH($B382,'02_Datos_Maestros'!$A$5:$A$21,0))</f>
        <v>3278</v>
      </c>
    </row>
    <row r="383" spans="1:5" hidden="1" x14ac:dyDescent="0.2">
      <c r="A383" s="44">
        <v>3749</v>
      </c>
      <c r="B383" s="44">
        <v>15795</v>
      </c>
      <c r="C383" s="44">
        <f>INDEX('04_Matriz_Cambios'!$B$6:$R$22,MATCH($A383,'04_Matriz_Cambios'!$A$6:$A$22,0),MATCH($B383,'04_Matriz_Cambios'!$B$5:$R$5,0))</f>
        <v>0</v>
      </c>
      <c r="D383" s="44">
        <f>INDEX('02_Datos_Maestros'!$I$5:$I$21,MATCH($A383,'02_Datos_Maestros'!$A$5:$A$21,0))</f>
        <v>3278</v>
      </c>
      <c r="E383" s="44">
        <f>INDEX('02_Datos_Maestros'!$I$5:$I$21,MATCH($B383,'02_Datos_Maestros'!$A$5:$A$21,0))</f>
        <v>3278</v>
      </c>
    </row>
    <row r="384" spans="1:5" hidden="1" x14ac:dyDescent="0.2">
      <c r="A384" s="44">
        <v>3749</v>
      </c>
      <c r="B384" s="44">
        <v>15564</v>
      </c>
      <c r="C384" s="44">
        <f>INDEX('04_Matriz_Cambios'!$B$6:$R$22,MATCH($A384,'04_Matriz_Cambios'!$A$6:$A$22,0),MATCH($B384,'04_Matriz_Cambios'!$B$5:$R$5,0))</f>
        <v>120</v>
      </c>
      <c r="D384" s="44">
        <f>INDEX('02_Datos_Maestros'!$I$5:$I$21,MATCH($A384,'02_Datos_Maestros'!$A$5:$A$21,0))</f>
        <v>3278</v>
      </c>
      <c r="E384" s="44">
        <f>INDEX('02_Datos_Maestros'!$I$5:$I$21,MATCH($B384,'02_Datos_Maestros'!$A$5:$A$21,0))</f>
        <v>15564</v>
      </c>
    </row>
    <row r="385" spans="1:5" hidden="1" x14ac:dyDescent="0.2">
      <c r="A385" s="44">
        <v>3749</v>
      </c>
      <c r="B385" s="44">
        <v>3643</v>
      </c>
      <c r="C385" s="44">
        <f>INDEX('04_Matriz_Cambios'!$B$6:$R$22,MATCH($A385,'04_Matriz_Cambios'!$A$6:$A$22,0),MATCH($B385,'04_Matriz_Cambios'!$B$5:$R$5,0))</f>
        <v>120</v>
      </c>
      <c r="D385" s="44">
        <f>INDEX('02_Datos_Maestros'!$I$5:$I$21,MATCH($A385,'02_Datos_Maestros'!$A$5:$A$21,0))</f>
        <v>3278</v>
      </c>
      <c r="E385" s="44">
        <f>INDEX('02_Datos_Maestros'!$I$5:$I$21,MATCH($B385,'02_Datos_Maestros'!$A$5:$A$21,0))</f>
        <v>3643</v>
      </c>
    </row>
    <row r="386" spans="1:5" hidden="1" x14ac:dyDescent="0.2">
      <c r="A386" s="44">
        <v>3749</v>
      </c>
      <c r="B386" s="44">
        <v>3533</v>
      </c>
      <c r="C386" s="44">
        <f>INDEX('04_Matriz_Cambios'!$B$6:$R$22,MATCH($A386,'04_Matriz_Cambios'!$A$6:$A$22,0),MATCH($B386,'04_Matriz_Cambios'!$B$5:$R$5,0))</f>
        <v>120</v>
      </c>
      <c r="D386" s="44">
        <f>INDEX('02_Datos_Maestros'!$I$5:$I$21,MATCH($A386,'02_Datos_Maestros'!$A$5:$A$21,0))</f>
        <v>3278</v>
      </c>
      <c r="E386" s="44">
        <f>INDEX('02_Datos_Maestros'!$I$5:$I$21,MATCH($B386,'02_Datos_Maestros'!$A$5:$A$21,0))</f>
        <v>3533</v>
      </c>
    </row>
    <row r="387" spans="1:5" hidden="1" x14ac:dyDescent="0.2">
      <c r="A387" s="44">
        <v>3278</v>
      </c>
      <c r="B387" s="44">
        <v>3757</v>
      </c>
      <c r="C387" s="44">
        <f>INDEX('04_Matriz_Cambios'!$B$6:$R$22,MATCH($A387,'04_Matriz_Cambios'!$A$6:$A$22,0),MATCH($B387,'04_Matriz_Cambios'!$B$5:$R$5,0))</f>
        <v>120</v>
      </c>
      <c r="D387" s="44">
        <f>INDEX('02_Datos_Maestros'!$I$5:$I$21,MATCH($A387,'02_Datos_Maestros'!$A$5:$A$21,0))</f>
        <v>3278</v>
      </c>
      <c r="E387" s="44">
        <f>INDEX('02_Datos_Maestros'!$I$5:$I$21,MATCH($B387,'02_Datos_Maestros'!$A$5:$A$21,0))</f>
        <v>3757</v>
      </c>
    </row>
    <row r="388" spans="1:5" hidden="1" x14ac:dyDescent="0.2">
      <c r="A388" s="44">
        <v>3278</v>
      </c>
      <c r="B388" s="44">
        <v>3925</v>
      </c>
      <c r="C388" s="44">
        <f>INDEX('04_Matriz_Cambios'!$B$6:$R$22,MATCH($A388,'04_Matriz_Cambios'!$A$6:$A$22,0),MATCH($B388,'04_Matriz_Cambios'!$B$5:$R$5,0))</f>
        <v>120</v>
      </c>
      <c r="D388" s="44">
        <f>INDEX('02_Datos_Maestros'!$I$5:$I$21,MATCH($A388,'02_Datos_Maestros'!$A$5:$A$21,0))</f>
        <v>3278</v>
      </c>
      <c r="E388" s="44">
        <f>INDEX('02_Datos_Maestros'!$I$5:$I$21,MATCH($B388,'02_Datos_Maestros'!$A$5:$A$21,0))</f>
        <v>3757</v>
      </c>
    </row>
    <row r="389" spans="1:5" hidden="1" x14ac:dyDescent="0.2">
      <c r="A389" s="44">
        <v>3278</v>
      </c>
      <c r="B389" s="44">
        <v>6616</v>
      </c>
      <c r="C389" s="44">
        <f>INDEX('04_Matriz_Cambios'!$B$6:$R$22,MATCH($A389,'04_Matriz_Cambios'!$A$6:$A$22,0),MATCH($B389,'04_Matriz_Cambios'!$B$5:$R$5,0))</f>
        <v>120</v>
      </c>
      <c r="D389" s="44">
        <f>INDEX('02_Datos_Maestros'!$I$5:$I$21,MATCH($A389,'02_Datos_Maestros'!$A$5:$A$21,0))</f>
        <v>3278</v>
      </c>
      <c r="E389" s="44">
        <f>INDEX('02_Datos_Maestros'!$I$5:$I$21,MATCH($B389,'02_Datos_Maestros'!$A$5:$A$21,0))</f>
        <v>3757</v>
      </c>
    </row>
    <row r="390" spans="1:5" hidden="1" x14ac:dyDescent="0.2">
      <c r="A390" s="44">
        <v>3278</v>
      </c>
      <c r="B390" s="44">
        <v>6639</v>
      </c>
      <c r="C390" s="44">
        <f>INDEX('04_Matriz_Cambios'!$B$6:$R$22,MATCH($A390,'04_Matriz_Cambios'!$A$6:$A$22,0),MATCH($B390,'04_Matriz_Cambios'!$B$5:$R$5,0))</f>
        <v>120</v>
      </c>
      <c r="D390" s="44">
        <f>INDEX('02_Datos_Maestros'!$I$5:$I$21,MATCH($A390,'02_Datos_Maestros'!$A$5:$A$21,0))</f>
        <v>3278</v>
      </c>
      <c r="E390" s="44">
        <f>INDEX('02_Datos_Maestros'!$I$5:$I$21,MATCH($B390,'02_Datos_Maestros'!$A$5:$A$21,0))</f>
        <v>6639</v>
      </c>
    </row>
    <row r="391" spans="1:5" hidden="1" x14ac:dyDescent="0.2">
      <c r="A391" s="44">
        <v>3278</v>
      </c>
      <c r="B391" s="44">
        <v>17246</v>
      </c>
      <c r="C391" s="44">
        <f>INDEX('04_Matriz_Cambios'!$B$6:$R$22,MATCH($A391,'04_Matriz_Cambios'!$A$6:$A$22,0),MATCH($B391,'04_Matriz_Cambios'!$B$5:$R$5,0))</f>
        <v>0</v>
      </c>
      <c r="D391" s="44">
        <f>INDEX('02_Datos_Maestros'!$I$5:$I$21,MATCH($A391,'02_Datos_Maestros'!$A$5:$A$21,0))</f>
        <v>3278</v>
      </c>
      <c r="E391" s="44">
        <f>INDEX('02_Datos_Maestros'!$I$5:$I$21,MATCH($B391,'02_Datos_Maestros'!$A$5:$A$21,0))</f>
        <v>3278</v>
      </c>
    </row>
    <row r="392" spans="1:5" hidden="1" x14ac:dyDescent="0.2">
      <c r="A392" s="44">
        <v>3278</v>
      </c>
      <c r="B392" s="44">
        <v>16816</v>
      </c>
      <c r="C392" s="44">
        <f>INDEX('04_Matriz_Cambios'!$B$6:$R$22,MATCH($A392,'04_Matriz_Cambios'!$A$6:$A$22,0),MATCH($B392,'04_Matriz_Cambios'!$B$5:$R$5,0))</f>
        <v>0</v>
      </c>
      <c r="D392" s="44">
        <f>INDEX('02_Datos_Maestros'!$I$5:$I$21,MATCH($A392,'02_Datos_Maestros'!$A$5:$A$21,0))</f>
        <v>3278</v>
      </c>
      <c r="E392" s="44">
        <f>INDEX('02_Datos_Maestros'!$I$5:$I$21,MATCH($B392,'02_Datos_Maestros'!$A$5:$A$21,0))</f>
        <v>3278</v>
      </c>
    </row>
    <row r="393" spans="1:5" hidden="1" x14ac:dyDescent="0.2">
      <c r="A393" s="44">
        <v>3278</v>
      </c>
      <c r="B393" s="44">
        <v>6743</v>
      </c>
      <c r="C393" s="44">
        <f>INDEX('04_Matriz_Cambios'!$B$6:$R$22,MATCH($A393,'04_Matriz_Cambios'!$A$6:$A$22,0),MATCH($B393,'04_Matriz_Cambios'!$B$5:$R$5,0))</f>
        <v>120</v>
      </c>
      <c r="D393" s="44">
        <f>INDEX('02_Datos_Maestros'!$I$5:$I$21,MATCH($A393,'02_Datos_Maestros'!$A$5:$A$21,0))</f>
        <v>3278</v>
      </c>
      <c r="E393" s="44">
        <f>INDEX('02_Datos_Maestros'!$I$5:$I$21,MATCH($B393,'02_Datos_Maestros'!$A$5:$A$21,0))</f>
        <v>6743</v>
      </c>
    </row>
    <row r="394" spans="1:5" hidden="1" x14ac:dyDescent="0.2">
      <c r="A394" s="44">
        <v>3278</v>
      </c>
      <c r="B394" s="44">
        <v>16787</v>
      </c>
      <c r="C394" s="44">
        <f>INDEX('04_Matriz_Cambios'!$B$6:$R$22,MATCH($A394,'04_Matriz_Cambios'!$A$6:$A$22,0),MATCH($B394,'04_Matriz_Cambios'!$B$5:$R$5,0))</f>
        <v>120</v>
      </c>
      <c r="D394" s="44">
        <f>INDEX('02_Datos_Maestros'!$I$5:$I$21,MATCH($A394,'02_Datos_Maestros'!$A$5:$A$21,0))</f>
        <v>3278</v>
      </c>
      <c r="E394" s="44">
        <f>INDEX('02_Datos_Maestros'!$I$5:$I$21,MATCH($B394,'02_Datos_Maestros'!$A$5:$A$21,0))</f>
        <v>5998</v>
      </c>
    </row>
    <row r="395" spans="1:5" hidden="1" x14ac:dyDescent="0.2">
      <c r="A395" s="44">
        <v>3278</v>
      </c>
      <c r="B395" s="44">
        <v>15881</v>
      </c>
      <c r="C395" s="44">
        <f>INDEX('04_Matriz_Cambios'!$B$6:$R$22,MATCH($A395,'04_Matriz_Cambios'!$A$6:$A$22,0),MATCH($B395,'04_Matriz_Cambios'!$B$5:$R$5,0))</f>
        <v>120</v>
      </c>
      <c r="D395" s="44">
        <f>INDEX('02_Datos_Maestros'!$I$5:$I$21,MATCH($A395,'02_Datos_Maestros'!$A$5:$A$21,0))</f>
        <v>3278</v>
      </c>
      <c r="E395" s="44">
        <f>INDEX('02_Datos_Maestros'!$I$5:$I$21,MATCH($B395,'02_Datos_Maestros'!$A$5:$A$21,0))</f>
        <v>5998</v>
      </c>
    </row>
    <row r="396" spans="1:5" hidden="1" x14ac:dyDescent="0.2">
      <c r="A396" s="44">
        <v>3278</v>
      </c>
      <c r="B396" s="44">
        <v>5998</v>
      </c>
      <c r="C396" s="44">
        <f>INDEX('04_Matriz_Cambios'!$B$6:$R$22,MATCH($A396,'04_Matriz_Cambios'!$A$6:$A$22,0),MATCH($B396,'04_Matriz_Cambios'!$B$5:$R$5,0))</f>
        <v>120</v>
      </c>
      <c r="D396" s="44">
        <f>INDEX('02_Datos_Maestros'!$I$5:$I$21,MATCH($A396,'02_Datos_Maestros'!$A$5:$A$21,0))</f>
        <v>3278</v>
      </c>
      <c r="E396" s="44">
        <f>INDEX('02_Datos_Maestros'!$I$5:$I$21,MATCH($B396,'02_Datos_Maestros'!$A$5:$A$21,0))</f>
        <v>5998</v>
      </c>
    </row>
    <row r="397" spans="1:5" hidden="1" x14ac:dyDescent="0.2">
      <c r="A397" s="44">
        <v>3278</v>
      </c>
      <c r="B397" s="44">
        <v>3749</v>
      </c>
      <c r="C397" s="44">
        <f>INDEX('04_Matriz_Cambios'!$B$6:$R$22,MATCH($A397,'04_Matriz_Cambios'!$A$6:$A$22,0),MATCH($B397,'04_Matriz_Cambios'!$B$5:$R$5,0))</f>
        <v>0</v>
      </c>
      <c r="D397" s="44">
        <f>INDEX('02_Datos_Maestros'!$I$5:$I$21,MATCH($A397,'02_Datos_Maestros'!$A$5:$A$21,0))</f>
        <v>3278</v>
      </c>
      <c r="E397" s="44">
        <f>INDEX('02_Datos_Maestros'!$I$5:$I$21,MATCH($B397,'02_Datos_Maestros'!$A$5:$A$21,0))</f>
        <v>3278</v>
      </c>
    </row>
    <row r="398" spans="1:5" hidden="1" x14ac:dyDescent="0.2">
      <c r="A398" s="44">
        <v>3278</v>
      </c>
      <c r="B398" s="44">
        <v>3278</v>
      </c>
      <c r="C398" s="44">
        <f>INDEX('04_Matriz_Cambios'!$B$6:$R$22,MATCH($A398,'04_Matriz_Cambios'!$A$6:$A$22,0),MATCH($B398,'04_Matriz_Cambios'!$B$5:$R$5,0))</f>
        <v>0</v>
      </c>
      <c r="D398" s="44">
        <f>INDEX('02_Datos_Maestros'!$I$5:$I$21,MATCH($A398,'02_Datos_Maestros'!$A$5:$A$21,0))</f>
        <v>3278</v>
      </c>
      <c r="E398" s="44">
        <f>INDEX('02_Datos_Maestros'!$I$5:$I$21,MATCH($B398,'02_Datos_Maestros'!$A$5:$A$21,0))</f>
        <v>3278</v>
      </c>
    </row>
    <row r="399" spans="1:5" hidden="1" x14ac:dyDescent="0.2">
      <c r="A399" s="44">
        <v>3278</v>
      </c>
      <c r="B399" s="44">
        <v>7590</v>
      </c>
      <c r="C399" s="44">
        <f>INDEX('04_Matriz_Cambios'!$B$6:$R$22,MATCH($A399,'04_Matriz_Cambios'!$A$6:$A$22,0),MATCH($B399,'04_Matriz_Cambios'!$B$5:$R$5,0))</f>
        <v>0</v>
      </c>
      <c r="D399" s="44">
        <f>INDEX('02_Datos_Maestros'!$I$5:$I$21,MATCH($A399,'02_Datos_Maestros'!$A$5:$A$21,0))</f>
        <v>3278</v>
      </c>
      <c r="E399" s="44">
        <f>INDEX('02_Datos_Maestros'!$I$5:$I$21,MATCH($B399,'02_Datos_Maestros'!$A$5:$A$21,0))</f>
        <v>3278</v>
      </c>
    </row>
    <row r="400" spans="1:5" hidden="1" x14ac:dyDescent="0.2">
      <c r="A400" s="44">
        <v>3278</v>
      </c>
      <c r="B400" s="44">
        <v>15795</v>
      </c>
      <c r="C400" s="44">
        <f>INDEX('04_Matriz_Cambios'!$B$6:$R$22,MATCH($A400,'04_Matriz_Cambios'!$A$6:$A$22,0),MATCH($B400,'04_Matriz_Cambios'!$B$5:$R$5,0))</f>
        <v>0</v>
      </c>
      <c r="D400" s="44">
        <f>INDEX('02_Datos_Maestros'!$I$5:$I$21,MATCH($A400,'02_Datos_Maestros'!$A$5:$A$21,0))</f>
        <v>3278</v>
      </c>
      <c r="E400" s="44">
        <f>INDEX('02_Datos_Maestros'!$I$5:$I$21,MATCH($B400,'02_Datos_Maestros'!$A$5:$A$21,0))</f>
        <v>3278</v>
      </c>
    </row>
    <row r="401" spans="1:5" hidden="1" x14ac:dyDescent="0.2">
      <c r="A401" s="44">
        <v>3278</v>
      </c>
      <c r="B401" s="44">
        <v>15564</v>
      </c>
      <c r="C401" s="44">
        <f>INDEX('04_Matriz_Cambios'!$B$6:$R$22,MATCH($A401,'04_Matriz_Cambios'!$A$6:$A$22,0),MATCH($B401,'04_Matriz_Cambios'!$B$5:$R$5,0))</f>
        <v>120</v>
      </c>
      <c r="D401" s="44">
        <f>INDEX('02_Datos_Maestros'!$I$5:$I$21,MATCH($A401,'02_Datos_Maestros'!$A$5:$A$21,0))</f>
        <v>3278</v>
      </c>
      <c r="E401" s="44">
        <f>INDEX('02_Datos_Maestros'!$I$5:$I$21,MATCH($B401,'02_Datos_Maestros'!$A$5:$A$21,0))</f>
        <v>15564</v>
      </c>
    </row>
    <row r="402" spans="1:5" hidden="1" x14ac:dyDescent="0.2">
      <c r="A402" s="44">
        <v>3278</v>
      </c>
      <c r="B402" s="44">
        <v>3643</v>
      </c>
      <c r="C402" s="44">
        <f>INDEX('04_Matriz_Cambios'!$B$6:$R$22,MATCH($A402,'04_Matriz_Cambios'!$A$6:$A$22,0),MATCH($B402,'04_Matriz_Cambios'!$B$5:$R$5,0))</f>
        <v>120</v>
      </c>
      <c r="D402" s="44">
        <f>INDEX('02_Datos_Maestros'!$I$5:$I$21,MATCH($A402,'02_Datos_Maestros'!$A$5:$A$21,0))</f>
        <v>3278</v>
      </c>
      <c r="E402" s="44">
        <f>INDEX('02_Datos_Maestros'!$I$5:$I$21,MATCH($B402,'02_Datos_Maestros'!$A$5:$A$21,0))</f>
        <v>3643</v>
      </c>
    </row>
    <row r="403" spans="1:5" hidden="1" x14ac:dyDescent="0.2">
      <c r="A403" s="44">
        <v>3278</v>
      </c>
      <c r="B403" s="44">
        <v>3533</v>
      </c>
      <c r="C403" s="44">
        <f>INDEX('04_Matriz_Cambios'!$B$6:$R$22,MATCH($A403,'04_Matriz_Cambios'!$A$6:$A$22,0),MATCH($B403,'04_Matriz_Cambios'!$B$5:$R$5,0))</f>
        <v>120</v>
      </c>
      <c r="D403" s="44">
        <f>INDEX('02_Datos_Maestros'!$I$5:$I$21,MATCH($A403,'02_Datos_Maestros'!$A$5:$A$21,0))</f>
        <v>3278</v>
      </c>
      <c r="E403" s="44">
        <f>INDEX('02_Datos_Maestros'!$I$5:$I$21,MATCH($B403,'02_Datos_Maestros'!$A$5:$A$21,0))</f>
        <v>3533</v>
      </c>
    </row>
    <row r="404" spans="1:5" hidden="1" x14ac:dyDescent="0.2">
      <c r="A404" s="44">
        <v>7590</v>
      </c>
      <c r="B404" s="44">
        <v>3757</v>
      </c>
      <c r="C404" s="44">
        <f>INDEX('04_Matriz_Cambios'!$B$6:$R$22,MATCH($A404,'04_Matriz_Cambios'!$A$6:$A$22,0),MATCH($B404,'04_Matriz_Cambios'!$B$5:$R$5,0))</f>
        <v>120</v>
      </c>
      <c r="D404" s="44">
        <f>INDEX('02_Datos_Maestros'!$I$5:$I$21,MATCH($A404,'02_Datos_Maestros'!$A$5:$A$21,0))</f>
        <v>3278</v>
      </c>
      <c r="E404" s="44">
        <f>INDEX('02_Datos_Maestros'!$I$5:$I$21,MATCH($B404,'02_Datos_Maestros'!$A$5:$A$21,0))</f>
        <v>3757</v>
      </c>
    </row>
    <row r="405" spans="1:5" hidden="1" x14ac:dyDescent="0.2">
      <c r="A405" s="44">
        <v>7590</v>
      </c>
      <c r="B405" s="44">
        <v>3925</v>
      </c>
      <c r="C405" s="44">
        <f>INDEX('04_Matriz_Cambios'!$B$6:$R$22,MATCH($A405,'04_Matriz_Cambios'!$A$6:$A$22,0),MATCH($B405,'04_Matriz_Cambios'!$B$5:$R$5,0))</f>
        <v>120</v>
      </c>
      <c r="D405" s="44">
        <f>INDEX('02_Datos_Maestros'!$I$5:$I$21,MATCH($A405,'02_Datos_Maestros'!$A$5:$A$21,0))</f>
        <v>3278</v>
      </c>
      <c r="E405" s="44">
        <f>INDEX('02_Datos_Maestros'!$I$5:$I$21,MATCH($B405,'02_Datos_Maestros'!$A$5:$A$21,0))</f>
        <v>3757</v>
      </c>
    </row>
    <row r="406" spans="1:5" hidden="1" x14ac:dyDescent="0.2">
      <c r="A406" s="44">
        <v>7590</v>
      </c>
      <c r="B406" s="44">
        <v>6616</v>
      </c>
      <c r="C406" s="44">
        <f>INDEX('04_Matriz_Cambios'!$B$6:$R$22,MATCH($A406,'04_Matriz_Cambios'!$A$6:$A$22,0),MATCH($B406,'04_Matriz_Cambios'!$B$5:$R$5,0))</f>
        <v>120</v>
      </c>
      <c r="D406" s="44">
        <f>INDEX('02_Datos_Maestros'!$I$5:$I$21,MATCH($A406,'02_Datos_Maestros'!$A$5:$A$21,0))</f>
        <v>3278</v>
      </c>
      <c r="E406" s="44">
        <f>INDEX('02_Datos_Maestros'!$I$5:$I$21,MATCH($B406,'02_Datos_Maestros'!$A$5:$A$21,0))</f>
        <v>3757</v>
      </c>
    </row>
    <row r="407" spans="1:5" hidden="1" x14ac:dyDescent="0.2">
      <c r="A407" s="44">
        <v>7590</v>
      </c>
      <c r="B407" s="44">
        <v>6639</v>
      </c>
      <c r="C407" s="44">
        <f>INDEX('04_Matriz_Cambios'!$B$6:$R$22,MATCH($A407,'04_Matriz_Cambios'!$A$6:$A$22,0),MATCH($B407,'04_Matriz_Cambios'!$B$5:$R$5,0))</f>
        <v>120</v>
      </c>
      <c r="D407" s="44">
        <f>INDEX('02_Datos_Maestros'!$I$5:$I$21,MATCH($A407,'02_Datos_Maestros'!$A$5:$A$21,0))</f>
        <v>3278</v>
      </c>
      <c r="E407" s="44">
        <f>INDEX('02_Datos_Maestros'!$I$5:$I$21,MATCH($B407,'02_Datos_Maestros'!$A$5:$A$21,0))</f>
        <v>6639</v>
      </c>
    </row>
    <row r="408" spans="1:5" hidden="1" x14ac:dyDescent="0.2">
      <c r="A408" s="44">
        <v>7590</v>
      </c>
      <c r="B408" s="44">
        <v>17246</v>
      </c>
      <c r="C408" s="44">
        <f>INDEX('04_Matriz_Cambios'!$B$6:$R$22,MATCH($A408,'04_Matriz_Cambios'!$A$6:$A$22,0),MATCH($B408,'04_Matriz_Cambios'!$B$5:$R$5,0))</f>
        <v>0</v>
      </c>
      <c r="D408" s="44">
        <f>INDEX('02_Datos_Maestros'!$I$5:$I$21,MATCH($A408,'02_Datos_Maestros'!$A$5:$A$21,0))</f>
        <v>3278</v>
      </c>
      <c r="E408" s="44">
        <f>INDEX('02_Datos_Maestros'!$I$5:$I$21,MATCH($B408,'02_Datos_Maestros'!$A$5:$A$21,0))</f>
        <v>3278</v>
      </c>
    </row>
    <row r="409" spans="1:5" hidden="1" x14ac:dyDescent="0.2">
      <c r="A409" s="44">
        <v>7590</v>
      </c>
      <c r="B409" s="44">
        <v>16816</v>
      </c>
      <c r="C409" s="44">
        <f>INDEX('04_Matriz_Cambios'!$B$6:$R$22,MATCH($A409,'04_Matriz_Cambios'!$A$6:$A$22,0),MATCH($B409,'04_Matriz_Cambios'!$B$5:$R$5,0))</f>
        <v>0</v>
      </c>
      <c r="D409" s="44">
        <f>INDEX('02_Datos_Maestros'!$I$5:$I$21,MATCH($A409,'02_Datos_Maestros'!$A$5:$A$21,0))</f>
        <v>3278</v>
      </c>
      <c r="E409" s="44">
        <f>INDEX('02_Datos_Maestros'!$I$5:$I$21,MATCH($B409,'02_Datos_Maestros'!$A$5:$A$21,0))</f>
        <v>3278</v>
      </c>
    </row>
    <row r="410" spans="1:5" hidden="1" x14ac:dyDescent="0.2">
      <c r="A410" s="44">
        <v>7590</v>
      </c>
      <c r="B410" s="44">
        <v>6743</v>
      </c>
      <c r="C410" s="44">
        <f>INDEX('04_Matriz_Cambios'!$B$6:$R$22,MATCH($A410,'04_Matriz_Cambios'!$A$6:$A$22,0),MATCH($B410,'04_Matriz_Cambios'!$B$5:$R$5,0))</f>
        <v>120</v>
      </c>
      <c r="D410" s="44">
        <f>INDEX('02_Datos_Maestros'!$I$5:$I$21,MATCH($A410,'02_Datos_Maestros'!$A$5:$A$21,0))</f>
        <v>3278</v>
      </c>
      <c r="E410" s="44">
        <f>INDEX('02_Datos_Maestros'!$I$5:$I$21,MATCH($B410,'02_Datos_Maestros'!$A$5:$A$21,0))</f>
        <v>6743</v>
      </c>
    </row>
    <row r="411" spans="1:5" hidden="1" x14ac:dyDescent="0.2">
      <c r="A411" s="44">
        <v>7590</v>
      </c>
      <c r="B411" s="44">
        <v>16787</v>
      </c>
      <c r="C411" s="44">
        <f>INDEX('04_Matriz_Cambios'!$B$6:$R$22,MATCH($A411,'04_Matriz_Cambios'!$A$6:$A$22,0),MATCH($B411,'04_Matriz_Cambios'!$B$5:$R$5,0))</f>
        <v>120</v>
      </c>
      <c r="D411" s="44">
        <f>INDEX('02_Datos_Maestros'!$I$5:$I$21,MATCH($A411,'02_Datos_Maestros'!$A$5:$A$21,0))</f>
        <v>3278</v>
      </c>
      <c r="E411" s="44">
        <f>INDEX('02_Datos_Maestros'!$I$5:$I$21,MATCH($B411,'02_Datos_Maestros'!$A$5:$A$21,0))</f>
        <v>5998</v>
      </c>
    </row>
    <row r="412" spans="1:5" hidden="1" x14ac:dyDescent="0.2">
      <c r="A412" s="44">
        <v>7590</v>
      </c>
      <c r="B412" s="44">
        <v>15881</v>
      </c>
      <c r="C412" s="44">
        <f>INDEX('04_Matriz_Cambios'!$B$6:$R$22,MATCH($A412,'04_Matriz_Cambios'!$A$6:$A$22,0),MATCH($B412,'04_Matriz_Cambios'!$B$5:$R$5,0))</f>
        <v>120</v>
      </c>
      <c r="D412" s="44">
        <f>INDEX('02_Datos_Maestros'!$I$5:$I$21,MATCH($A412,'02_Datos_Maestros'!$A$5:$A$21,0))</f>
        <v>3278</v>
      </c>
      <c r="E412" s="44">
        <f>INDEX('02_Datos_Maestros'!$I$5:$I$21,MATCH($B412,'02_Datos_Maestros'!$A$5:$A$21,0))</f>
        <v>5998</v>
      </c>
    </row>
    <row r="413" spans="1:5" hidden="1" x14ac:dyDescent="0.2">
      <c r="A413" s="44">
        <v>7590</v>
      </c>
      <c r="B413" s="44">
        <v>5998</v>
      </c>
      <c r="C413" s="44">
        <f>INDEX('04_Matriz_Cambios'!$B$6:$R$22,MATCH($A413,'04_Matriz_Cambios'!$A$6:$A$22,0),MATCH($B413,'04_Matriz_Cambios'!$B$5:$R$5,0))</f>
        <v>120</v>
      </c>
      <c r="D413" s="44">
        <f>INDEX('02_Datos_Maestros'!$I$5:$I$21,MATCH($A413,'02_Datos_Maestros'!$A$5:$A$21,0))</f>
        <v>3278</v>
      </c>
      <c r="E413" s="44">
        <f>INDEX('02_Datos_Maestros'!$I$5:$I$21,MATCH($B413,'02_Datos_Maestros'!$A$5:$A$21,0))</f>
        <v>5998</v>
      </c>
    </row>
    <row r="414" spans="1:5" hidden="1" x14ac:dyDescent="0.2">
      <c r="A414" s="44">
        <v>7590</v>
      </c>
      <c r="B414" s="44">
        <v>3749</v>
      </c>
      <c r="C414" s="44">
        <f>INDEX('04_Matriz_Cambios'!$B$6:$R$22,MATCH($A414,'04_Matriz_Cambios'!$A$6:$A$22,0),MATCH($B414,'04_Matriz_Cambios'!$B$5:$R$5,0))</f>
        <v>0</v>
      </c>
      <c r="D414" s="44">
        <f>INDEX('02_Datos_Maestros'!$I$5:$I$21,MATCH($A414,'02_Datos_Maestros'!$A$5:$A$21,0))</f>
        <v>3278</v>
      </c>
      <c r="E414" s="44">
        <f>INDEX('02_Datos_Maestros'!$I$5:$I$21,MATCH($B414,'02_Datos_Maestros'!$A$5:$A$21,0))</f>
        <v>3278</v>
      </c>
    </row>
    <row r="415" spans="1:5" hidden="1" x14ac:dyDescent="0.2">
      <c r="A415" s="44">
        <v>7590</v>
      </c>
      <c r="B415" s="44">
        <v>3278</v>
      </c>
      <c r="C415" s="44">
        <f>INDEX('04_Matriz_Cambios'!$B$6:$R$22,MATCH($A415,'04_Matriz_Cambios'!$A$6:$A$22,0),MATCH($B415,'04_Matriz_Cambios'!$B$5:$R$5,0))</f>
        <v>0</v>
      </c>
      <c r="D415" s="44">
        <f>INDEX('02_Datos_Maestros'!$I$5:$I$21,MATCH($A415,'02_Datos_Maestros'!$A$5:$A$21,0))</f>
        <v>3278</v>
      </c>
      <c r="E415" s="44">
        <f>INDEX('02_Datos_Maestros'!$I$5:$I$21,MATCH($B415,'02_Datos_Maestros'!$A$5:$A$21,0))</f>
        <v>3278</v>
      </c>
    </row>
    <row r="416" spans="1:5" hidden="1" x14ac:dyDescent="0.2">
      <c r="A416" s="44">
        <v>7590</v>
      </c>
      <c r="B416" s="44">
        <v>7590</v>
      </c>
      <c r="C416" s="44">
        <f>INDEX('04_Matriz_Cambios'!$B$6:$R$22,MATCH($A416,'04_Matriz_Cambios'!$A$6:$A$22,0),MATCH($B416,'04_Matriz_Cambios'!$B$5:$R$5,0))</f>
        <v>0</v>
      </c>
      <c r="D416" s="44">
        <f>INDEX('02_Datos_Maestros'!$I$5:$I$21,MATCH($A416,'02_Datos_Maestros'!$A$5:$A$21,0))</f>
        <v>3278</v>
      </c>
      <c r="E416" s="44">
        <f>INDEX('02_Datos_Maestros'!$I$5:$I$21,MATCH($B416,'02_Datos_Maestros'!$A$5:$A$21,0))</f>
        <v>3278</v>
      </c>
    </row>
    <row r="417" spans="1:5" hidden="1" x14ac:dyDescent="0.2">
      <c r="A417" s="44">
        <v>7590</v>
      </c>
      <c r="B417" s="44">
        <v>15795</v>
      </c>
      <c r="C417" s="44">
        <f>INDEX('04_Matriz_Cambios'!$B$6:$R$22,MATCH($A417,'04_Matriz_Cambios'!$A$6:$A$22,0),MATCH($B417,'04_Matriz_Cambios'!$B$5:$R$5,0))</f>
        <v>0</v>
      </c>
      <c r="D417" s="44">
        <f>INDEX('02_Datos_Maestros'!$I$5:$I$21,MATCH($A417,'02_Datos_Maestros'!$A$5:$A$21,0))</f>
        <v>3278</v>
      </c>
      <c r="E417" s="44">
        <f>INDEX('02_Datos_Maestros'!$I$5:$I$21,MATCH($B417,'02_Datos_Maestros'!$A$5:$A$21,0))</f>
        <v>3278</v>
      </c>
    </row>
    <row r="418" spans="1:5" hidden="1" x14ac:dyDescent="0.2">
      <c r="A418" s="44">
        <v>7590</v>
      </c>
      <c r="B418" s="44">
        <v>15564</v>
      </c>
      <c r="C418" s="44">
        <f>INDEX('04_Matriz_Cambios'!$B$6:$R$22,MATCH($A418,'04_Matriz_Cambios'!$A$6:$A$22,0),MATCH($B418,'04_Matriz_Cambios'!$B$5:$R$5,0))</f>
        <v>120</v>
      </c>
      <c r="D418" s="44">
        <f>INDEX('02_Datos_Maestros'!$I$5:$I$21,MATCH($A418,'02_Datos_Maestros'!$A$5:$A$21,0))</f>
        <v>3278</v>
      </c>
      <c r="E418" s="44">
        <f>INDEX('02_Datos_Maestros'!$I$5:$I$21,MATCH($B418,'02_Datos_Maestros'!$A$5:$A$21,0))</f>
        <v>15564</v>
      </c>
    </row>
    <row r="419" spans="1:5" hidden="1" x14ac:dyDescent="0.2">
      <c r="A419" s="44">
        <v>7590</v>
      </c>
      <c r="B419" s="44">
        <v>3643</v>
      </c>
      <c r="C419" s="44">
        <f>INDEX('04_Matriz_Cambios'!$B$6:$R$22,MATCH($A419,'04_Matriz_Cambios'!$A$6:$A$22,0),MATCH($B419,'04_Matriz_Cambios'!$B$5:$R$5,0))</f>
        <v>120</v>
      </c>
      <c r="D419" s="44">
        <f>INDEX('02_Datos_Maestros'!$I$5:$I$21,MATCH($A419,'02_Datos_Maestros'!$A$5:$A$21,0))</f>
        <v>3278</v>
      </c>
      <c r="E419" s="44">
        <f>INDEX('02_Datos_Maestros'!$I$5:$I$21,MATCH($B419,'02_Datos_Maestros'!$A$5:$A$21,0))</f>
        <v>3643</v>
      </c>
    </row>
    <row r="420" spans="1:5" hidden="1" x14ac:dyDescent="0.2">
      <c r="A420" s="44">
        <v>7590</v>
      </c>
      <c r="B420" s="44">
        <v>3533</v>
      </c>
      <c r="C420" s="44">
        <f>INDEX('04_Matriz_Cambios'!$B$6:$R$22,MATCH($A420,'04_Matriz_Cambios'!$A$6:$A$22,0),MATCH($B420,'04_Matriz_Cambios'!$B$5:$R$5,0))</f>
        <v>120</v>
      </c>
      <c r="D420" s="44">
        <f>INDEX('02_Datos_Maestros'!$I$5:$I$21,MATCH($A420,'02_Datos_Maestros'!$A$5:$A$21,0))</f>
        <v>3278</v>
      </c>
      <c r="E420" s="44">
        <f>INDEX('02_Datos_Maestros'!$I$5:$I$21,MATCH($B420,'02_Datos_Maestros'!$A$5:$A$21,0))</f>
        <v>3533</v>
      </c>
    </row>
    <row r="421" spans="1:5" hidden="1" x14ac:dyDescent="0.2">
      <c r="A421" s="44">
        <v>15795</v>
      </c>
      <c r="B421" s="44">
        <v>3757</v>
      </c>
      <c r="C421" s="44">
        <f>INDEX('04_Matriz_Cambios'!$B$6:$R$22,MATCH($A421,'04_Matriz_Cambios'!$A$6:$A$22,0),MATCH($B421,'04_Matriz_Cambios'!$B$5:$R$5,0))</f>
        <v>120</v>
      </c>
      <c r="D421" s="44">
        <f>INDEX('02_Datos_Maestros'!$I$5:$I$21,MATCH($A421,'02_Datos_Maestros'!$A$5:$A$21,0))</f>
        <v>3278</v>
      </c>
      <c r="E421" s="44">
        <f>INDEX('02_Datos_Maestros'!$I$5:$I$21,MATCH($B421,'02_Datos_Maestros'!$A$5:$A$21,0))</f>
        <v>3757</v>
      </c>
    </row>
    <row r="422" spans="1:5" hidden="1" x14ac:dyDescent="0.2">
      <c r="A422" s="44">
        <v>15795</v>
      </c>
      <c r="B422" s="44">
        <v>3925</v>
      </c>
      <c r="C422" s="44">
        <f>INDEX('04_Matriz_Cambios'!$B$6:$R$22,MATCH($A422,'04_Matriz_Cambios'!$A$6:$A$22,0),MATCH($B422,'04_Matriz_Cambios'!$B$5:$R$5,0))</f>
        <v>120</v>
      </c>
      <c r="D422" s="44">
        <f>INDEX('02_Datos_Maestros'!$I$5:$I$21,MATCH($A422,'02_Datos_Maestros'!$A$5:$A$21,0))</f>
        <v>3278</v>
      </c>
      <c r="E422" s="44">
        <f>INDEX('02_Datos_Maestros'!$I$5:$I$21,MATCH($B422,'02_Datos_Maestros'!$A$5:$A$21,0))</f>
        <v>3757</v>
      </c>
    </row>
    <row r="423" spans="1:5" hidden="1" x14ac:dyDescent="0.2">
      <c r="A423" s="44">
        <v>15795</v>
      </c>
      <c r="B423" s="44">
        <v>6616</v>
      </c>
      <c r="C423" s="44">
        <f>INDEX('04_Matriz_Cambios'!$B$6:$R$22,MATCH($A423,'04_Matriz_Cambios'!$A$6:$A$22,0),MATCH($B423,'04_Matriz_Cambios'!$B$5:$R$5,0))</f>
        <v>120</v>
      </c>
      <c r="D423" s="44">
        <f>INDEX('02_Datos_Maestros'!$I$5:$I$21,MATCH($A423,'02_Datos_Maestros'!$A$5:$A$21,0))</f>
        <v>3278</v>
      </c>
      <c r="E423" s="44">
        <f>INDEX('02_Datos_Maestros'!$I$5:$I$21,MATCH($B423,'02_Datos_Maestros'!$A$5:$A$21,0))</f>
        <v>3757</v>
      </c>
    </row>
    <row r="424" spans="1:5" hidden="1" x14ac:dyDescent="0.2">
      <c r="A424" s="44">
        <v>15795</v>
      </c>
      <c r="B424" s="44">
        <v>6639</v>
      </c>
      <c r="C424" s="44">
        <f>INDEX('04_Matriz_Cambios'!$B$6:$R$22,MATCH($A424,'04_Matriz_Cambios'!$A$6:$A$22,0),MATCH($B424,'04_Matriz_Cambios'!$B$5:$R$5,0))</f>
        <v>120</v>
      </c>
      <c r="D424" s="44">
        <f>INDEX('02_Datos_Maestros'!$I$5:$I$21,MATCH($A424,'02_Datos_Maestros'!$A$5:$A$21,0))</f>
        <v>3278</v>
      </c>
      <c r="E424" s="44">
        <f>INDEX('02_Datos_Maestros'!$I$5:$I$21,MATCH($B424,'02_Datos_Maestros'!$A$5:$A$21,0))</f>
        <v>6639</v>
      </c>
    </row>
    <row r="425" spans="1:5" hidden="1" x14ac:dyDescent="0.2">
      <c r="A425" s="44">
        <v>15795</v>
      </c>
      <c r="B425" s="44">
        <v>17246</v>
      </c>
      <c r="C425" s="44">
        <f>INDEX('04_Matriz_Cambios'!$B$6:$R$22,MATCH($A425,'04_Matriz_Cambios'!$A$6:$A$22,0),MATCH($B425,'04_Matriz_Cambios'!$B$5:$R$5,0))</f>
        <v>0</v>
      </c>
      <c r="D425" s="44">
        <f>INDEX('02_Datos_Maestros'!$I$5:$I$21,MATCH($A425,'02_Datos_Maestros'!$A$5:$A$21,0))</f>
        <v>3278</v>
      </c>
      <c r="E425" s="44">
        <f>INDEX('02_Datos_Maestros'!$I$5:$I$21,MATCH($B425,'02_Datos_Maestros'!$A$5:$A$21,0))</f>
        <v>3278</v>
      </c>
    </row>
    <row r="426" spans="1:5" hidden="1" x14ac:dyDescent="0.2">
      <c r="A426" s="44">
        <v>15795</v>
      </c>
      <c r="B426" s="44">
        <v>16816</v>
      </c>
      <c r="C426" s="44">
        <f>INDEX('04_Matriz_Cambios'!$B$6:$R$22,MATCH($A426,'04_Matriz_Cambios'!$A$6:$A$22,0),MATCH($B426,'04_Matriz_Cambios'!$B$5:$R$5,0))</f>
        <v>0</v>
      </c>
      <c r="D426" s="44">
        <f>INDEX('02_Datos_Maestros'!$I$5:$I$21,MATCH($A426,'02_Datos_Maestros'!$A$5:$A$21,0))</f>
        <v>3278</v>
      </c>
      <c r="E426" s="44">
        <f>INDEX('02_Datos_Maestros'!$I$5:$I$21,MATCH($B426,'02_Datos_Maestros'!$A$5:$A$21,0))</f>
        <v>3278</v>
      </c>
    </row>
    <row r="427" spans="1:5" hidden="1" x14ac:dyDescent="0.2">
      <c r="A427" s="44">
        <v>15795</v>
      </c>
      <c r="B427" s="44">
        <v>6743</v>
      </c>
      <c r="C427" s="44">
        <f>INDEX('04_Matriz_Cambios'!$B$6:$R$22,MATCH($A427,'04_Matriz_Cambios'!$A$6:$A$22,0),MATCH($B427,'04_Matriz_Cambios'!$B$5:$R$5,0))</f>
        <v>120</v>
      </c>
      <c r="D427" s="44">
        <f>INDEX('02_Datos_Maestros'!$I$5:$I$21,MATCH($A427,'02_Datos_Maestros'!$A$5:$A$21,0))</f>
        <v>3278</v>
      </c>
      <c r="E427" s="44">
        <f>INDEX('02_Datos_Maestros'!$I$5:$I$21,MATCH($B427,'02_Datos_Maestros'!$A$5:$A$21,0))</f>
        <v>6743</v>
      </c>
    </row>
    <row r="428" spans="1:5" hidden="1" x14ac:dyDescent="0.2">
      <c r="A428" s="44">
        <v>15795</v>
      </c>
      <c r="B428" s="44">
        <v>16787</v>
      </c>
      <c r="C428" s="44">
        <f>INDEX('04_Matriz_Cambios'!$B$6:$R$22,MATCH($A428,'04_Matriz_Cambios'!$A$6:$A$22,0),MATCH($B428,'04_Matriz_Cambios'!$B$5:$R$5,0))</f>
        <v>120</v>
      </c>
      <c r="D428" s="44">
        <f>INDEX('02_Datos_Maestros'!$I$5:$I$21,MATCH($A428,'02_Datos_Maestros'!$A$5:$A$21,0))</f>
        <v>3278</v>
      </c>
      <c r="E428" s="44">
        <f>INDEX('02_Datos_Maestros'!$I$5:$I$21,MATCH($B428,'02_Datos_Maestros'!$A$5:$A$21,0))</f>
        <v>5998</v>
      </c>
    </row>
    <row r="429" spans="1:5" hidden="1" x14ac:dyDescent="0.2">
      <c r="A429" s="44">
        <v>15795</v>
      </c>
      <c r="B429" s="44">
        <v>15881</v>
      </c>
      <c r="C429" s="44">
        <f>INDEX('04_Matriz_Cambios'!$B$6:$R$22,MATCH($A429,'04_Matriz_Cambios'!$A$6:$A$22,0),MATCH($B429,'04_Matriz_Cambios'!$B$5:$R$5,0))</f>
        <v>120</v>
      </c>
      <c r="D429" s="44">
        <f>INDEX('02_Datos_Maestros'!$I$5:$I$21,MATCH($A429,'02_Datos_Maestros'!$A$5:$A$21,0))</f>
        <v>3278</v>
      </c>
      <c r="E429" s="44">
        <f>INDEX('02_Datos_Maestros'!$I$5:$I$21,MATCH($B429,'02_Datos_Maestros'!$A$5:$A$21,0))</f>
        <v>5998</v>
      </c>
    </row>
    <row r="430" spans="1:5" hidden="1" x14ac:dyDescent="0.2">
      <c r="A430" s="44">
        <v>15795</v>
      </c>
      <c r="B430" s="44">
        <v>5998</v>
      </c>
      <c r="C430" s="44">
        <f>INDEX('04_Matriz_Cambios'!$B$6:$R$22,MATCH($A430,'04_Matriz_Cambios'!$A$6:$A$22,0),MATCH($B430,'04_Matriz_Cambios'!$B$5:$R$5,0))</f>
        <v>120</v>
      </c>
      <c r="D430" s="44">
        <f>INDEX('02_Datos_Maestros'!$I$5:$I$21,MATCH($A430,'02_Datos_Maestros'!$A$5:$A$21,0))</f>
        <v>3278</v>
      </c>
      <c r="E430" s="44">
        <f>INDEX('02_Datos_Maestros'!$I$5:$I$21,MATCH($B430,'02_Datos_Maestros'!$A$5:$A$21,0))</f>
        <v>5998</v>
      </c>
    </row>
    <row r="431" spans="1:5" hidden="1" x14ac:dyDescent="0.2">
      <c r="A431" s="44">
        <v>15795</v>
      </c>
      <c r="B431" s="44">
        <v>3749</v>
      </c>
      <c r="C431" s="44">
        <f>INDEX('04_Matriz_Cambios'!$B$6:$R$22,MATCH($A431,'04_Matriz_Cambios'!$A$6:$A$22,0),MATCH($B431,'04_Matriz_Cambios'!$B$5:$R$5,0))</f>
        <v>0</v>
      </c>
      <c r="D431" s="44">
        <f>INDEX('02_Datos_Maestros'!$I$5:$I$21,MATCH($A431,'02_Datos_Maestros'!$A$5:$A$21,0))</f>
        <v>3278</v>
      </c>
      <c r="E431" s="44">
        <f>INDEX('02_Datos_Maestros'!$I$5:$I$21,MATCH($B431,'02_Datos_Maestros'!$A$5:$A$21,0))</f>
        <v>3278</v>
      </c>
    </row>
    <row r="432" spans="1:5" hidden="1" x14ac:dyDescent="0.2">
      <c r="A432" s="44">
        <v>15795</v>
      </c>
      <c r="B432" s="44">
        <v>3278</v>
      </c>
      <c r="C432" s="44">
        <f>INDEX('04_Matriz_Cambios'!$B$6:$R$22,MATCH($A432,'04_Matriz_Cambios'!$A$6:$A$22,0),MATCH($B432,'04_Matriz_Cambios'!$B$5:$R$5,0))</f>
        <v>0</v>
      </c>
      <c r="D432" s="44">
        <f>INDEX('02_Datos_Maestros'!$I$5:$I$21,MATCH($A432,'02_Datos_Maestros'!$A$5:$A$21,0))</f>
        <v>3278</v>
      </c>
      <c r="E432" s="44">
        <f>INDEX('02_Datos_Maestros'!$I$5:$I$21,MATCH($B432,'02_Datos_Maestros'!$A$5:$A$21,0))</f>
        <v>3278</v>
      </c>
    </row>
    <row r="433" spans="1:5" hidden="1" x14ac:dyDescent="0.2">
      <c r="A433" s="44">
        <v>15795</v>
      </c>
      <c r="B433" s="44">
        <v>7590</v>
      </c>
      <c r="C433" s="44">
        <f>INDEX('04_Matriz_Cambios'!$B$6:$R$22,MATCH($A433,'04_Matriz_Cambios'!$A$6:$A$22,0),MATCH($B433,'04_Matriz_Cambios'!$B$5:$R$5,0))</f>
        <v>0</v>
      </c>
      <c r="D433" s="44">
        <f>INDEX('02_Datos_Maestros'!$I$5:$I$21,MATCH($A433,'02_Datos_Maestros'!$A$5:$A$21,0))</f>
        <v>3278</v>
      </c>
      <c r="E433" s="44">
        <f>INDEX('02_Datos_Maestros'!$I$5:$I$21,MATCH($B433,'02_Datos_Maestros'!$A$5:$A$21,0))</f>
        <v>3278</v>
      </c>
    </row>
    <row r="434" spans="1:5" hidden="1" x14ac:dyDescent="0.2">
      <c r="A434" s="44">
        <v>15795</v>
      </c>
      <c r="B434" s="44">
        <v>15795</v>
      </c>
      <c r="C434" s="44">
        <f>INDEX('04_Matriz_Cambios'!$B$6:$R$22,MATCH($A434,'04_Matriz_Cambios'!$A$6:$A$22,0),MATCH($B434,'04_Matriz_Cambios'!$B$5:$R$5,0))</f>
        <v>0</v>
      </c>
      <c r="D434" s="44">
        <f>INDEX('02_Datos_Maestros'!$I$5:$I$21,MATCH($A434,'02_Datos_Maestros'!$A$5:$A$21,0))</f>
        <v>3278</v>
      </c>
      <c r="E434" s="44">
        <f>INDEX('02_Datos_Maestros'!$I$5:$I$21,MATCH($B434,'02_Datos_Maestros'!$A$5:$A$21,0))</f>
        <v>3278</v>
      </c>
    </row>
    <row r="435" spans="1:5" hidden="1" x14ac:dyDescent="0.2">
      <c r="A435" s="44">
        <v>15795</v>
      </c>
      <c r="B435" s="44">
        <v>15564</v>
      </c>
      <c r="C435" s="44">
        <f>INDEX('04_Matriz_Cambios'!$B$6:$R$22,MATCH($A435,'04_Matriz_Cambios'!$A$6:$A$22,0),MATCH($B435,'04_Matriz_Cambios'!$B$5:$R$5,0))</f>
        <v>120</v>
      </c>
      <c r="D435" s="44">
        <f>INDEX('02_Datos_Maestros'!$I$5:$I$21,MATCH($A435,'02_Datos_Maestros'!$A$5:$A$21,0))</f>
        <v>3278</v>
      </c>
      <c r="E435" s="44">
        <f>INDEX('02_Datos_Maestros'!$I$5:$I$21,MATCH($B435,'02_Datos_Maestros'!$A$5:$A$21,0))</f>
        <v>15564</v>
      </c>
    </row>
    <row r="436" spans="1:5" hidden="1" x14ac:dyDescent="0.2">
      <c r="A436" s="44">
        <v>15795</v>
      </c>
      <c r="B436" s="44">
        <v>3643</v>
      </c>
      <c r="C436" s="44">
        <f>INDEX('04_Matriz_Cambios'!$B$6:$R$22,MATCH($A436,'04_Matriz_Cambios'!$A$6:$A$22,0),MATCH($B436,'04_Matriz_Cambios'!$B$5:$R$5,0))</f>
        <v>120</v>
      </c>
      <c r="D436" s="44">
        <f>INDEX('02_Datos_Maestros'!$I$5:$I$21,MATCH($A436,'02_Datos_Maestros'!$A$5:$A$21,0))</f>
        <v>3278</v>
      </c>
      <c r="E436" s="44">
        <f>INDEX('02_Datos_Maestros'!$I$5:$I$21,MATCH($B436,'02_Datos_Maestros'!$A$5:$A$21,0))</f>
        <v>3643</v>
      </c>
    </row>
    <row r="437" spans="1:5" hidden="1" x14ac:dyDescent="0.2">
      <c r="A437" s="44">
        <v>15795</v>
      </c>
      <c r="B437" s="44">
        <v>3533</v>
      </c>
      <c r="C437" s="44">
        <f>INDEX('04_Matriz_Cambios'!$B$6:$R$22,MATCH($A437,'04_Matriz_Cambios'!$A$6:$A$22,0),MATCH($B437,'04_Matriz_Cambios'!$B$5:$R$5,0))</f>
        <v>120</v>
      </c>
      <c r="D437" s="44">
        <f>INDEX('02_Datos_Maestros'!$I$5:$I$21,MATCH($A437,'02_Datos_Maestros'!$A$5:$A$21,0))</f>
        <v>3278</v>
      </c>
      <c r="E437" s="44">
        <f>INDEX('02_Datos_Maestros'!$I$5:$I$21,MATCH($B437,'02_Datos_Maestros'!$A$5:$A$21,0))</f>
        <v>3533</v>
      </c>
    </row>
    <row r="438" spans="1:5" hidden="1" x14ac:dyDescent="0.2">
      <c r="A438" s="44">
        <v>15564</v>
      </c>
      <c r="B438" s="44">
        <v>3757</v>
      </c>
      <c r="C438" s="44">
        <f>INDEX('04_Matriz_Cambios'!$B$6:$R$22,MATCH($A438,'04_Matriz_Cambios'!$A$6:$A$22,0),MATCH($B438,'04_Matriz_Cambios'!$B$5:$R$5,0))</f>
        <v>180</v>
      </c>
      <c r="D438" s="44">
        <f>INDEX('02_Datos_Maestros'!$I$5:$I$21,MATCH($A438,'02_Datos_Maestros'!$A$5:$A$21,0))</f>
        <v>15564</v>
      </c>
      <c r="E438" s="44">
        <f>INDEX('02_Datos_Maestros'!$I$5:$I$21,MATCH($B438,'02_Datos_Maestros'!$A$5:$A$21,0))</f>
        <v>3757</v>
      </c>
    </row>
    <row r="439" spans="1:5" hidden="1" x14ac:dyDescent="0.2">
      <c r="A439" s="44">
        <v>15564</v>
      </c>
      <c r="B439" s="44">
        <v>3925</v>
      </c>
      <c r="C439" s="44">
        <f>INDEX('04_Matriz_Cambios'!$B$6:$R$22,MATCH($A439,'04_Matriz_Cambios'!$A$6:$A$22,0),MATCH($B439,'04_Matriz_Cambios'!$B$5:$R$5,0))</f>
        <v>180</v>
      </c>
      <c r="D439" s="44">
        <f>INDEX('02_Datos_Maestros'!$I$5:$I$21,MATCH($A439,'02_Datos_Maestros'!$A$5:$A$21,0))</f>
        <v>15564</v>
      </c>
      <c r="E439" s="44">
        <f>INDEX('02_Datos_Maestros'!$I$5:$I$21,MATCH($B439,'02_Datos_Maestros'!$A$5:$A$21,0))</f>
        <v>3757</v>
      </c>
    </row>
    <row r="440" spans="1:5" hidden="1" x14ac:dyDescent="0.2">
      <c r="A440" s="44">
        <v>15564</v>
      </c>
      <c r="B440" s="44">
        <v>6616</v>
      </c>
      <c r="C440" s="44">
        <f>INDEX('04_Matriz_Cambios'!$B$6:$R$22,MATCH($A440,'04_Matriz_Cambios'!$A$6:$A$22,0),MATCH($B440,'04_Matriz_Cambios'!$B$5:$R$5,0))</f>
        <v>180</v>
      </c>
      <c r="D440" s="44">
        <f>INDEX('02_Datos_Maestros'!$I$5:$I$21,MATCH($A440,'02_Datos_Maestros'!$A$5:$A$21,0))</f>
        <v>15564</v>
      </c>
      <c r="E440" s="44">
        <f>INDEX('02_Datos_Maestros'!$I$5:$I$21,MATCH($B440,'02_Datos_Maestros'!$A$5:$A$21,0))</f>
        <v>3757</v>
      </c>
    </row>
    <row r="441" spans="1:5" hidden="1" x14ac:dyDescent="0.2">
      <c r="A441" s="44">
        <v>15564</v>
      </c>
      <c r="B441" s="44">
        <v>6639</v>
      </c>
      <c r="C441" s="44">
        <f>INDEX('04_Matriz_Cambios'!$B$6:$R$22,MATCH($A441,'04_Matriz_Cambios'!$A$6:$A$22,0),MATCH($B441,'04_Matriz_Cambios'!$B$5:$R$5,0))</f>
        <v>120</v>
      </c>
      <c r="D441" s="44">
        <f>INDEX('02_Datos_Maestros'!$I$5:$I$21,MATCH($A441,'02_Datos_Maestros'!$A$5:$A$21,0))</f>
        <v>15564</v>
      </c>
      <c r="E441" s="44">
        <f>INDEX('02_Datos_Maestros'!$I$5:$I$21,MATCH($B441,'02_Datos_Maestros'!$A$5:$A$21,0))</f>
        <v>6639</v>
      </c>
    </row>
    <row r="442" spans="1:5" hidden="1" x14ac:dyDescent="0.2">
      <c r="A442" s="44">
        <v>15564</v>
      </c>
      <c r="B442" s="44">
        <v>17246</v>
      </c>
      <c r="C442" s="44">
        <f>INDEX('04_Matriz_Cambios'!$B$6:$R$22,MATCH($A442,'04_Matriz_Cambios'!$A$6:$A$22,0),MATCH($B442,'04_Matriz_Cambios'!$B$5:$R$5,0))</f>
        <v>120</v>
      </c>
      <c r="D442" s="44">
        <f>INDEX('02_Datos_Maestros'!$I$5:$I$21,MATCH($A442,'02_Datos_Maestros'!$A$5:$A$21,0))</f>
        <v>15564</v>
      </c>
      <c r="E442" s="44">
        <f>INDEX('02_Datos_Maestros'!$I$5:$I$21,MATCH($B442,'02_Datos_Maestros'!$A$5:$A$21,0))</f>
        <v>3278</v>
      </c>
    </row>
    <row r="443" spans="1:5" hidden="1" x14ac:dyDescent="0.2">
      <c r="A443" s="44">
        <v>15564</v>
      </c>
      <c r="B443" s="44">
        <v>16816</v>
      </c>
      <c r="C443" s="44">
        <f>INDEX('04_Matriz_Cambios'!$B$6:$R$22,MATCH($A443,'04_Matriz_Cambios'!$A$6:$A$22,0),MATCH($B443,'04_Matriz_Cambios'!$B$5:$R$5,0))</f>
        <v>120</v>
      </c>
      <c r="D443" s="44">
        <f>INDEX('02_Datos_Maestros'!$I$5:$I$21,MATCH($A443,'02_Datos_Maestros'!$A$5:$A$21,0))</f>
        <v>15564</v>
      </c>
      <c r="E443" s="44">
        <f>INDEX('02_Datos_Maestros'!$I$5:$I$21,MATCH($B443,'02_Datos_Maestros'!$A$5:$A$21,0))</f>
        <v>3278</v>
      </c>
    </row>
    <row r="444" spans="1:5" hidden="1" x14ac:dyDescent="0.2">
      <c r="A444" s="44">
        <v>15564</v>
      </c>
      <c r="B444" s="44">
        <v>6743</v>
      </c>
      <c r="C444" s="44">
        <f>INDEX('04_Matriz_Cambios'!$B$6:$R$22,MATCH($A444,'04_Matriz_Cambios'!$A$6:$A$22,0),MATCH($B444,'04_Matriz_Cambios'!$B$5:$R$5,0))</f>
        <v>120</v>
      </c>
      <c r="D444" s="44">
        <f>INDEX('02_Datos_Maestros'!$I$5:$I$21,MATCH($A444,'02_Datos_Maestros'!$A$5:$A$21,0))</f>
        <v>15564</v>
      </c>
      <c r="E444" s="44">
        <f>INDEX('02_Datos_Maestros'!$I$5:$I$21,MATCH($B444,'02_Datos_Maestros'!$A$5:$A$21,0))</f>
        <v>6743</v>
      </c>
    </row>
    <row r="445" spans="1:5" hidden="1" x14ac:dyDescent="0.2">
      <c r="A445" s="44">
        <v>15564</v>
      </c>
      <c r="B445" s="44">
        <v>16787</v>
      </c>
      <c r="C445" s="44">
        <f>INDEX('04_Matriz_Cambios'!$B$6:$R$22,MATCH($A445,'04_Matriz_Cambios'!$A$6:$A$22,0),MATCH($B445,'04_Matriz_Cambios'!$B$5:$R$5,0))</f>
        <v>120</v>
      </c>
      <c r="D445" s="44">
        <f>INDEX('02_Datos_Maestros'!$I$5:$I$21,MATCH($A445,'02_Datos_Maestros'!$A$5:$A$21,0))</f>
        <v>15564</v>
      </c>
      <c r="E445" s="44">
        <f>INDEX('02_Datos_Maestros'!$I$5:$I$21,MATCH($B445,'02_Datos_Maestros'!$A$5:$A$21,0))</f>
        <v>5998</v>
      </c>
    </row>
    <row r="446" spans="1:5" hidden="1" x14ac:dyDescent="0.2">
      <c r="A446" s="44">
        <v>15564</v>
      </c>
      <c r="B446" s="44">
        <v>15881</v>
      </c>
      <c r="C446" s="44">
        <f>INDEX('04_Matriz_Cambios'!$B$6:$R$22,MATCH($A446,'04_Matriz_Cambios'!$A$6:$A$22,0),MATCH($B446,'04_Matriz_Cambios'!$B$5:$R$5,0))</f>
        <v>120</v>
      </c>
      <c r="D446" s="44">
        <f>INDEX('02_Datos_Maestros'!$I$5:$I$21,MATCH($A446,'02_Datos_Maestros'!$A$5:$A$21,0))</f>
        <v>15564</v>
      </c>
      <c r="E446" s="44">
        <f>INDEX('02_Datos_Maestros'!$I$5:$I$21,MATCH($B446,'02_Datos_Maestros'!$A$5:$A$21,0))</f>
        <v>5998</v>
      </c>
    </row>
    <row r="447" spans="1:5" hidden="1" x14ac:dyDescent="0.2">
      <c r="A447" s="44">
        <v>15564</v>
      </c>
      <c r="B447" s="44">
        <v>5998</v>
      </c>
      <c r="C447" s="44">
        <f>INDEX('04_Matriz_Cambios'!$B$6:$R$22,MATCH($A447,'04_Matriz_Cambios'!$A$6:$A$22,0),MATCH($B447,'04_Matriz_Cambios'!$B$5:$R$5,0))</f>
        <v>120</v>
      </c>
      <c r="D447" s="44">
        <f>INDEX('02_Datos_Maestros'!$I$5:$I$21,MATCH($A447,'02_Datos_Maestros'!$A$5:$A$21,0))</f>
        <v>15564</v>
      </c>
      <c r="E447" s="44">
        <f>INDEX('02_Datos_Maestros'!$I$5:$I$21,MATCH($B447,'02_Datos_Maestros'!$A$5:$A$21,0))</f>
        <v>5998</v>
      </c>
    </row>
    <row r="448" spans="1:5" hidden="1" x14ac:dyDescent="0.2">
      <c r="A448" s="44">
        <v>15564</v>
      </c>
      <c r="B448" s="44">
        <v>3749</v>
      </c>
      <c r="C448" s="44">
        <f>INDEX('04_Matriz_Cambios'!$B$6:$R$22,MATCH($A448,'04_Matriz_Cambios'!$A$6:$A$22,0),MATCH($B448,'04_Matriz_Cambios'!$B$5:$R$5,0))</f>
        <v>120</v>
      </c>
      <c r="D448" s="44">
        <f>INDEX('02_Datos_Maestros'!$I$5:$I$21,MATCH($A448,'02_Datos_Maestros'!$A$5:$A$21,0))</f>
        <v>15564</v>
      </c>
      <c r="E448" s="44">
        <f>INDEX('02_Datos_Maestros'!$I$5:$I$21,MATCH($B448,'02_Datos_Maestros'!$A$5:$A$21,0))</f>
        <v>3278</v>
      </c>
    </row>
    <row r="449" spans="1:5" hidden="1" x14ac:dyDescent="0.2">
      <c r="A449" s="44">
        <v>15564</v>
      </c>
      <c r="B449" s="44">
        <v>3278</v>
      </c>
      <c r="C449" s="44">
        <f>INDEX('04_Matriz_Cambios'!$B$6:$R$22,MATCH($A449,'04_Matriz_Cambios'!$A$6:$A$22,0),MATCH($B449,'04_Matriz_Cambios'!$B$5:$R$5,0))</f>
        <v>120</v>
      </c>
      <c r="D449" s="44">
        <f>INDEX('02_Datos_Maestros'!$I$5:$I$21,MATCH($A449,'02_Datos_Maestros'!$A$5:$A$21,0))</f>
        <v>15564</v>
      </c>
      <c r="E449" s="44">
        <f>INDEX('02_Datos_Maestros'!$I$5:$I$21,MATCH($B449,'02_Datos_Maestros'!$A$5:$A$21,0))</f>
        <v>3278</v>
      </c>
    </row>
    <row r="450" spans="1:5" hidden="1" x14ac:dyDescent="0.2">
      <c r="A450" s="44">
        <v>15564</v>
      </c>
      <c r="B450" s="44">
        <v>7590</v>
      </c>
      <c r="C450" s="44">
        <f>INDEX('04_Matriz_Cambios'!$B$6:$R$22,MATCH($A450,'04_Matriz_Cambios'!$A$6:$A$22,0),MATCH($B450,'04_Matriz_Cambios'!$B$5:$R$5,0))</f>
        <v>120</v>
      </c>
      <c r="D450" s="44">
        <f>INDEX('02_Datos_Maestros'!$I$5:$I$21,MATCH($A450,'02_Datos_Maestros'!$A$5:$A$21,0))</f>
        <v>15564</v>
      </c>
      <c r="E450" s="44">
        <f>INDEX('02_Datos_Maestros'!$I$5:$I$21,MATCH($B450,'02_Datos_Maestros'!$A$5:$A$21,0))</f>
        <v>3278</v>
      </c>
    </row>
    <row r="451" spans="1:5" hidden="1" x14ac:dyDescent="0.2">
      <c r="A451" s="44">
        <v>15564</v>
      </c>
      <c r="B451" s="44">
        <v>15795</v>
      </c>
      <c r="C451" s="44">
        <f>INDEX('04_Matriz_Cambios'!$B$6:$R$22,MATCH($A451,'04_Matriz_Cambios'!$A$6:$A$22,0),MATCH($B451,'04_Matriz_Cambios'!$B$5:$R$5,0))</f>
        <v>120</v>
      </c>
      <c r="D451" s="44">
        <f>INDEX('02_Datos_Maestros'!$I$5:$I$21,MATCH($A451,'02_Datos_Maestros'!$A$5:$A$21,0))</f>
        <v>15564</v>
      </c>
      <c r="E451" s="44">
        <f>INDEX('02_Datos_Maestros'!$I$5:$I$21,MATCH($B451,'02_Datos_Maestros'!$A$5:$A$21,0))</f>
        <v>3278</v>
      </c>
    </row>
    <row r="452" spans="1:5" hidden="1" x14ac:dyDescent="0.2">
      <c r="A452" s="44">
        <v>15564</v>
      </c>
      <c r="B452" s="44">
        <v>15564</v>
      </c>
      <c r="C452" s="44">
        <f>INDEX('04_Matriz_Cambios'!$B$6:$R$22,MATCH($A452,'04_Matriz_Cambios'!$A$6:$A$22,0),MATCH($B452,'04_Matriz_Cambios'!$B$5:$R$5,0))</f>
        <v>0</v>
      </c>
      <c r="D452" s="44">
        <f>INDEX('02_Datos_Maestros'!$I$5:$I$21,MATCH($A452,'02_Datos_Maestros'!$A$5:$A$21,0))</f>
        <v>15564</v>
      </c>
      <c r="E452" s="44">
        <f>INDEX('02_Datos_Maestros'!$I$5:$I$21,MATCH($B452,'02_Datos_Maestros'!$A$5:$A$21,0))</f>
        <v>15564</v>
      </c>
    </row>
    <row r="453" spans="1:5" hidden="1" x14ac:dyDescent="0.2">
      <c r="A453" s="44">
        <v>15564</v>
      </c>
      <c r="B453" s="44">
        <v>3643</v>
      </c>
      <c r="C453" s="44">
        <f>INDEX('04_Matriz_Cambios'!$B$6:$R$22,MATCH($A453,'04_Matriz_Cambios'!$A$6:$A$22,0),MATCH($B453,'04_Matriz_Cambios'!$B$5:$R$5,0))</f>
        <v>120</v>
      </c>
      <c r="D453" s="44">
        <f>INDEX('02_Datos_Maestros'!$I$5:$I$21,MATCH($A453,'02_Datos_Maestros'!$A$5:$A$21,0))</f>
        <v>15564</v>
      </c>
      <c r="E453" s="44">
        <f>INDEX('02_Datos_Maestros'!$I$5:$I$21,MATCH($B453,'02_Datos_Maestros'!$A$5:$A$21,0))</f>
        <v>3643</v>
      </c>
    </row>
    <row r="454" spans="1:5" hidden="1" x14ac:dyDescent="0.2">
      <c r="A454" s="44">
        <v>15564</v>
      </c>
      <c r="B454" s="44">
        <v>3533</v>
      </c>
      <c r="C454" s="44">
        <f>INDEX('04_Matriz_Cambios'!$B$6:$R$22,MATCH($A454,'04_Matriz_Cambios'!$A$6:$A$22,0),MATCH($B454,'04_Matriz_Cambios'!$B$5:$R$5,0))</f>
        <v>120</v>
      </c>
      <c r="D454" s="44">
        <f>INDEX('02_Datos_Maestros'!$I$5:$I$21,MATCH($A454,'02_Datos_Maestros'!$A$5:$A$21,0))</f>
        <v>15564</v>
      </c>
      <c r="E454" s="44">
        <f>INDEX('02_Datos_Maestros'!$I$5:$I$21,MATCH($B454,'02_Datos_Maestros'!$A$5:$A$21,0))</f>
        <v>3533</v>
      </c>
    </row>
    <row r="455" spans="1:5" hidden="1" x14ac:dyDescent="0.2">
      <c r="A455" s="44">
        <v>3643</v>
      </c>
      <c r="B455" s="44">
        <v>3757</v>
      </c>
      <c r="C455" s="44">
        <f>INDEX('04_Matriz_Cambios'!$B$6:$R$22,MATCH($A455,'04_Matriz_Cambios'!$A$6:$A$22,0),MATCH($B455,'04_Matriz_Cambios'!$B$5:$R$5,0))</f>
        <v>180</v>
      </c>
      <c r="D455" s="44">
        <f>INDEX('02_Datos_Maestros'!$I$5:$I$21,MATCH($A455,'02_Datos_Maestros'!$A$5:$A$21,0))</f>
        <v>3643</v>
      </c>
      <c r="E455" s="44">
        <f>INDEX('02_Datos_Maestros'!$I$5:$I$21,MATCH($B455,'02_Datos_Maestros'!$A$5:$A$21,0))</f>
        <v>3757</v>
      </c>
    </row>
    <row r="456" spans="1:5" hidden="1" x14ac:dyDescent="0.2">
      <c r="A456" s="44">
        <v>3643</v>
      </c>
      <c r="B456" s="44">
        <v>3925</v>
      </c>
      <c r="C456" s="44">
        <f>INDEX('04_Matriz_Cambios'!$B$6:$R$22,MATCH($A456,'04_Matriz_Cambios'!$A$6:$A$22,0),MATCH($B456,'04_Matriz_Cambios'!$B$5:$R$5,0))</f>
        <v>180</v>
      </c>
      <c r="D456" s="44">
        <f>INDEX('02_Datos_Maestros'!$I$5:$I$21,MATCH($A456,'02_Datos_Maestros'!$A$5:$A$21,0))</f>
        <v>3643</v>
      </c>
      <c r="E456" s="44">
        <f>INDEX('02_Datos_Maestros'!$I$5:$I$21,MATCH($B456,'02_Datos_Maestros'!$A$5:$A$21,0))</f>
        <v>3757</v>
      </c>
    </row>
    <row r="457" spans="1:5" hidden="1" x14ac:dyDescent="0.2">
      <c r="A457" s="44">
        <v>3643</v>
      </c>
      <c r="B457" s="44">
        <v>6616</v>
      </c>
      <c r="C457" s="44">
        <f>INDEX('04_Matriz_Cambios'!$B$6:$R$22,MATCH($A457,'04_Matriz_Cambios'!$A$6:$A$22,0),MATCH($B457,'04_Matriz_Cambios'!$B$5:$R$5,0))</f>
        <v>180</v>
      </c>
      <c r="D457" s="44">
        <f>INDEX('02_Datos_Maestros'!$I$5:$I$21,MATCH($A457,'02_Datos_Maestros'!$A$5:$A$21,0))</f>
        <v>3643</v>
      </c>
      <c r="E457" s="44">
        <f>INDEX('02_Datos_Maestros'!$I$5:$I$21,MATCH($B457,'02_Datos_Maestros'!$A$5:$A$21,0))</f>
        <v>3757</v>
      </c>
    </row>
    <row r="458" spans="1:5" hidden="1" x14ac:dyDescent="0.2">
      <c r="A458" s="44">
        <v>3643</v>
      </c>
      <c r="B458" s="44">
        <v>6639</v>
      </c>
      <c r="C458" s="44">
        <f>INDEX('04_Matriz_Cambios'!$B$6:$R$22,MATCH($A458,'04_Matriz_Cambios'!$A$6:$A$22,0),MATCH($B458,'04_Matriz_Cambios'!$B$5:$R$5,0))</f>
        <v>120</v>
      </c>
      <c r="D458" s="44">
        <f>INDEX('02_Datos_Maestros'!$I$5:$I$21,MATCH($A458,'02_Datos_Maestros'!$A$5:$A$21,0))</f>
        <v>3643</v>
      </c>
      <c r="E458" s="44">
        <f>INDEX('02_Datos_Maestros'!$I$5:$I$21,MATCH($B458,'02_Datos_Maestros'!$A$5:$A$21,0))</f>
        <v>6639</v>
      </c>
    </row>
    <row r="459" spans="1:5" hidden="1" x14ac:dyDescent="0.2">
      <c r="A459" s="44">
        <v>3643</v>
      </c>
      <c r="B459" s="44">
        <v>17246</v>
      </c>
      <c r="C459" s="44">
        <f>INDEX('04_Matriz_Cambios'!$B$6:$R$22,MATCH($A459,'04_Matriz_Cambios'!$A$6:$A$22,0),MATCH($B459,'04_Matriz_Cambios'!$B$5:$R$5,0))</f>
        <v>120</v>
      </c>
      <c r="D459" s="44">
        <f>INDEX('02_Datos_Maestros'!$I$5:$I$21,MATCH($A459,'02_Datos_Maestros'!$A$5:$A$21,0))</f>
        <v>3643</v>
      </c>
      <c r="E459" s="44">
        <f>INDEX('02_Datos_Maestros'!$I$5:$I$21,MATCH($B459,'02_Datos_Maestros'!$A$5:$A$21,0))</f>
        <v>3278</v>
      </c>
    </row>
    <row r="460" spans="1:5" hidden="1" x14ac:dyDescent="0.2">
      <c r="A460" s="44">
        <v>3643</v>
      </c>
      <c r="B460" s="44">
        <v>16816</v>
      </c>
      <c r="C460" s="44">
        <f>INDEX('04_Matriz_Cambios'!$B$6:$R$22,MATCH($A460,'04_Matriz_Cambios'!$A$6:$A$22,0),MATCH($B460,'04_Matriz_Cambios'!$B$5:$R$5,0))</f>
        <v>120</v>
      </c>
      <c r="D460" s="44">
        <f>INDEX('02_Datos_Maestros'!$I$5:$I$21,MATCH($A460,'02_Datos_Maestros'!$A$5:$A$21,0))</f>
        <v>3643</v>
      </c>
      <c r="E460" s="44">
        <f>INDEX('02_Datos_Maestros'!$I$5:$I$21,MATCH($B460,'02_Datos_Maestros'!$A$5:$A$21,0))</f>
        <v>3278</v>
      </c>
    </row>
    <row r="461" spans="1:5" hidden="1" x14ac:dyDescent="0.2">
      <c r="A461" s="44">
        <v>3643</v>
      </c>
      <c r="B461" s="44">
        <v>6743</v>
      </c>
      <c r="C461" s="44">
        <f>INDEX('04_Matriz_Cambios'!$B$6:$R$22,MATCH($A461,'04_Matriz_Cambios'!$A$6:$A$22,0),MATCH($B461,'04_Matriz_Cambios'!$B$5:$R$5,0))</f>
        <v>120</v>
      </c>
      <c r="D461" s="44">
        <f>INDEX('02_Datos_Maestros'!$I$5:$I$21,MATCH($A461,'02_Datos_Maestros'!$A$5:$A$21,0))</f>
        <v>3643</v>
      </c>
      <c r="E461" s="44">
        <f>INDEX('02_Datos_Maestros'!$I$5:$I$21,MATCH($B461,'02_Datos_Maestros'!$A$5:$A$21,0))</f>
        <v>6743</v>
      </c>
    </row>
    <row r="462" spans="1:5" hidden="1" x14ac:dyDescent="0.2">
      <c r="A462" s="44">
        <v>3643</v>
      </c>
      <c r="B462" s="44">
        <v>16787</v>
      </c>
      <c r="C462" s="44">
        <f>INDEX('04_Matriz_Cambios'!$B$6:$R$22,MATCH($A462,'04_Matriz_Cambios'!$A$6:$A$22,0),MATCH($B462,'04_Matriz_Cambios'!$B$5:$R$5,0))</f>
        <v>120</v>
      </c>
      <c r="D462" s="44">
        <f>INDEX('02_Datos_Maestros'!$I$5:$I$21,MATCH($A462,'02_Datos_Maestros'!$A$5:$A$21,0))</f>
        <v>3643</v>
      </c>
      <c r="E462" s="44">
        <f>INDEX('02_Datos_Maestros'!$I$5:$I$21,MATCH($B462,'02_Datos_Maestros'!$A$5:$A$21,0))</f>
        <v>5998</v>
      </c>
    </row>
    <row r="463" spans="1:5" hidden="1" x14ac:dyDescent="0.2">
      <c r="A463" s="44">
        <v>3643</v>
      </c>
      <c r="B463" s="44">
        <v>15881</v>
      </c>
      <c r="C463" s="44">
        <f>INDEX('04_Matriz_Cambios'!$B$6:$R$22,MATCH($A463,'04_Matriz_Cambios'!$A$6:$A$22,0),MATCH($B463,'04_Matriz_Cambios'!$B$5:$R$5,0))</f>
        <v>120</v>
      </c>
      <c r="D463" s="44">
        <f>INDEX('02_Datos_Maestros'!$I$5:$I$21,MATCH($A463,'02_Datos_Maestros'!$A$5:$A$21,0))</f>
        <v>3643</v>
      </c>
      <c r="E463" s="44">
        <f>INDEX('02_Datos_Maestros'!$I$5:$I$21,MATCH($B463,'02_Datos_Maestros'!$A$5:$A$21,0))</f>
        <v>5998</v>
      </c>
    </row>
    <row r="464" spans="1:5" hidden="1" x14ac:dyDescent="0.2">
      <c r="A464" s="44">
        <v>3643</v>
      </c>
      <c r="B464" s="44">
        <v>5998</v>
      </c>
      <c r="C464" s="44">
        <f>INDEX('04_Matriz_Cambios'!$B$6:$R$22,MATCH($A464,'04_Matriz_Cambios'!$A$6:$A$22,0),MATCH($B464,'04_Matriz_Cambios'!$B$5:$R$5,0))</f>
        <v>120</v>
      </c>
      <c r="D464" s="44">
        <f>INDEX('02_Datos_Maestros'!$I$5:$I$21,MATCH($A464,'02_Datos_Maestros'!$A$5:$A$21,0))</f>
        <v>3643</v>
      </c>
      <c r="E464" s="44">
        <f>INDEX('02_Datos_Maestros'!$I$5:$I$21,MATCH($B464,'02_Datos_Maestros'!$A$5:$A$21,0))</f>
        <v>5998</v>
      </c>
    </row>
    <row r="465" spans="1:5" hidden="1" x14ac:dyDescent="0.2">
      <c r="A465" s="44">
        <v>3643</v>
      </c>
      <c r="B465" s="44">
        <v>3749</v>
      </c>
      <c r="C465" s="44">
        <f>INDEX('04_Matriz_Cambios'!$B$6:$R$22,MATCH($A465,'04_Matriz_Cambios'!$A$6:$A$22,0),MATCH($B465,'04_Matriz_Cambios'!$B$5:$R$5,0))</f>
        <v>120</v>
      </c>
      <c r="D465" s="44">
        <f>INDEX('02_Datos_Maestros'!$I$5:$I$21,MATCH($A465,'02_Datos_Maestros'!$A$5:$A$21,0))</f>
        <v>3643</v>
      </c>
      <c r="E465" s="44">
        <f>INDEX('02_Datos_Maestros'!$I$5:$I$21,MATCH($B465,'02_Datos_Maestros'!$A$5:$A$21,0))</f>
        <v>3278</v>
      </c>
    </row>
    <row r="466" spans="1:5" hidden="1" x14ac:dyDescent="0.2">
      <c r="A466" s="44">
        <v>3643</v>
      </c>
      <c r="B466" s="44">
        <v>3278</v>
      </c>
      <c r="C466" s="44">
        <f>INDEX('04_Matriz_Cambios'!$B$6:$R$22,MATCH($A466,'04_Matriz_Cambios'!$A$6:$A$22,0),MATCH($B466,'04_Matriz_Cambios'!$B$5:$R$5,0))</f>
        <v>120</v>
      </c>
      <c r="D466" s="44">
        <f>INDEX('02_Datos_Maestros'!$I$5:$I$21,MATCH($A466,'02_Datos_Maestros'!$A$5:$A$21,0))</f>
        <v>3643</v>
      </c>
      <c r="E466" s="44">
        <f>INDEX('02_Datos_Maestros'!$I$5:$I$21,MATCH($B466,'02_Datos_Maestros'!$A$5:$A$21,0))</f>
        <v>3278</v>
      </c>
    </row>
    <row r="467" spans="1:5" hidden="1" x14ac:dyDescent="0.2">
      <c r="A467" s="44">
        <v>3643</v>
      </c>
      <c r="B467" s="44">
        <v>7590</v>
      </c>
      <c r="C467" s="44">
        <f>INDEX('04_Matriz_Cambios'!$B$6:$R$22,MATCH($A467,'04_Matriz_Cambios'!$A$6:$A$22,0),MATCH($B467,'04_Matriz_Cambios'!$B$5:$R$5,0))</f>
        <v>120</v>
      </c>
      <c r="D467" s="44">
        <f>INDEX('02_Datos_Maestros'!$I$5:$I$21,MATCH($A467,'02_Datos_Maestros'!$A$5:$A$21,0))</f>
        <v>3643</v>
      </c>
      <c r="E467" s="44">
        <f>INDEX('02_Datos_Maestros'!$I$5:$I$21,MATCH($B467,'02_Datos_Maestros'!$A$5:$A$21,0))</f>
        <v>3278</v>
      </c>
    </row>
    <row r="468" spans="1:5" hidden="1" x14ac:dyDescent="0.2">
      <c r="A468" s="44">
        <v>3643</v>
      </c>
      <c r="B468" s="44">
        <v>15795</v>
      </c>
      <c r="C468" s="44">
        <f>INDEX('04_Matriz_Cambios'!$B$6:$R$22,MATCH($A468,'04_Matriz_Cambios'!$A$6:$A$22,0),MATCH($B468,'04_Matriz_Cambios'!$B$5:$R$5,0))</f>
        <v>120</v>
      </c>
      <c r="D468" s="44">
        <f>INDEX('02_Datos_Maestros'!$I$5:$I$21,MATCH($A468,'02_Datos_Maestros'!$A$5:$A$21,0))</f>
        <v>3643</v>
      </c>
      <c r="E468" s="44">
        <f>INDEX('02_Datos_Maestros'!$I$5:$I$21,MATCH($B468,'02_Datos_Maestros'!$A$5:$A$21,0))</f>
        <v>3278</v>
      </c>
    </row>
    <row r="469" spans="1:5" hidden="1" x14ac:dyDescent="0.2">
      <c r="A469" s="44">
        <v>3643</v>
      </c>
      <c r="B469" s="44">
        <v>15564</v>
      </c>
      <c r="C469" s="44">
        <f>INDEX('04_Matriz_Cambios'!$B$6:$R$22,MATCH($A469,'04_Matriz_Cambios'!$A$6:$A$22,0),MATCH($B469,'04_Matriz_Cambios'!$B$5:$R$5,0))</f>
        <v>120</v>
      </c>
      <c r="D469" s="44">
        <f>INDEX('02_Datos_Maestros'!$I$5:$I$21,MATCH($A469,'02_Datos_Maestros'!$A$5:$A$21,0))</f>
        <v>3643</v>
      </c>
      <c r="E469" s="44">
        <f>INDEX('02_Datos_Maestros'!$I$5:$I$21,MATCH($B469,'02_Datos_Maestros'!$A$5:$A$21,0))</f>
        <v>15564</v>
      </c>
    </row>
    <row r="470" spans="1:5" hidden="1" x14ac:dyDescent="0.2">
      <c r="A470" s="44">
        <v>3643</v>
      </c>
      <c r="B470" s="44">
        <v>3643</v>
      </c>
      <c r="C470" s="44">
        <f>INDEX('04_Matriz_Cambios'!$B$6:$R$22,MATCH($A470,'04_Matriz_Cambios'!$A$6:$A$22,0),MATCH($B470,'04_Matriz_Cambios'!$B$5:$R$5,0))</f>
        <v>0</v>
      </c>
      <c r="D470" s="44">
        <f>INDEX('02_Datos_Maestros'!$I$5:$I$21,MATCH($A470,'02_Datos_Maestros'!$A$5:$A$21,0))</f>
        <v>3643</v>
      </c>
      <c r="E470" s="44">
        <f>INDEX('02_Datos_Maestros'!$I$5:$I$21,MATCH($B470,'02_Datos_Maestros'!$A$5:$A$21,0))</f>
        <v>3643</v>
      </c>
    </row>
    <row r="471" spans="1:5" hidden="1" x14ac:dyDescent="0.2">
      <c r="A471" s="44">
        <v>3643</v>
      </c>
      <c r="B471" s="44">
        <v>3533</v>
      </c>
      <c r="C471" s="44">
        <f>INDEX('04_Matriz_Cambios'!$B$6:$R$22,MATCH($A471,'04_Matriz_Cambios'!$A$6:$A$22,0),MATCH($B471,'04_Matriz_Cambios'!$B$5:$R$5,0))</f>
        <v>120</v>
      </c>
      <c r="D471" s="44">
        <f>INDEX('02_Datos_Maestros'!$I$5:$I$21,MATCH($A471,'02_Datos_Maestros'!$A$5:$A$21,0))</f>
        <v>3643</v>
      </c>
      <c r="E471" s="44">
        <f>INDEX('02_Datos_Maestros'!$I$5:$I$21,MATCH($B471,'02_Datos_Maestros'!$A$5:$A$21,0))</f>
        <v>3533</v>
      </c>
    </row>
    <row r="472" spans="1:5" hidden="1" x14ac:dyDescent="0.2">
      <c r="A472" s="44">
        <v>3533</v>
      </c>
      <c r="B472" s="44">
        <v>3757</v>
      </c>
      <c r="C472" s="44">
        <f>INDEX('04_Matriz_Cambios'!$B$6:$R$22,MATCH($A472,'04_Matriz_Cambios'!$A$6:$A$22,0),MATCH($B472,'04_Matriz_Cambios'!$B$5:$R$5,0))</f>
        <v>120</v>
      </c>
      <c r="D472" s="44">
        <f>INDEX('02_Datos_Maestros'!$I$5:$I$21,MATCH($A472,'02_Datos_Maestros'!$A$5:$A$21,0))</f>
        <v>3533</v>
      </c>
      <c r="E472" s="44">
        <f>INDEX('02_Datos_Maestros'!$I$5:$I$21,MATCH($B472,'02_Datos_Maestros'!$A$5:$A$21,0))</f>
        <v>3757</v>
      </c>
    </row>
    <row r="473" spans="1:5" hidden="1" x14ac:dyDescent="0.2">
      <c r="A473" s="44">
        <v>3533</v>
      </c>
      <c r="B473" s="44">
        <v>3925</v>
      </c>
      <c r="C473" s="44">
        <f>INDEX('04_Matriz_Cambios'!$B$6:$R$22,MATCH($A473,'04_Matriz_Cambios'!$A$6:$A$22,0),MATCH($B473,'04_Matriz_Cambios'!$B$5:$R$5,0))</f>
        <v>120</v>
      </c>
      <c r="D473" s="44">
        <f>INDEX('02_Datos_Maestros'!$I$5:$I$21,MATCH($A473,'02_Datos_Maestros'!$A$5:$A$21,0))</f>
        <v>3533</v>
      </c>
      <c r="E473" s="44">
        <f>INDEX('02_Datos_Maestros'!$I$5:$I$21,MATCH($B473,'02_Datos_Maestros'!$A$5:$A$21,0))</f>
        <v>3757</v>
      </c>
    </row>
    <row r="474" spans="1:5" hidden="1" x14ac:dyDescent="0.2">
      <c r="A474" s="44">
        <v>3533</v>
      </c>
      <c r="B474" s="44">
        <v>6616</v>
      </c>
      <c r="C474" s="44">
        <f>INDEX('04_Matriz_Cambios'!$B$6:$R$22,MATCH($A474,'04_Matriz_Cambios'!$A$6:$A$22,0),MATCH($B474,'04_Matriz_Cambios'!$B$5:$R$5,0))</f>
        <v>120</v>
      </c>
      <c r="D474" s="44">
        <f>INDEX('02_Datos_Maestros'!$I$5:$I$21,MATCH($A474,'02_Datos_Maestros'!$A$5:$A$21,0))</f>
        <v>3533</v>
      </c>
      <c r="E474" s="44">
        <f>INDEX('02_Datos_Maestros'!$I$5:$I$21,MATCH($B474,'02_Datos_Maestros'!$A$5:$A$21,0))</f>
        <v>3757</v>
      </c>
    </row>
    <row r="475" spans="1:5" hidden="1" x14ac:dyDescent="0.2">
      <c r="A475" s="44">
        <v>3533</v>
      </c>
      <c r="B475" s="44">
        <v>6639</v>
      </c>
      <c r="C475" s="44">
        <f>INDEX('04_Matriz_Cambios'!$B$6:$R$22,MATCH($A475,'04_Matriz_Cambios'!$A$6:$A$22,0),MATCH($B475,'04_Matriz_Cambios'!$B$5:$R$5,0))</f>
        <v>120</v>
      </c>
      <c r="D475" s="44">
        <f>INDEX('02_Datos_Maestros'!$I$5:$I$21,MATCH($A475,'02_Datos_Maestros'!$A$5:$A$21,0))</f>
        <v>3533</v>
      </c>
      <c r="E475" s="44">
        <f>INDEX('02_Datos_Maestros'!$I$5:$I$21,MATCH($B475,'02_Datos_Maestros'!$A$5:$A$21,0))</f>
        <v>6639</v>
      </c>
    </row>
    <row r="476" spans="1:5" hidden="1" x14ac:dyDescent="0.2">
      <c r="A476" s="44">
        <v>3533</v>
      </c>
      <c r="B476" s="44">
        <v>17246</v>
      </c>
      <c r="C476" s="44">
        <f>INDEX('04_Matriz_Cambios'!$B$6:$R$22,MATCH($A476,'04_Matriz_Cambios'!$A$6:$A$22,0),MATCH($B476,'04_Matriz_Cambios'!$B$5:$R$5,0))</f>
        <v>120</v>
      </c>
      <c r="D476" s="44">
        <f>INDEX('02_Datos_Maestros'!$I$5:$I$21,MATCH($A476,'02_Datos_Maestros'!$A$5:$A$21,0))</f>
        <v>3533</v>
      </c>
      <c r="E476" s="44">
        <f>INDEX('02_Datos_Maestros'!$I$5:$I$21,MATCH($B476,'02_Datos_Maestros'!$A$5:$A$21,0))</f>
        <v>3278</v>
      </c>
    </row>
    <row r="477" spans="1:5" hidden="1" x14ac:dyDescent="0.2">
      <c r="A477" s="44">
        <v>3533</v>
      </c>
      <c r="B477" s="44">
        <v>16816</v>
      </c>
      <c r="C477" s="44">
        <f>INDEX('04_Matriz_Cambios'!$B$6:$R$22,MATCH($A477,'04_Matriz_Cambios'!$A$6:$A$22,0),MATCH($B477,'04_Matriz_Cambios'!$B$5:$R$5,0))</f>
        <v>120</v>
      </c>
      <c r="D477" s="44">
        <f>INDEX('02_Datos_Maestros'!$I$5:$I$21,MATCH($A477,'02_Datos_Maestros'!$A$5:$A$21,0))</f>
        <v>3533</v>
      </c>
      <c r="E477" s="44">
        <f>INDEX('02_Datos_Maestros'!$I$5:$I$21,MATCH($B477,'02_Datos_Maestros'!$A$5:$A$21,0))</f>
        <v>3278</v>
      </c>
    </row>
    <row r="478" spans="1:5" hidden="1" x14ac:dyDescent="0.2">
      <c r="A478" s="44">
        <v>3533</v>
      </c>
      <c r="B478" s="44">
        <v>6743</v>
      </c>
      <c r="C478" s="44">
        <f>INDEX('04_Matriz_Cambios'!$B$6:$R$22,MATCH($A478,'04_Matriz_Cambios'!$A$6:$A$22,0),MATCH($B478,'04_Matriz_Cambios'!$B$5:$R$5,0))</f>
        <v>120</v>
      </c>
      <c r="D478" s="44">
        <f>INDEX('02_Datos_Maestros'!$I$5:$I$21,MATCH($A478,'02_Datos_Maestros'!$A$5:$A$21,0))</f>
        <v>3533</v>
      </c>
      <c r="E478" s="44">
        <f>INDEX('02_Datos_Maestros'!$I$5:$I$21,MATCH($B478,'02_Datos_Maestros'!$A$5:$A$21,0))</f>
        <v>6743</v>
      </c>
    </row>
    <row r="479" spans="1:5" hidden="1" x14ac:dyDescent="0.2">
      <c r="A479" s="44">
        <v>3533</v>
      </c>
      <c r="B479" s="44">
        <v>16787</v>
      </c>
      <c r="C479" s="44">
        <f>INDEX('04_Matriz_Cambios'!$B$6:$R$22,MATCH($A479,'04_Matriz_Cambios'!$A$6:$A$22,0),MATCH($B479,'04_Matriz_Cambios'!$B$5:$R$5,0))</f>
        <v>120</v>
      </c>
      <c r="D479" s="44">
        <f>INDEX('02_Datos_Maestros'!$I$5:$I$21,MATCH($A479,'02_Datos_Maestros'!$A$5:$A$21,0))</f>
        <v>3533</v>
      </c>
      <c r="E479" s="44">
        <f>INDEX('02_Datos_Maestros'!$I$5:$I$21,MATCH($B479,'02_Datos_Maestros'!$A$5:$A$21,0))</f>
        <v>5998</v>
      </c>
    </row>
    <row r="480" spans="1:5" hidden="1" x14ac:dyDescent="0.2">
      <c r="A480" s="44">
        <v>3533</v>
      </c>
      <c r="B480" s="44">
        <v>15881</v>
      </c>
      <c r="C480" s="44">
        <f>INDEX('04_Matriz_Cambios'!$B$6:$R$22,MATCH($A480,'04_Matriz_Cambios'!$A$6:$A$22,0),MATCH($B480,'04_Matriz_Cambios'!$B$5:$R$5,0))</f>
        <v>120</v>
      </c>
      <c r="D480" s="44">
        <f>INDEX('02_Datos_Maestros'!$I$5:$I$21,MATCH($A480,'02_Datos_Maestros'!$A$5:$A$21,0))</f>
        <v>3533</v>
      </c>
      <c r="E480" s="44">
        <f>INDEX('02_Datos_Maestros'!$I$5:$I$21,MATCH($B480,'02_Datos_Maestros'!$A$5:$A$21,0))</f>
        <v>5998</v>
      </c>
    </row>
    <row r="481" spans="1:5" hidden="1" x14ac:dyDescent="0.2">
      <c r="A481" s="44">
        <v>3533</v>
      </c>
      <c r="B481" s="44">
        <v>5998</v>
      </c>
      <c r="C481" s="44">
        <f>INDEX('04_Matriz_Cambios'!$B$6:$R$22,MATCH($A481,'04_Matriz_Cambios'!$A$6:$A$22,0),MATCH($B481,'04_Matriz_Cambios'!$B$5:$R$5,0))</f>
        <v>120</v>
      </c>
      <c r="D481" s="44">
        <f>INDEX('02_Datos_Maestros'!$I$5:$I$21,MATCH($A481,'02_Datos_Maestros'!$A$5:$A$21,0))</f>
        <v>3533</v>
      </c>
      <c r="E481" s="44">
        <f>INDEX('02_Datos_Maestros'!$I$5:$I$21,MATCH($B481,'02_Datos_Maestros'!$A$5:$A$21,0))</f>
        <v>5998</v>
      </c>
    </row>
    <row r="482" spans="1:5" hidden="1" x14ac:dyDescent="0.2">
      <c r="A482" s="44">
        <v>3533</v>
      </c>
      <c r="B482" s="44">
        <v>3749</v>
      </c>
      <c r="C482" s="44">
        <f>INDEX('04_Matriz_Cambios'!$B$6:$R$22,MATCH($A482,'04_Matriz_Cambios'!$A$6:$A$22,0),MATCH($B482,'04_Matriz_Cambios'!$B$5:$R$5,0))</f>
        <v>120</v>
      </c>
      <c r="D482" s="44">
        <f>INDEX('02_Datos_Maestros'!$I$5:$I$21,MATCH($A482,'02_Datos_Maestros'!$A$5:$A$21,0))</f>
        <v>3533</v>
      </c>
      <c r="E482" s="44">
        <f>INDEX('02_Datos_Maestros'!$I$5:$I$21,MATCH($B482,'02_Datos_Maestros'!$A$5:$A$21,0))</f>
        <v>3278</v>
      </c>
    </row>
    <row r="483" spans="1:5" hidden="1" x14ac:dyDescent="0.2">
      <c r="A483" s="44">
        <v>3533</v>
      </c>
      <c r="B483" s="44">
        <v>3278</v>
      </c>
      <c r="C483" s="44">
        <f>INDEX('04_Matriz_Cambios'!$B$6:$R$22,MATCH($A483,'04_Matriz_Cambios'!$A$6:$A$22,0),MATCH($B483,'04_Matriz_Cambios'!$B$5:$R$5,0))</f>
        <v>120</v>
      </c>
      <c r="D483" s="44">
        <f>INDEX('02_Datos_Maestros'!$I$5:$I$21,MATCH($A483,'02_Datos_Maestros'!$A$5:$A$21,0))</f>
        <v>3533</v>
      </c>
      <c r="E483" s="44">
        <f>INDEX('02_Datos_Maestros'!$I$5:$I$21,MATCH($B483,'02_Datos_Maestros'!$A$5:$A$21,0))</f>
        <v>3278</v>
      </c>
    </row>
    <row r="484" spans="1:5" hidden="1" x14ac:dyDescent="0.2">
      <c r="A484" s="44">
        <v>3533</v>
      </c>
      <c r="B484" s="44">
        <v>7590</v>
      </c>
      <c r="C484" s="44">
        <f>INDEX('04_Matriz_Cambios'!$B$6:$R$22,MATCH($A484,'04_Matriz_Cambios'!$A$6:$A$22,0),MATCH($B484,'04_Matriz_Cambios'!$B$5:$R$5,0))</f>
        <v>120</v>
      </c>
      <c r="D484" s="44">
        <f>INDEX('02_Datos_Maestros'!$I$5:$I$21,MATCH($A484,'02_Datos_Maestros'!$A$5:$A$21,0))</f>
        <v>3533</v>
      </c>
      <c r="E484" s="44">
        <f>INDEX('02_Datos_Maestros'!$I$5:$I$21,MATCH($B484,'02_Datos_Maestros'!$A$5:$A$21,0))</f>
        <v>3278</v>
      </c>
    </row>
    <row r="485" spans="1:5" hidden="1" x14ac:dyDescent="0.2">
      <c r="A485" s="44">
        <v>3533</v>
      </c>
      <c r="B485" s="44">
        <v>15795</v>
      </c>
      <c r="C485" s="44">
        <f>INDEX('04_Matriz_Cambios'!$B$6:$R$22,MATCH($A485,'04_Matriz_Cambios'!$A$6:$A$22,0),MATCH($B485,'04_Matriz_Cambios'!$B$5:$R$5,0))</f>
        <v>120</v>
      </c>
      <c r="D485" s="44">
        <f>INDEX('02_Datos_Maestros'!$I$5:$I$21,MATCH($A485,'02_Datos_Maestros'!$A$5:$A$21,0))</f>
        <v>3533</v>
      </c>
      <c r="E485" s="44">
        <f>INDEX('02_Datos_Maestros'!$I$5:$I$21,MATCH($B485,'02_Datos_Maestros'!$A$5:$A$21,0))</f>
        <v>3278</v>
      </c>
    </row>
    <row r="486" spans="1:5" hidden="1" x14ac:dyDescent="0.2">
      <c r="A486" s="44">
        <v>3533</v>
      </c>
      <c r="B486" s="44">
        <v>15564</v>
      </c>
      <c r="C486" s="44">
        <f>INDEX('04_Matriz_Cambios'!$B$6:$R$22,MATCH($A486,'04_Matriz_Cambios'!$A$6:$A$22,0),MATCH($B486,'04_Matriz_Cambios'!$B$5:$R$5,0))</f>
        <v>120</v>
      </c>
      <c r="D486" s="44">
        <f>INDEX('02_Datos_Maestros'!$I$5:$I$21,MATCH($A486,'02_Datos_Maestros'!$A$5:$A$21,0))</f>
        <v>3533</v>
      </c>
      <c r="E486" s="44">
        <f>INDEX('02_Datos_Maestros'!$I$5:$I$21,MATCH($B486,'02_Datos_Maestros'!$A$5:$A$21,0))</f>
        <v>15564</v>
      </c>
    </row>
    <row r="487" spans="1:5" hidden="1" x14ac:dyDescent="0.2">
      <c r="A487" s="44">
        <v>3533</v>
      </c>
      <c r="B487" s="44">
        <v>3643</v>
      </c>
      <c r="C487" s="44">
        <f>INDEX('04_Matriz_Cambios'!$B$6:$R$22,MATCH($A487,'04_Matriz_Cambios'!$A$6:$A$22,0),MATCH($B487,'04_Matriz_Cambios'!$B$5:$R$5,0))</f>
        <v>120</v>
      </c>
      <c r="D487" s="44">
        <f>INDEX('02_Datos_Maestros'!$I$5:$I$21,MATCH($A487,'02_Datos_Maestros'!$A$5:$A$21,0))</f>
        <v>3533</v>
      </c>
      <c r="E487" s="44">
        <f>INDEX('02_Datos_Maestros'!$I$5:$I$21,MATCH($B487,'02_Datos_Maestros'!$A$5:$A$21,0))</f>
        <v>3643</v>
      </c>
    </row>
    <row r="488" spans="1:5" hidden="1" x14ac:dyDescent="0.2">
      <c r="A488" s="44">
        <v>3533</v>
      </c>
      <c r="B488" s="44">
        <v>3533</v>
      </c>
      <c r="C488" s="44">
        <f>INDEX('04_Matriz_Cambios'!$B$6:$R$22,MATCH($A488,'04_Matriz_Cambios'!$A$6:$A$22,0),MATCH($B488,'04_Matriz_Cambios'!$B$5:$R$5,0))</f>
        <v>0</v>
      </c>
      <c r="D488" s="44">
        <f>INDEX('02_Datos_Maestros'!$I$5:$I$21,MATCH($A488,'02_Datos_Maestros'!$A$5:$A$21,0))</f>
        <v>3533</v>
      </c>
      <c r="E488" s="44">
        <f>INDEX('02_Datos_Maestros'!$I$5:$I$21,MATCH($B488,'02_Datos_Maestros'!$A$5:$A$21,0))</f>
        <v>3533</v>
      </c>
    </row>
  </sheetData>
  <mergeCells count="40">
    <mergeCell ref="E59:N59"/>
    <mergeCell ref="A64:D64"/>
    <mergeCell ref="E64:Q64"/>
    <mergeCell ref="A62:D62"/>
    <mergeCell ref="A198:F198"/>
    <mergeCell ref="A63:D63"/>
    <mergeCell ref="F71:Q71"/>
    <mergeCell ref="A71:E71"/>
    <mergeCell ref="A68:E68"/>
    <mergeCell ref="F70:Q70"/>
    <mergeCell ref="A6:B6"/>
    <mergeCell ref="A70:E70"/>
    <mergeCell ref="A69:E69"/>
    <mergeCell ref="A7:B7"/>
    <mergeCell ref="A65:Q65"/>
    <mergeCell ref="A59:D59"/>
    <mergeCell ref="A60:D60"/>
    <mergeCell ref="E62:N62"/>
    <mergeCell ref="A61:D61"/>
    <mergeCell ref="E63:N63"/>
    <mergeCell ref="F69:Q69"/>
    <mergeCell ref="F68:Q68"/>
    <mergeCell ref="E60:N60"/>
    <mergeCell ref="E61:N61"/>
    <mergeCell ref="E57:N57"/>
    <mergeCell ref="A5:C5"/>
    <mergeCell ref="A58:D58"/>
    <mergeCell ref="E56:N56"/>
    <mergeCell ref="E58:N58"/>
    <mergeCell ref="A39:D39"/>
    <mergeCell ref="A24:D24"/>
    <mergeCell ref="E55:N55"/>
    <mergeCell ref="F50:J50"/>
    <mergeCell ref="A54:D54"/>
    <mergeCell ref="A8:B8"/>
    <mergeCell ref="A56:D56"/>
    <mergeCell ref="A55:D55"/>
    <mergeCell ref="A57:D57"/>
    <mergeCell ref="A50:C50"/>
    <mergeCell ref="E54:N54"/>
  </mergeCells>
  <conditionalFormatting sqref="F11:N19">
    <cfRule type="cellIs" dxfId="16" priority="1" operator="equal">
      <formula>180</formula>
    </cfRule>
    <cfRule type="cellIs" dxfId="15" priority="2" operator="equal">
      <formula>120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A1:AB43"/>
  <sheetViews>
    <sheetView showGridLines="0" topLeftCell="A25" workbookViewId="0">
      <selection activeCell="A5" sqref="A5:D5"/>
    </sheetView>
  </sheetViews>
  <sheetFormatPr baseColWidth="10" defaultColWidth="8.83203125" defaultRowHeight="15" x14ac:dyDescent="0.2"/>
  <cols>
    <col min="1" max="1" width="8" customWidth="1"/>
    <col min="2" max="2" width="10" customWidth="1"/>
    <col min="3" max="3" width="38" customWidth="1"/>
    <col min="4" max="4" width="12" customWidth="1"/>
    <col min="5" max="6" width="11" customWidth="1"/>
    <col min="7" max="7" width="12" customWidth="1"/>
    <col min="8" max="8" width="11" customWidth="1"/>
    <col min="9" max="9" width="10" customWidth="1"/>
    <col min="10" max="13" width="12" customWidth="1"/>
    <col min="14" max="15" width="9" customWidth="1"/>
    <col min="16" max="17" width="13" customWidth="1"/>
    <col min="20" max="25" width="9" hidden="1" customWidth="1"/>
    <col min="26" max="28" width="20" customWidth="1"/>
  </cols>
  <sheetData>
    <row r="1" spans="1:17" ht="26" customHeight="1" x14ac:dyDescent="0.3">
      <c r="A1" s="1" t="s">
        <v>220</v>
      </c>
    </row>
    <row r="2" spans="1:17" x14ac:dyDescent="0.2">
      <c r="A2" s="143" t="s">
        <v>426</v>
      </c>
    </row>
    <row r="4" spans="1:17" ht="24" customHeight="1" x14ac:dyDescent="0.2">
      <c r="A4" s="132" t="s">
        <v>427</v>
      </c>
      <c r="B4" s="133"/>
      <c r="C4" s="133"/>
      <c r="D4" s="133"/>
      <c r="E4" s="133"/>
      <c r="F4" s="133"/>
      <c r="G4" s="133"/>
      <c r="H4" s="133"/>
      <c r="I4" s="133"/>
      <c r="J4" s="133"/>
      <c r="K4" s="133"/>
      <c r="L4" s="133"/>
      <c r="M4" s="133"/>
      <c r="N4" s="133"/>
      <c r="O4" s="133"/>
      <c r="P4" s="133"/>
      <c r="Q4" s="133"/>
    </row>
    <row r="5" spans="1:17" ht="44" customHeight="1" x14ac:dyDescent="0.2">
      <c r="A5" s="125" t="s">
        <v>221</v>
      </c>
      <c r="B5" s="113"/>
      <c r="C5" s="113"/>
      <c r="D5" s="113"/>
      <c r="E5" s="112" t="s">
        <v>222</v>
      </c>
      <c r="F5" s="113"/>
      <c r="G5" s="113"/>
      <c r="H5" s="113"/>
      <c r="I5" s="113"/>
      <c r="J5" s="113"/>
      <c r="K5" s="113"/>
      <c r="L5" s="113"/>
      <c r="M5" s="113"/>
      <c r="N5" s="113"/>
      <c r="O5" s="113"/>
      <c r="P5" s="113"/>
      <c r="Q5" s="113"/>
    </row>
    <row r="6" spans="1:17" ht="65" customHeight="1" x14ac:dyDescent="0.2">
      <c r="A6" s="125" t="s">
        <v>428</v>
      </c>
      <c r="B6" s="113"/>
      <c r="C6" s="113"/>
      <c r="D6" s="113"/>
      <c r="E6" s="112" t="s">
        <v>429</v>
      </c>
      <c r="F6" s="113"/>
      <c r="G6" s="113"/>
      <c r="H6" s="113"/>
      <c r="I6" s="113"/>
      <c r="J6" s="113"/>
      <c r="K6" s="113"/>
      <c r="L6" s="113"/>
      <c r="M6" s="113"/>
      <c r="N6" s="113"/>
      <c r="O6" s="113"/>
      <c r="P6" s="113"/>
      <c r="Q6" s="113"/>
    </row>
    <row r="7" spans="1:17" ht="65" customHeight="1" x14ac:dyDescent="0.2">
      <c r="A7" s="125" t="s">
        <v>223</v>
      </c>
      <c r="B7" s="113"/>
      <c r="C7" s="113"/>
      <c r="D7" s="113"/>
      <c r="E7" s="112" t="s">
        <v>430</v>
      </c>
      <c r="F7" s="113"/>
      <c r="G7" s="113"/>
      <c r="H7" s="113"/>
      <c r="I7" s="113"/>
      <c r="J7" s="113"/>
      <c r="K7" s="113"/>
      <c r="L7" s="113"/>
      <c r="M7" s="113"/>
      <c r="N7" s="113"/>
      <c r="O7" s="113"/>
      <c r="P7" s="113"/>
      <c r="Q7" s="113"/>
    </row>
    <row r="9" spans="1:17" x14ac:dyDescent="0.2">
      <c r="A9" s="123" t="s">
        <v>224</v>
      </c>
      <c r="B9" s="113"/>
      <c r="C9" s="113"/>
      <c r="D9" s="35">
        <f>'05_Modelo_Solver'!C7</f>
        <v>840</v>
      </c>
      <c r="E9" s="32" t="s">
        <v>431</v>
      </c>
      <c r="F9" s="35">
        <f>SUM($F$26:$F$42)</f>
        <v>840</v>
      </c>
      <c r="G9" s="130" t="str">
        <f>IF(AND(F9=D9,'10_KPIs'!C23="OK (17/17)",'10_KPIs'!C28="OK"),"ÓPTIMO DEMOSTRADO","No demostrado")</f>
        <v>ÓPTIMO DEMOSTRADO</v>
      </c>
      <c r="H9" s="113"/>
      <c r="I9" s="113"/>
      <c r="J9" s="113"/>
    </row>
    <row r="13" spans="1:17" ht="30" customHeight="1" x14ac:dyDescent="0.2">
      <c r="A13" s="129" t="s">
        <v>225</v>
      </c>
      <c r="B13" s="113"/>
      <c r="C13" s="113"/>
      <c r="D13" s="113"/>
      <c r="E13" s="131" t="s">
        <v>432</v>
      </c>
      <c r="F13" s="113"/>
      <c r="G13" s="113"/>
      <c r="H13" s="113"/>
      <c r="I13" s="113"/>
      <c r="J13" s="113"/>
      <c r="K13" s="113"/>
      <c r="L13" s="113"/>
      <c r="M13" s="113"/>
      <c r="N13" s="113"/>
      <c r="O13" s="113"/>
      <c r="P13" s="113"/>
      <c r="Q13" s="113"/>
    </row>
    <row r="14" spans="1:17" ht="18" customHeight="1" x14ac:dyDescent="0.2">
      <c r="A14" s="9" t="s">
        <v>226</v>
      </c>
      <c r="B14" s="9" t="s">
        <v>149</v>
      </c>
      <c r="C14" s="9" t="s">
        <v>150</v>
      </c>
      <c r="D14" s="9" t="s">
        <v>227</v>
      </c>
      <c r="E14" s="9" t="s">
        <v>217</v>
      </c>
    </row>
    <row r="15" spans="1:17" x14ac:dyDescent="0.2">
      <c r="A15" s="10">
        <v>1</v>
      </c>
      <c r="B15" s="14">
        <f>INDEX('05_Modelo_Solver'!$A$12:$A$19,MATCH($A15,'05_Modelo_Solver'!$Q$27:$Q$34,0))</f>
        <v>8</v>
      </c>
      <c r="C15" s="10">
        <f>INDEX('05_Modelo_Solver'!$C$12:$C$19,MATCH($B15,'05_Modelo_Solver'!$A$12:$A$19,0))</f>
        <v>3533</v>
      </c>
      <c r="D15" s="13" t="str">
        <f>INDEX('05_Modelo_Solver'!$B$12:$B$19,MATCH($B15,'05_Modelo_Solver'!$A$12:$A$19,0))</f>
        <v>S5 Vinagre</v>
      </c>
      <c r="E15" s="14">
        <f>IF($A15=1,0,INDEX('05_Modelo_Solver'!$F$11:$N$19,$B14+1,$B15+1))</f>
        <v>0</v>
      </c>
    </row>
    <row r="16" spans="1:17" x14ac:dyDescent="0.2">
      <c r="A16" s="10">
        <v>2</v>
      </c>
      <c r="B16" s="14">
        <f>INDEX('05_Modelo_Solver'!$A$12:$A$19,MATCH($A16,'05_Modelo_Solver'!$Q$27:$Q$34,0))</f>
        <v>7</v>
      </c>
      <c r="C16" s="10">
        <f>INDEX('05_Modelo_Solver'!$C$12:$C$19,MATCH($B16,'05_Modelo_Solver'!$A$12:$A$19,0))</f>
        <v>3643</v>
      </c>
      <c r="D16" s="13" t="str">
        <f>INDEX('05_Modelo_Solver'!$B$12:$B$19,MATCH($B16,'05_Modelo_Solver'!$A$12:$A$19,0))</f>
        <v>S4 Rosada</v>
      </c>
      <c r="E16" s="14">
        <f>IF($A16=1,0,INDEX('05_Modelo_Solver'!$F$11:$N$19,$B15+1,$B16+1))</f>
        <v>120</v>
      </c>
    </row>
    <row r="17" spans="1:28" x14ac:dyDescent="0.2">
      <c r="A17" s="10">
        <v>3</v>
      </c>
      <c r="B17" s="14">
        <f>INDEX('05_Modelo_Solver'!$A$12:$A$19,MATCH($A17,'05_Modelo_Solver'!$Q$27:$Q$34,0))</f>
        <v>6</v>
      </c>
      <c r="C17" s="10">
        <f>INDEX('05_Modelo_Solver'!$C$12:$C$19,MATCH($B17,'05_Modelo_Solver'!$A$12:$A$19,0))</f>
        <v>15564</v>
      </c>
      <c r="D17" s="13" t="str">
        <f>INDEX('05_Modelo_Solver'!$B$12:$B$19,MATCH($B17,'05_Modelo_Solver'!$A$12:$A$19,0))</f>
        <v>S3 Napolitana</v>
      </c>
      <c r="E17" s="14">
        <f>IF($A17=1,0,INDEX('05_Modelo_Solver'!$F$11:$N$19,$B16+1,$B17+1))</f>
        <v>120</v>
      </c>
    </row>
    <row r="18" spans="1:28" x14ac:dyDescent="0.2">
      <c r="A18" s="10">
        <v>4</v>
      </c>
      <c r="B18" s="14">
        <f>INDEX('05_Modelo_Solver'!$A$12:$A$19,MATCH($A18,'05_Modelo_Solver'!$Q$27:$Q$34,0))</f>
        <v>5</v>
      </c>
      <c r="C18" s="10">
        <f>INDEX('05_Modelo_Solver'!$C$12:$C$19,MATCH($B18,'05_Modelo_Solver'!$A$12:$A$19,0))</f>
        <v>5998</v>
      </c>
      <c r="D18" s="13" t="str">
        <f>INDEX('05_Modelo_Solver'!$B$12:$B$19,MATCH($B18,'05_Modelo_Solver'!$A$12:$A$19,0))</f>
        <v>F3 Tomate</v>
      </c>
      <c r="E18" s="14">
        <f>IF($A18=1,0,INDEX('05_Modelo_Solver'!$F$11:$N$19,$B17+1,$B18+1))</f>
        <v>120</v>
      </c>
    </row>
    <row r="19" spans="1:28" x14ac:dyDescent="0.2">
      <c r="A19" s="10">
        <v>5</v>
      </c>
      <c r="B19" s="14">
        <f>INDEX('05_Modelo_Solver'!$A$12:$A$19,MATCH($A19,'05_Modelo_Solver'!$Q$27:$Q$34,0))</f>
        <v>4</v>
      </c>
      <c r="C19" s="10">
        <f>INDEX('05_Modelo_Solver'!$C$12:$C$19,MATCH($B19,'05_Modelo_Solver'!$A$12:$A$19,0))</f>
        <v>6743</v>
      </c>
      <c r="D19" s="13" t="str">
        <f>INDEX('05_Modelo_Solver'!$B$12:$B$19,MATCH($B19,'05_Modelo_Solver'!$A$12:$A$19,0))</f>
        <v>S2 Piña</v>
      </c>
      <c r="E19" s="14">
        <f>IF($A19=1,0,INDEX('05_Modelo_Solver'!$F$11:$N$19,$B18+1,$B19+1))</f>
        <v>120</v>
      </c>
    </row>
    <row r="20" spans="1:28" x14ac:dyDescent="0.2">
      <c r="A20" s="10">
        <v>6</v>
      </c>
      <c r="B20" s="14">
        <f>INDEX('05_Modelo_Solver'!$A$12:$A$19,MATCH($A20,'05_Modelo_Solver'!$Q$27:$Q$34,0))</f>
        <v>2</v>
      </c>
      <c r="C20" s="10">
        <f>INDEX('05_Modelo_Solver'!$C$12:$C$19,MATCH($B20,'05_Modelo_Solver'!$A$12:$A$19,0))</f>
        <v>6639</v>
      </c>
      <c r="D20" s="13" t="str">
        <f>INDEX('05_Modelo_Solver'!$B$12:$B$19,MATCH($B20,'05_Modelo_Solver'!$A$12:$A$19,0))</f>
        <v>S1 Barbecue</v>
      </c>
      <c r="E20" s="14">
        <f>IF($A20=1,0,INDEX('05_Modelo_Solver'!$F$11:$N$19,$B19+1,$B20+1))</f>
        <v>120</v>
      </c>
    </row>
    <row r="21" spans="1:28" x14ac:dyDescent="0.2">
      <c r="A21" s="10">
        <v>7</v>
      </c>
      <c r="B21" s="14">
        <f>INDEX('05_Modelo_Solver'!$A$12:$A$19,MATCH($A21,'05_Modelo_Solver'!$Q$27:$Q$34,0))</f>
        <v>3</v>
      </c>
      <c r="C21" s="10">
        <f>INDEX('05_Modelo_Solver'!$C$12:$C$19,MATCH($B21,'05_Modelo_Solver'!$A$12:$A$19,0))</f>
        <v>3278</v>
      </c>
      <c r="D21" s="13" t="str">
        <f>INDEX('05_Modelo_Solver'!$B$12:$B$19,MATCH($B21,'05_Modelo_Solver'!$A$12:$A$19,0))</f>
        <v>F2 Emulsiones</v>
      </c>
      <c r="E21" s="14">
        <f>IF($A21=1,0,INDEX('05_Modelo_Solver'!$F$11:$N$19,$B20+1,$B21+1))</f>
        <v>120</v>
      </c>
    </row>
    <row r="22" spans="1:28" x14ac:dyDescent="0.2">
      <c r="A22" s="10">
        <v>8</v>
      </c>
      <c r="B22" s="14">
        <f>INDEX('05_Modelo_Solver'!$A$12:$A$19,MATCH($A22,'05_Modelo_Solver'!$Q$27:$Q$34,0))</f>
        <v>1</v>
      </c>
      <c r="C22" s="10">
        <f>INDEX('05_Modelo_Solver'!$C$12:$C$19,MATCH($B22,'05_Modelo_Solver'!$A$12:$A$19,0))</f>
        <v>3757</v>
      </c>
      <c r="D22" s="13" t="str">
        <f>INDEX('05_Modelo_Solver'!$B$12:$B$19,MATCH($B22,'05_Modelo_Solver'!$A$12:$A$19,0))</f>
        <v>F1 Mostazas</v>
      </c>
      <c r="E22" s="14">
        <f>IF($A22=1,0,INDEX('05_Modelo_Solver'!$F$11:$N$19,$B21+1,$B22+1))</f>
        <v>120</v>
      </c>
    </row>
    <row r="23" spans="1:28" ht="30" customHeight="1" x14ac:dyDescent="0.2">
      <c r="A23" s="129" t="s">
        <v>228</v>
      </c>
      <c r="B23" s="113"/>
      <c r="C23" s="113"/>
      <c r="D23" s="113"/>
      <c r="E23" s="131" t="s">
        <v>433</v>
      </c>
      <c r="F23" s="113"/>
      <c r="G23" s="113"/>
      <c r="H23" s="113"/>
      <c r="I23" s="113"/>
      <c r="J23" s="113"/>
      <c r="K23" s="113"/>
      <c r="L23" s="113"/>
      <c r="M23" s="113"/>
      <c r="N23" s="113"/>
      <c r="O23" s="113"/>
      <c r="P23" s="113"/>
      <c r="Q23" s="113"/>
    </row>
    <row r="24" spans="1:28" x14ac:dyDescent="0.2">
      <c r="T24" s="44" t="s">
        <v>229</v>
      </c>
    </row>
    <row r="25" spans="1:28" ht="34" customHeight="1" x14ac:dyDescent="0.2">
      <c r="A25" s="9" t="s">
        <v>230</v>
      </c>
      <c r="B25" s="9" t="s">
        <v>70</v>
      </c>
      <c r="C25" s="9" t="s">
        <v>71</v>
      </c>
      <c r="D25" s="9" t="s">
        <v>116</v>
      </c>
      <c r="E25" s="9" t="s">
        <v>231</v>
      </c>
      <c r="F25" s="9" t="s">
        <v>232</v>
      </c>
      <c r="G25" s="9" t="s">
        <v>233</v>
      </c>
      <c r="H25" s="9" t="s">
        <v>234</v>
      </c>
      <c r="I25" s="9" t="s">
        <v>235</v>
      </c>
      <c r="J25" s="9" t="s">
        <v>236</v>
      </c>
      <c r="K25" s="9" t="s">
        <v>237</v>
      </c>
      <c r="L25" s="9" t="s">
        <v>238</v>
      </c>
      <c r="M25" s="9" t="s">
        <v>239</v>
      </c>
      <c r="N25" s="9" t="s">
        <v>240</v>
      </c>
      <c r="O25" s="9" t="s">
        <v>241</v>
      </c>
      <c r="P25" s="9" t="s">
        <v>242</v>
      </c>
      <c r="Q25" s="9" t="s">
        <v>243</v>
      </c>
      <c r="T25" s="9" t="s">
        <v>70</v>
      </c>
      <c r="U25" s="9" t="s">
        <v>116</v>
      </c>
      <c r="V25" s="9" t="s">
        <v>244</v>
      </c>
      <c r="W25" s="9" t="s">
        <v>245</v>
      </c>
      <c r="X25" s="9" t="s">
        <v>246</v>
      </c>
      <c r="Y25" s="9" t="s">
        <v>230</v>
      </c>
      <c r="Z25" s="103" t="s">
        <v>434</v>
      </c>
      <c r="AA25" s="103" t="s">
        <v>435</v>
      </c>
      <c r="AB25" s="103" t="s">
        <v>436</v>
      </c>
    </row>
    <row r="26" spans="1:28" x14ac:dyDescent="0.2">
      <c r="A26" s="10">
        <v>1</v>
      </c>
      <c r="B26" s="10">
        <f t="shared" ref="B26:B42" si="0">INDEX($T$26:$T$42,MATCH($A26,$Y$26:$Y$42,0))</f>
        <v>3533</v>
      </c>
      <c r="C26" s="13" t="str">
        <f>INDEX('02_Datos_Maestros'!$B$5:$B$21,MATCH($B26,'02_Datos_Maestros'!$A$5:$A$21,0))</f>
        <v>VINAGRE BLANCO (24DP/1/230ml)</v>
      </c>
      <c r="D26" s="14">
        <f>INDEX('02_Datos_Maestros'!$I$5:$I$21,MATCH($B26,'02_Datos_Maestros'!$A$5:$A$21,0))</f>
        <v>3533</v>
      </c>
      <c r="E26" s="14" t="str">
        <f t="shared" ref="E26:E42" si="1">IF($A26=1,"—",$B25)</f>
        <v>—</v>
      </c>
      <c r="F26" s="10">
        <f>IF($A26=1,0,INDEX('04_Matriz_Cambios'!$B$6:$R$22,MATCH($E26,'04_Matriz_Cambios'!$A$6:$A$22,0),MATCH($B26,'04_Matriz_Cambios'!$B$5:$R$5,0)))</f>
        <v>0</v>
      </c>
      <c r="G26" s="19">
        <f>INDEX('03_Demanda_ABC'!$C$5:$C$21,MATCH($B26,'03_Demanda_ABC'!$A$5:$A$21,0))</f>
        <v>3834</v>
      </c>
      <c r="H26" s="19">
        <f>INDEX('02_Datos_Maestros'!$F$5:$F$21,MATCH($B26,'02_Datos_Maestros'!$A$5:$A$21,0))</f>
        <v>1123</v>
      </c>
      <c r="I26" s="15">
        <f t="shared" ref="I26:I42" si="2">480/$H26</f>
        <v>0.42742653606411396</v>
      </c>
      <c r="J26" s="19">
        <f t="shared" ref="J26:J42" si="3">$G26*$I26</f>
        <v>1638.7533392698128</v>
      </c>
      <c r="K26" s="19">
        <f t="shared" ref="K26:K42" si="4">0</f>
        <v>0</v>
      </c>
      <c r="L26" s="19">
        <f t="shared" ref="L26:L42" si="5">SUM(K26,F26)</f>
        <v>0</v>
      </c>
      <c r="M26" s="19">
        <f t="shared" ref="M26:M42" si="6">L26+J26+AB26</f>
        <v>1638.7533392698128</v>
      </c>
      <c r="N26" s="14">
        <f t="shared" ref="N26:N42" si="7">INT($L26/480)+1</f>
        <v>1</v>
      </c>
      <c r="O26" s="14">
        <f t="shared" ref="O26:O42" si="8">INT(($M26-0.0001)/480)+1</f>
        <v>4</v>
      </c>
      <c r="P26" s="45">
        <f>IF(N26&gt;MAX('07_Calendario'!$F$5:$F$82),"Fuera del mes",INDEX('07_Calendario'!$B$5:$B$82,MATCH(N26,'07_Calendario'!$F$5:$F$82,0)))</f>
        <v>46266</v>
      </c>
      <c r="Q26" s="45">
        <f>IF(O26&gt;MAX('07_Calendario'!$F$5:$F$82),"Fuera del mes",INDEX('07_Calendario'!$B$5:$B$82,MATCH(O26,'07_Calendario'!$F$5:$F$82,0)))</f>
        <v>46267</v>
      </c>
      <c r="T26" s="44">
        <f>'02_Datos_Maestros'!$A$5</f>
        <v>3278</v>
      </c>
      <c r="U26" s="44">
        <f>'02_Datos_Maestros'!$I$5</f>
        <v>3278</v>
      </c>
      <c r="V26" s="44">
        <f t="shared" ref="V26:V42" si="9">MATCH($U26,$C$15:$C$22,0)</f>
        <v>7</v>
      </c>
      <c r="W26" s="44">
        <f t="shared" ref="W26:W42" si="10">COUNTIFS($U$26:$U$42,$U26,$T$26:$T$42,"&lt;="&amp;$T26)</f>
        <v>1</v>
      </c>
      <c r="X26" s="44">
        <f t="shared" ref="X26:X42" si="11">$V26*100+$W26</f>
        <v>701</v>
      </c>
      <c r="Y26" s="44">
        <f t="shared" ref="Y26:Y42" si="12">RANK($X26,$X$26:$X$42,1)</f>
        <v>9</v>
      </c>
      <c r="Z26" s="104">
        <f t="shared" ref="Z26:Z42" si="13">480-MOD(L26,480)</f>
        <v>480</v>
      </c>
      <c r="AA26" s="104">
        <f t="shared" ref="AA26:AA42" si="14">INT(ROUND(Z26*H26/480,6))</f>
        <v>1123</v>
      </c>
      <c r="AB26" s="104">
        <f t="shared" ref="AB26:AB42" si="15">IF(G26&gt;AA26,MAX(0,Z26-AA26*I26),0)</f>
        <v>0</v>
      </c>
    </row>
    <row r="27" spans="1:28" x14ac:dyDescent="0.2">
      <c r="A27" s="10">
        <v>2</v>
      </c>
      <c r="B27" s="10">
        <f t="shared" si="0"/>
        <v>3643</v>
      </c>
      <c r="C27" s="13" t="str">
        <f>INDEX('02_Datos_Maestros'!$B$5:$B$21,MATCH($B27,'02_Datos_Maestros'!$A$5:$A$21,0))</f>
        <v>SALSA ROSADA (12DP/1/380g)</v>
      </c>
      <c r="D27" s="14">
        <f>INDEX('02_Datos_Maestros'!$I$5:$I$21,MATCH($B27,'02_Datos_Maestros'!$A$5:$A$21,0))</f>
        <v>3643</v>
      </c>
      <c r="E27" s="14">
        <f t="shared" si="1"/>
        <v>3533</v>
      </c>
      <c r="F27" s="10">
        <f>IF($A27=1,0,INDEX('04_Matriz_Cambios'!$B$6:$R$22,MATCH($E27,'04_Matriz_Cambios'!$A$6:$A$22,0),MATCH($B27,'04_Matriz_Cambios'!$B$5:$R$5,0)))</f>
        <v>120</v>
      </c>
      <c r="G27" s="19">
        <f>INDEX('03_Demanda_ABC'!$C$5:$C$21,MATCH($B27,'03_Demanda_ABC'!$A$5:$A$21,0))</f>
        <v>3220</v>
      </c>
      <c r="H27" s="19">
        <f>INDEX('02_Datos_Maestros'!$F$5:$F$21,MATCH($B27,'02_Datos_Maestros'!$A$5:$A$21,0))</f>
        <v>2460</v>
      </c>
      <c r="I27" s="15">
        <f t="shared" si="2"/>
        <v>0.1951219512195122</v>
      </c>
      <c r="J27" s="19">
        <f t="shared" si="3"/>
        <v>628.29268292682934</v>
      </c>
      <c r="K27" s="19">
        <f t="shared" si="4"/>
        <v>0</v>
      </c>
      <c r="L27" s="19">
        <f t="shared" si="5"/>
        <v>120</v>
      </c>
      <c r="M27" s="19">
        <f t="shared" si="6"/>
        <v>748.29268292682934</v>
      </c>
      <c r="N27" s="14">
        <f t="shared" si="7"/>
        <v>1</v>
      </c>
      <c r="O27" s="14">
        <f t="shared" si="8"/>
        <v>2</v>
      </c>
      <c r="P27" s="45">
        <f>IF(N27&gt;MAX('07_Calendario'!$F$5:$F$82),"Fuera del mes",INDEX('07_Calendario'!$B$5:$B$82,MATCH(N27,'07_Calendario'!$F$5:$F$82,0)))</f>
        <v>46266</v>
      </c>
      <c r="Q27" s="45">
        <f>IF(O27&gt;MAX('07_Calendario'!$F$5:$F$82),"Fuera del mes",INDEX('07_Calendario'!$B$5:$B$82,MATCH(O27,'07_Calendario'!$F$5:$F$82,0)))</f>
        <v>46266</v>
      </c>
      <c r="T27" s="44">
        <f>'02_Datos_Maestros'!$A$6</f>
        <v>3533</v>
      </c>
      <c r="U27" s="44">
        <f>'02_Datos_Maestros'!$I$6</f>
        <v>3533</v>
      </c>
      <c r="V27" s="44">
        <f t="shared" si="9"/>
        <v>1</v>
      </c>
      <c r="W27" s="44">
        <f t="shared" si="10"/>
        <v>1</v>
      </c>
      <c r="X27" s="44">
        <f t="shared" si="11"/>
        <v>101</v>
      </c>
      <c r="Y27" s="44">
        <f t="shared" si="12"/>
        <v>1</v>
      </c>
      <c r="Z27" s="104">
        <f t="shared" si="13"/>
        <v>360</v>
      </c>
      <c r="AA27" s="104">
        <f t="shared" si="14"/>
        <v>1845</v>
      </c>
      <c r="AB27" s="104">
        <f t="shared" si="15"/>
        <v>0</v>
      </c>
    </row>
    <row r="28" spans="1:28" x14ac:dyDescent="0.2">
      <c r="A28" s="10">
        <v>3</v>
      </c>
      <c r="B28" s="10">
        <f t="shared" si="0"/>
        <v>15564</v>
      </c>
      <c r="C28" s="13" t="str">
        <f>INDEX('02_Datos_Maestros'!$B$5:$B$21,MATCH($B28,'02_Datos_Maestros'!$A$5:$A$21,0))</f>
        <v>SALSA NAPOLITANA (24DP/1/200g)</v>
      </c>
      <c r="D28" s="14">
        <f>INDEX('02_Datos_Maestros'!$I$5:$I$21,MATCH($B28,'02_Datos_Maestros'!$A$5:$A$21,0))</f>
        <v>15564</v>
      </c>
      <c r="E28" s="14">
        <f t="shared" si="1"/>
        <v>3643</v>
      </c>
      <c r="F28" s="10">
        <f>IF($A28=1,0,INDEX('04_Matriz_Cambios'!$B$6:$R$22,MATCH($E28,'04_Matriz_Cambios'!$A$6:$A$22,0),MATCH($B28,'04_Matriz_Cambios'!$B$5:$R$5,0)))</f>
        <v>120</v>
      </c>
      <c r="G28" s="19">
        <f>INDEX('03_Demanda_ABC'!$C$5:$C$21,MATCH($B28,'03_Demanda_ABC'!$A$5:$A$21,0))</f>
        <v>1840</v>
      </c>
      <c r="H28" s="19">
        <f>INDEX('02_Datos_Maestros'!$F$5:$F$21,MATCH($B28,'02_Datos_Maestros'!$A$5:$A$21,0))</f>
        <v>1684</v>
      </c>
      <c r="I28" s="15">
        <f t="shared" si="2"/>
        <v>0.28503562945368172</v>
      </c>
      <c r="J28" s="19">
        <f t="shared" si="3"/>
        <v>524.4655581947743</v>
      </c>
      <c r="K28" s="19">
        <f t="shared" si="4"/>
        <v>0</v>
      </c>
      <c r="L28" s="19">
        <f t="shared" si="5"/>
        <v>120</v>
      </c>
      <c r="M28" s="19">
        <f t="shared" si="6"/>
        <v>644.4655581947743</v>
      </c>
      <c r="N28" s="14">
        <f t="shared" si="7"/>
        <v>1</v>
      </c>
      <c r="O28" s="14">
        <f t="shared" si="8"/>
        <v>2</v>
      </c>
      <c r="P28" s="45">
        <f>IF(N28&gt;MAX('07_Calendario'!$F$5:$F$82),"Fuera del mes",INDEX('07_Calendario'!$B$5:$B$82,MATCH(N28,'07_Calendario'!$F$5:$F$82,0)))</f>
        <v>46266</v>
      </c>
      <c r="Q28" s="45">
        <f>IF(O28&gt;MAX('07_Calendario'!$F$5:$F$82),"Fuera del mes",INDEX('07_Calendario'!$B$5:$B$82,MATCH(O28,'07_Calendario'!$F$5:$F$82,0)))</f>
        <v>46266</v>
      </c>
      <c r="T28" s="44">
        <f>'02_Datos_Maestros'!$A$7</f>
        <v>3643</v>
      </c>
      <c r="U28" s="44">
        <f>'02_Datos_Maestros'!$I$7</f>
        <v>3643</v>
      </c>
      <c r="V28" s="44">
        <f t="shared" si="9"/>
        <v>2</v>
      </c>
      <c r="W28" s="44">
        <f t="shared" si="10"/>
        <v>1</v>
      </c>
      <c r="X28" s="44">
        <f t="shared" si="11"/>
        <v>201</v>
      </c>
      <c r="Y28" s="44">
        <f t="shared" si="12"/>
        <v>2</v>
      </c>
      <c r="Z28" s="104">
        <f t="shared" si="13"/>
        <v>360</v>
      </c>
      <c r="AA28" s="104">
        <f t="shared" si="14"/>
        <v>1263</v>
      </c>
      <c r="AB28" s="104">
        <f t="shared" si="15"/>
        <v>0</v>
      </c>
    </row>
    <row r="29" spans="1:28" x14ac:dyDescent="0.2">
      <c r="A29" s="10">
        <v>4</v>
      </c>
      <c r="B29" s="10">
        <f t="shared" si="0"/>
        <v>5998</v>
      </c>
      <c r="C29" s="13" t="str">
        <f>INDEX('02_Datos_Maestros'!$B$5:$B$21,MATCH($B29,'02_Datos_Maestros'!$A$5:$A$21,0))</f>
        <v>SALSA DE TOMATE ZEV (20DP/1/500g)</v>
      </c>
      <c r="D29" s="14">
        <f>INDEX('02_Datos_Maestros'!$I$5:$I$21,MATCH($B29,'02_Datos_Maestros'!$A$5:$A$21,0))</f>
        <v>5998</v>
      </c>
      <c r="E29" s="14">
        <f t="shared" si="1"/>
        <v>15564</v>
      </c>
      <c r="F29" s="10">
        <f>IF($A29=1,0,INDEX('04_Matriz_Cambios'!$B$6:$R$22,MATCH($E29,'04_Matriz_Cambios'!$A$6:$A$22,0),MATCH($B29,'04_Matriz_Cambios'!$B$5:$R$5,0)))</f>
        <v>120</v>
      </c>
      <c r="G29" s="19">
        <f>INDEX('03_Demanda_ABC'!$C$5:$C$21,MATCH($B29,'03_Demanda_ABC'!$A$5:$A$21,0))</f>
        <v>20286</v>
      </c>
      <c r="H29" s="19">
        <f>INDEX('02_Datos_Maestros'!$F$5:$F$21,MATCH($B29,'02_Datos_Maestros'!$A$5:$A$21,0))</f>
        <v>1476</v>
      </c>
      <c r="I29" s="15">
        <f t="shared" si="2"/>
        <v>0.32520325203252032</v>
      </c>
      <c r="J29" s="19">
        <f t="shared" si="3"/>
        <v>6597.0731707317073</v>
      </c>
      <c r="K29" s="19">
        <f t="shared" si="4"/>
        <v>0</v>
      </c>
      <c r="L29" s="19">
        <f t="shared" si="5"/>
        <v>120</v>
      </c>
      <c r="M29" s="19">
        <f t="shared" si="6"/>
        <v>6717.0731707317073</v>
      </c>
      <c r="N29" s="14">
        <f t="shared" si="7"/>
        <v>1</v>
      </c>
      <c r="O29" s="14">
        <f t="shared" si="8"/>
        <v>14</v>
      </c>
      <c r="P29" s="45">
        <f>IF(N29&gt;MAX('07_Calendario'!$F$5:$F$82),"Fuera del mes",INDEX('07_Calendario'!$B$5:$B$82,MATCH(N29,'07_Calendario'!$F$5:$F$82,0)))</f>
        <v>46266</v>
      </c>
      <c r="Q29" s="45">
        <f>IF(O29&gt;MAX('07_Calendario'!$F$5:$F$82),"Fuera del mes",INDEX('07_Calendario'!$B$5:$B$82,MATCH(O29,'07_Calendario'!$F$5:$F$82,0)))</f>
        <v>46270</v>
      </c>
      <c r="T29" s="44">
        <f>'02_Datos_Maestros'!$A$8</f>
        <v>3749</v>
      </c>
      <c r="U29" s="44">
        <f>'02_Datos_Maestros'!$I$8</f>
        <v>3278</v>
      </c>
      <c r="V29" s="44">
        <f t="shared" si="9"/>
        <v>7</v>
      </c>
      <c r="W29" s="44">
        <f t="shared" si="10"/>
        <v>2</v>
      </c>
      <c r="X29" s="44">
        <f t="shared" si="11"/>
        <v>702</v>
      </c>
      <c r="Y29" s="44">
        <f t="shared" si="12"/>
        <v>10</v>
      </c>
      <c r="Z29" s="104">
        <f t="shared" si="13"/>
        <v>360</v>
      </c>
      <c r="AA29" s="104">
        <f t="shared" si="14"/>
        <v>1107</v>
      </c>
      <c r="AB29" s="104">
        <f t="shared" si="15"/>
        <v>0</v>
      </c>
    </row>
    <row r="30" spans="1:28" x14ac:dyDescent="0.2">
      <c r="A30" s="10">
        <v>5</v>
      </c>
      <c r="B30" s="10">
        <f t="shared" si="0"/>
        <v>15881</v>
      </c>
      <c r="C30" s="13" t="str">
        <f>INDEX('02_Datos_Maestros'!$B$5:$B$21,MATCH($B30,'02_Datos_Maestros'!$A$5:$A$21,0))</f>
        <v>SALSA DE TOMATE SAVORIA (12DP/1/500g)</v>
      </c>
      <c r="D30" s="14">
        <f>INDEX('02_Datos_Maestros'!$I$5:$I$21,MATCH($B30,'02_Datos_Maestros'!$A$5:$A$21,0))</f>
        <v>5998</v>
      </c>
      <c r="E30" s="14">
        <f t="shared" si="1"/>
        <v>5998</v>
      </c>
      <c r="F30" s="10">
        <f>IF($A30=1,0,INDEX('04_Matriz_Cambios'!$B$6:$R$22,MATCH($E30,'04_Matriz_Cambios'!$A$6:$A$22,0),MATCH($B30,'04_Matriz_Cambios'!$B$5:$R$5,0)))</f>
        <v>0</v>
      </c>
      <c r="G30" s="19">
        <f>INDEX('03_Demanda_ABC'!$C$5:$C$21,MATCH($B30,'03_Demanda_ABC'!$A$5:$A$21,0))</f>
        <v>3540</v>
      </c>
      <c r="H30" s="19">
        <f>INDEX('02_Datos_Maestros'!$F$5:$F$21,MATCH($B30,'02_Datos_Maestros'!$A$5:$A$21,0))</f>
        <v>1476</v>
      </c>
      <c r="I30" s="15">
        <f t="shared" si="2"/>
        <v>0.32520325203252032</v>
      </c>
      <c r="J30" s="19">
        <f t="shared" si="3"/>
        <v>1151.219512195122</v>
      </c>
      <c r="K30" s="19">
        <f t="shared" si="4"/>
        <v>0</v>
      </c>
      <c r="L30" s="19">
        <f t="shared" si="5"/>
        <v>0</v>
      </c>
      <c r="M30" s="19">
        <f t="shared" si="6"/>
        <v>1151.219512195122</v>
      </c>
      <c r="N30" s="14">
        <f t="shared" si="7"/>
        <v>1</v>
      </c>
      <c r="O30" s="14">
        <f t="shared" si="8"/>
        <v>3</v>
      </c>
      <c r="P30" s="45">
        <f>IF(N30&gt;MAX('07_Calendario'!$F$5:$F$82),"Fuera del mes",INDEX('07_Calendario'!$B$5:$B$82,MATCH(N30,'07_Calendario'!$F$5:$F$82,0)))</f>
        <v>46266</v>
      </c>
      <c r="Q30" s="45">
        <f>IF(O30&gt;MAX('07_Calendario'!$F$5:$F$82),"Fuera del mes",INDEX('07_Calendario'!$B$5:$B$82,MATCH(O30,'07_Calendario'!$F$5:$F$82,0)))</f>
        <v>46266</v>
      </c>
      <c r="T30" s="44">
        <f>'02_Datos_Maestros'!$A$9</f>
        <v>3757</v>
      </c>
      <c r="U30" s="44">
        <f>'02_Datos_Maestros'!$I$9</f>
        <v>3757</v>
      </c>
      <c r="V30" s="44">
        <f t="shared" si="9"/>
        <v>8</v>
      </c>
      <c r="W30" s="44">
        <f t="shared" si="10"/>
        <v>1</v>
      </c>
      <c r="X30" s="44">
        <f t="shared" si="11"/>
        <v>801</v>
      </c>
      <c r="Y30" s="44">
        <f t="shared" si="12"/>
        <v>15</v>
      </c>
      <c r="Z30" s="104">
        <f t="shared" si="13"/>
        <v>480</v>
      </c>
      <c r="AA30" s="104">
        <f t="shared" si="14"/>
        <v>1476</v>
      </c>
      <c r="AB30" s="104">
        <f t="shared" si="15"/>
        <v>0</v>
      </c>
    </row>
    <row r="31" spans="1:28" x14ac:dyDescent="0.2">
      <c r="A31" s="10">
        <v>6</v>
      </c>
      <c r="B31" s="10">
        <f t="shared" si="0"/>
        <v>16787</v>
      </c>
      <c r="C31" s="13" t="str">
        <f>INDEX('02_Datos_Maestros'!$B$5:$B$21,MATCH($B31,'02_Datos_Maestros'!$A$5:$A$21,0))</f>
        <v>SALSA DE TOMATE SAVORIA (12DP/1/1000g)</v>
      </c>
      <c r="D31" s="14">
        <f>INDEX('02_Datos_Maestros'!$I$5:$I$21,MATCH($B31,'02_Datos_Maestros'!$A$5:$A$21,0))</f>
        <v>5998</v>
      </c>
      <c r="E31" s="14">
        <f t="shared" si="1"/>
        <v>15881</v>
      </c>
      <c r="F31" s="10">
        <f>IF($A31=1,0,INDEX('04_Matriz_Cambios'!$B$6:$R$22,MATCH($E31,'04_Matriz_Cambios'!$A$6:$A$22,0),MATCH($B31,'04_Matriz_Cambios'!$B$5:$R$5,0)))</f>
        <v>0</v>
      </c>
      <c r="G31" s="19">
        <f>INDEX('03_Demanda_ABC'!$C$5:$C$21,MATCH($B31,'03_Demanda_ABC'!$A$5:$A$21,0))</f>
        <v>1000</v>
      </c>
      <c r="H31" s="19">
        <f>INDEX('02_Datos_Maestros'!$F$5:$F$21,MATCH($B31,'02_Datos_Maestros'!$A$5:$A$21,0))</f>
        <v>1686</v>
      </c>
      <c r="I31" s="15">
        <f t="shared" si="2"/>
        <v>0.28469750889679718</v>
      </c>
      <c r="J31" s="19">
        <f t="shared" si="3"/>
        <v>284.69750889679716</v>
      </c>
      <c r="K31" s="19">
        <f t="shared" si="4"/>
        <v>0</v>
      </c>
      <c r="L31" s="19">
        <f t="shared" si="5"/>
        <v>0</v>
      </c>
      <c r="M31" s="19">
        <f t="shared" si="6"/>
        <v>284.69750889679716</v>
      </c>
      <c r="N31" s="14">
        <f t="shared" si="7"/>
        <v>1</v>
      </c>
      <c r="O31" s="14">
        <f t="shared" si="8"/>
        <v>1</v>
      </c>
      <c r="P31" s="45">
        <f>IF(N31&gt;MAX('07_Calendario'!$F$5:$F$82),"Fuera del mes",INDEX('07_Calendario'!$B$5:$B$82,MATCH(N31,'07_Calendario'!$F$5:$F$82,0)))</f>
        <v>46266</v>
      </c>
      <c r="Q31" s="45">
        <f>IF(O31&gt;MAX('07_Calendario'!$F$5:$F$82),"Fuera del mes",INDEX('07_Calendario'!$B$5:$B$82,MATCH(O31,'07_Calendario'!$F$5:$F$82,0)))</f>
        <v>46266</v>
      </c>
      <c r="T31" s="44">
        <f>'02_Datos_Maestros'!$A$10</f>
        <v>3925</v>
      </c>
      <c r="U31" s="44">
        <f>'02_Datos_Maestros'!$I$10</f>
        <v>3757</v>
      </c>
      <c r="V31" s="44">
        <f t="shared" si="9"/>
        <v>8</v>
      </c>
      <c r="W31" s="44">
        <f t="shared" si="10"/>
        <v>2</v>
      </c>
      <c r="X31" s="44">
        <f t="shared" si="11"/>
        <v>802</v>
      </c>
      <c r="Y31" s="44">
        <f t="shared" si="12"/>
        <v>16</v>
      </c>
      <c r="Z31" s="104">
        <f t="shared" si="13"/>
        <v>480</v>
      </c>
      <c r="AA31" s="104">
        <f t="shared" si="14"/>
        <v>1686</v>
      </c>
      <c r="AB31" s="104">
        <f t="shared" si="15"/>
        <v>0</v>
      </c>
    </row>
    <row r="32" spans="1:28" x14ac:dyDescent="0.2">
      <c r="A32" s="10">
        <v>7</v>
      </c>
      <c r="B32" s="10">
        <f t="shared" si="0"/>
        <v>6743</v>
      </c>
      <c r="C32" s="13" t="str">
        <f>INDEX('02_Datos_Maestros'!$B$5:$B$21,MATCH($B32,'02_Datos_Maestros'!$A$5:$A$21,0))</f>
        <v>SALSA DE PIÑA (12DP/1/400g)</v>
      </c>
      <c r="D32" s="14">
        <f>INDEX('02_Datos_Maestros'!$I$5:$I$21,MATCH($B32,'02_Datos_Maestros'!$A$5:$A$21,0))</f>
        <v>6743</v>
      </c>
      <c r="E32" s="14">
        <f t="shared" si="1"/>
        <v>16787</v>
      </c>
      <c r="F32" s="10">
        <f>IF($A32=1,0,INDEX('04_Matriz_Cambios'!$B$6:$R$22,MATCH($E32,'04_Matriz_Cambios'!$A$6:$A$22,0),MATCH($B32,'04_Matriz_Cambios'!$B$5:$R$5,0)))</f>
        <v>120</v>
      </c>
      <c r="G32" s="19">
        <f>INDEX('03_Demanda_ABC'!$C$5:$C$21,MATCH($B32,'03_Demanda_ABC'!$A$5:$A$21,0))</f>
        <v>2754</v>
      </c>
      <c r="H32" s="19">
        <f>INDEX('02_Datos_Maestros'!$F$5:$F$21,MATCH($B32,'02_Datos_Maestros'!$A$5:$A$21,0))</f>
        <v>1502</v>
      </c>
      <c r="I32" s="15">
        <f t="shared" si="2"/>
        <v>0.31957390146471371</v>
      </c>
      <c r="J32" s="19">
        <f t="shared" si="3"/>
        <v>880.10652463382155</v>
      </c>
      <c r="K32" s="19">
        <f t="shared" si="4"/>
        <v>0</v>
      </c>
      <c r="L32" s="19">
        <f t="shared" si="5"/>
        <v>120</v>
      </c>
      <c r="M32" s="19">
        <f t="shared" si="6"/>
        <v>1000.2663115845539</v>
      </c>
      <c r="N32" s="14">
        <f t="shared" si="7"/>
        <v>1</v>
      </c>
      <c r="O32" s="14">
        <f t="shared" si="8"/>
        <v>3</v>
      </c>
      <c r="P32" s="45">
        <f>IF(N32&gt;MAX('07_Calendario'!$F$5:$F$82),"Fuera del mes",INDEX('07_Calendario'!$B$5:$B$82,MATCH(N32,'07_Calendario'!$F$5:$F$82,0)))</f>
        <v>46266</v>
      </c>
      <c r="Q32" s="45">
        <f>IF(O32&gt;MAX('07_Calendario'!$F$5:$F$82),"Fuera del mes",INDEX('07_Calendario'!$B$5:$B$82,MATCH(O32,'07_Calendario'!$F$5:$F$82,0)))</f>
        <v>46266</v>
      </c>
      <c r="T32" s="44">
        <f>'02_Datos_Maestros'!$A$11</f>
        <v>5998</v>
      </c>
      <c r="U32" s="44">
        <f>'02_Datos_Maestros'!$I$11</f>
        <v>5998</v>
      </c>
      <c r="V32" s="44">
        <f t="shared" si="9"/>
        <v>4</v>
      </c>
      <c r="W32" s="44">
        <f t="shared" si="10"/>
        <v>1</v>
      </c>
      <c r="X32" s="44">
        <f t="shared" si="11"/>
        <v>401</v>
      </c>
      <c r="Y32" s="44">
        <f t="shared" si="12"/>
        <v>4</v>
      </c>
      <c r="Z32" s="104">
        <f t="shared" si="13"/>
        <v>360</v>
      </c>
      <c r="AA32" s="104">
        <f t="shared" si="14"/>
        <v>1126</v>
      </c>
      <c r="AB32" s="104">
        <f t="shared" si="15"/>
        <v>0.15978695073238214</v>
      </c>
    </row>
    <row r="33" spans="1:28" x14ac:dyDescent="0.2">
      <c r="A33" s="10">
        <v>8</v>
      </c>
      <c r="B33" s="10">
        <f t="shared" si="0"/>
        <v>6639</v>
      </c>
      <c r="C33" s="13" t="str">
        <f>INDEX('02_Datos_Maestros'!$B$5:$B$21,MATCH($B33,'02_Datos_Maestros'!$A$5:$A$21,0))</f>
        <v>SALSA BARBECUE (12DP/1/400g)</v>
      </c>
      <c r="D33" s="14">
        <f>INDEX('02_Datos_Maestros'!$I$5:$I$21,MATCH($B33,'02_Datos_Maestros'!$A$5:$A$21,0))</f>
        <v>6639</v>
      </c>
      <c r="E33" s="14">
        <f t="shared" si="1"/>
        <v>6743</v>
      </c>
      <c r="F33" s="10">
        <f>IF($A33=1,0,INDEX('04_Matriz_Cambios'!$B$6:$R$22,MATCH($E33,'04_Matriz_Cambios'!$A$6:$A$22,0),MATCH($B33,'04_Matriz_Cambios'!$B$5:$R$5,0)))</f>
        <v>120</v>
      </c>
      <c r="G33" s="19">
        <f>INDEX('03_Demanda_ABC'!$C$5:$C$21,MATCH($B33,'03_Demanda_ABC'!$A$5:$A$21,0))</f>
        <v>2900</v>
      </c>
      <c r="H33" s="19">
        <f>INDEX('02_Datos_Maestros'!$F$5:$F$21,MATCH($B33,'02_Datos_Maestros'!$A$5:$A$21,0))</f>
        <v>2493</v>
      </c>
      <c r="I33" s="15">
        <f t="shared" si="2"/>
        <v>0.19253910950661854</v>
      </c>
      <c r="J33" s="19">
        <f t="shared" si="3"/>
        <v>558.36341756919376</v>
      </c>
      <c r="K33" s="19">
        <f t="shared" si="4"/>
        <v>0</v>
      </c>
      <c r="L33" s="19">
        <f t="shared" si="5"/>
        <v>120</v>
      </c>
      <c r="M33" s="19">
        <f t="shared" si="6"/>
        <v>678.50782190132372</v>
      </c>
      <c r="N33" s="14">
        <f t="shared" si="7"/>
        <v>1</v>
      </c>
      <c r="O33" s="14">
        <f t="shared" si="8"/>
        <v>2</v>
      </c>
      <c r="P33" s="45">
        <f>IF(N33&gt;MAX('07_Calendario'!$F$5:$F$82),"Fuera del mes",INDEX('07_Calendario'!$B$5:$B$82,MATCH(N33,'07_Calendario'!$F$5:$F$82,0)))</f>
        <v>46266</v>
      </c>
      <c r="Q33" s="45">
        <f>IF(O33&gt;MAX('07_Calendario'!$F$5:$F$82),"Fuera del mes",INDEX('07_Calendario'!$B$5:$B$82,MATCH(O33,'07_Calendario'!$F$5:$F$82,0)))</f>
        <v>46266</v>
      </c>
      <c r="T33" s="44">
        <f>'02_Datos_Maestros'!$A$12</f>
        <v>6616</v>
      </c>
      <c r="U33" s="44">
        <f>'02_Datos_Maestros'!$I$12</f>
        <v>3757</v>
      </c>
      <c r="V33" s="44">
        <f t="shared" si="9"/>
        <v>8</v>
      </c>
      <c r="W33" s="44">
        <f t="shared" si="10"/>
        <v>3</v>
      </c>
      <c r="X33" s="44">
        <f t="shared" si="11"/>
        <v>803</v>
      </c>
      <c r="Y33" s="44">
        <f t="shared" si="12"/>
        <v>17</v>
      </c>
      <c r="Z33" s="104">
        <f t="shared" si="13"/>
        <v>360</v>
      </c>
      <c r="AA33" s="104">
        <f t="shared" si="14"/>
        <v>1869</v>
      </c>
      <c r="AB33" s="104">
        <f t="shared" si="15"/>
        <v>0.14440433212996595</v>
      </c>
    </row>
    <row r="34" spans="1:28" x14ac:dyDescent="0.2">
      <c r="A34" s="10">
        <v>9</v>
      </c>
      <c r="B34" s="10">
        <f t="shared" si="0"/>
        <v>3278</v>
      </c>
      <c r="C34" s="13" t="str">
        <f>INDEX('02_Datos_Maestros'!$B$5:$B$21,MATCH($B34,'02_Datos_Maestros'!$A$5:$A$21,0))</f>
        <v>SALSA MAYONESA (12DP/1/380g)</v>
      </c>
      <c r="D34" s="14">
        <f>INDEX('02_Datos_Maestros'!$I$5:$I$21,MATCH($B34,'02_Datos_Maestros'!$A$5:$A$21,0))</f>
        <v>3278</v>
      </c>
      <c r="E34" s="14">
        <f t="shared" si="1"/>
        <v>6639</v>
      </c>
      <c r="F34" s="10">
        <f>IF($A34=1,0,INDEX('04_Matriz_Cambios'!$B$6:$R$22,MATCH($E34,'04_Matriz_Cambios'!$A$6:$A$22,0),MATCH($B34,'04_Matriz_Cambios'!$B$5:$R$5,0)))</f>
        <v>120</v>
      </c>
      <c r="G34" s="19">
        <f>INDEX('03_Demanda_ABC'!$C$5:$C$21,MATCH($B34,'03_Demanda_ABC'!$A$5:$A$21,0))</f>
        <v>6206</v>
      </c>
      <c r="H34" s="19">
        <f>INDEX('02_Datos_Maestros'!$F$5:$F$21,MATCH($B34,'02_Datos_Maestros'!$A$5:$A$21,0))</f>
        <v>2460</v>
      </c>
      <c r="I34" s="15">
        <f t="shared" si="2"/>
        <v>0.1951219512195122</v>
      </c>
      <c r="J34" s="19">
        <f t="shared" si="3"/>
        <v>1210.9268292682927</v>
      </c>
      <c r="K34" s="19">
        <f t="shared" si="4"/>
        <v>0</v>
      </c>
      <c r="L34" s="19">
        <f t="shared" si="5"/>
        <v>120</v>
      </c>
      <c r="M34" s="19">
        <f t="shared" si="6"/>
        <v>1330.9268292682927</v>
      </c>
      <c r="N34" s="14">
        <f t="shared" si="7"/>
        <v>1</v>
      </c>
      <c r="O34" s="14">
        <f t="shared" si="8"/>
        <v>3</v>
      </c>
      <c r="P34" s="45">
        <f>IF(N34&gt;MAX('07_Calendario'!$F$5:$F$82),"Fuera del mes",INDEX('07_Calendario'!$B$5:$B$82,MATCH(N34,'07_Calendario'!$F$5:$F$82,0)))</f>
        <v>46266</v>
      </c>
      <c r="Q34" s="45">
        <f>IF(O34&gt;MAX('07_Calendario'!$F$5:$F$82),"Fuera del mes",INDEX('07_Calendario'!$B$5:$B$82,MATCH(O34,'07_Calendario'!$F$5:$F$82,0)))</f>
        <v>46266</v>
      </c>
      <c r="T34" s="44">
        <f>'02_Datos_Maestros'!$A$13</f>
        <v>6639</v>
      </c>
      <c r="U34" s="44">
        <f>'02_Datos_Maestros'!$I$13</f>
        <v>6639</v>
      </c>
      <c r="V34" s="44">
        <f t="shared" si="9"/>
        <v>6</v>
      </c>
      <c r="W34" s="44">
        <f t="shared" si="10"/>
        <v>1</v>
      </c>
      <c r="X34" s="44">
        <f t="shared" si="11"/>
        <v>601</v>
      </c>
      <c r="Y34" s="44">
        <f t="shared" si="12"/>
        <v>8</v>
      </c>
      <c r="Z34" s="104">
        <f t="shared" si="13"/>
        <v>360</v>
      </c>
      <c r="AA34" s="104">
        <f t="shared" si="14"/>
        <v>1845</v>
      </c>
      <c r="AB34" s="104">
        <f t="shared" si="15"/>
        <v>0</v>
      </c>
    </row>
    <row r="35" spans="1:28" x14ac:dyDescent="0.2">
      <c r="A35" s="10">
        <v>10</v>
      </c>
      <c r="B35" s="10">
        <f t="shared" si="0"/>
        <v>3749</v>
      </c>
      <c r="C35" s="13" t="str">
        <f>INDEX('02_Datos_Maestros'!$B$5:$B$21,MATCH($B35,'02_Datos_Maestros'!$A$5:$A$21,0))</f>
        <v>SALSA MAYONESA (12DP/1/1000g)</v>
      </c>
      <c r="D35" s="14">
        <f>INDEX('02_Datos_Maestros'!$I$5:$I$21,MATCH($B35,'02_Datos_Maestros'!$A$5:$A$21,0))</f>
        <v>3278</v>
      </c>
      <c r="E35" s="14">
        <f t="shared" si="1"/>
        <v>3278</v>
      </c>
      <c r="F35" s="10">
        <f>IF($A35=1,0,INDEX('04_Matriz_Cambios'!$B$6:$R$22,MATCH($E35,'04_Matriz_Cambios'!$A$6:$A$22,0),MATCH($B35,'04_Matriz_Cambios'!$B$5:$R$5,0)))</f>
        <v>0</v>
      </c>
      <c r="G35" s="19">
        <f>INDEX('03_Demanda_ABC'!$C$5:$C$21,MATCH($B35,'03_Demanda_ABC'!$A$5:$A$21,0))</f>
        <v>4440</v>
      </c>
      <c r="H35" s="19">
        <f>INDEX('02_Datos_Maestros'!$F$5:$F$21,MATCH($B35,'02_Datos_Maestros'!$A$5:$A$21,0))</f>
        <v>1352</v>
      </c>
      <c r="I35" s="15">
        <f t="shared" si="2"/>
        <v>0.35502958579881655</v>
      </c>
      <c r="J35" s="19">
        <f t="shared" si="3"/>
        <v>1576.3313609467455</v>
      </c>
      <c r="K35" s="19">
        <f t="shared" si="4"/>
        <v>0</v>
      </c>
      <c r="L35" s="19">
        <f t="shared" si="5"/>
        <v>0</v>
      </c>
      <c r="M35" s="19">
        <f t="shared" si="6"/>
        <v>1576.3313609467455</v>
      </c>
      <c r="N35" s="14">
        <f t="shared" si="7"/>
        <v>1</v>
      </c>
      <c r="O35" s="14">
        <f t="shared" si="8"/>
        <v>4</v>
      </c>
      <c r="P35" s="45">
        <f>IF(N35&gt;MAX('07_Calendario'!$F$5:$F$82),"Fuera del mes",INDEX('07_Calendario'!$B$5:$B$82,MATCH(N35,'07_Calendario'!$F$5:$F$82,0)))</f>
        <v>46266</v>
      </c>
      <c r="Q35" s="45">
        <f>IF(O35&gt;MAX('07_Calendario'!$F$5:$F$82),"Fuera del mes",INDEX('07_Calendario'!$B$5:$B$82,MATCH(O35,'07_Calendario'!$F$5:$F$82,0)))</f>
        <v>46267</v>
      </c>
      <c r="T35" s="44">
        <f>'02_Datos_Maestros'!$A$14</f>
        <v>6743</v>
      </c>
      <c r="U35" s="44">
        <f>'02_Datos_Maestros'!$I$14</f>
        <v>6743</v>
      </c>
      <c r="V35" s="44">
        <f t="shared" si="9"/>
        <v>5</v>
      </c>
      <c r="W35" s="44">
        <f t="shared" si="10"/>
        <v>1</v>
      </c>
      <c r="X35" s="44">
        <f t="shared" si="11"/>
        <v>501</v>
      </c>
      <c r="Y35" s="44">
        <f t="shared" si="12"/>
        <v>7</v>
      </c>
      <c r="Z35" s="104">
        <f t="shared" si="13"/>
        <v>480</v>
      </c>
      <c r="AA35" s="104">
        <f t="shared" si="14"/>
        <v>1352</v>
      </c>
      <c r="AB35" s="104">
        <f t="shared" si="15"/>
        <v>0</v>
      </c>
    </row>
    <row r="36" spans="1:28" x14ac:dyDescent="0.2">
      <c r="A36" s="10">
        <v>11</v>
      </c>
      <c r="B36" s="10">
        <f t="shared" si="0"/>
        <v>7590</v>
      </c>
      <c r="C36" s="13" t="str">
        <f>INDEX('02_Datos_Maestros'!$B$5:$B$21,MATCH($B36,'02_Datos_Maestros'!$A$5:$A$21,0))</f>
        <v>SALSA MAYONESA (12DP/1/600g)</v>
      </c>
      <c r="D36" s="14">
        <f>INDEX('02_Datos_Maestros'!$I$5:$I$21,MATCH($B36,'02_Datos_Maestros'!$A$5:$A$21,0))</f>
        <v>3278</v>
      </c>
      <c r="E36" s="14">
        <f t="shared" si="1"/>
        <v>3749</v>
      </c>
      <c r="F36" s="10">
        <f>IF($A36=1,0,INDEX('04_Matriz_Cambios'!$B$6:$R$22,MATCH($E36,'04_Matriz_Cambios'!$A$6:$A$22,0),MATCH($B36,'04_Matriz_Cambios'!$B$5:$R$5,0)))</f>
        <v>0</v>
      </c>
      <c r="G36" s="19">
        <f>INDEX('03_Demanda_ABC'!$C$5:$C$21,MATCH($B36,'03_Demanda_ABC'!$A$5:$A$21,0))</f>
        <v>1496</v>
      </c>
      <c r="H36" s="19">
        <f>INDEX('02_Datos_Maestros'!$F$5:$F$21,MATCH($B36,'02_Datos_Maestros'!$A$5:$A$21,0))</f>
        <v>2001</v>
      </c>
      <c r="I36" s="15">
        <f t="shared" si="2"/>
        <v>0.23988005997001499</v>
      </c>
      <c r="J36" s="19">
        <f t="shared" si="3"/>
        <v>358.86056971514245</v>
      </c>
      <c r="K36" s="19">
        <f t="shared" si="4"/>
        <v>0</v>
      </c>
      <c r="L36" s="19">
        <f t="shared" si="5"/>
        <v>0</v>
      </c>
      <c r="M36" s="19">
        <f t="shared" si="6"/>
        <v>358.86056971514245</v>
      </c>
      <c r="N36" s="14">
        <f t="shared" si="7"/>
        <v>1</v>
      </c>
      <c r="O36" s="14">
        <f t="shared" si="8"/>
        <v>1</v>
      </c>
      <c r="P36" s="45">
        <f>IF(N36&gt;MAX('07_Calendario'!$F$5:$F$82),"Fuera del mes",INDEX('07_Calendario'!$B$5:$B$82,MATCH(N36,'07_Calendario'!$F$5:$F$82,0)))</f>
        <v>46266</v>
      </c>
      <c r="Q36" s="45">
        <f>IF(O36&gt;MAX('07_Calendario'!$F$5:$F$82),"Fuera del mes",INDEX('07_Calendario'!$B$5:$B$82,MATCH(O36,'07_Calendario'!$F$5:$F$82,0)))</f>
        <v>46266</v>
      </c>
      <c r="T36" s="44">
        <f>'02_Datos_Maestros'!$A$15</f>
        <v>7590</v>
      </c>
      <c r="U36" s="44">
        <f>'02_Datos_Maestros'!$I$15</f>
        <v>3278</v>
      </c>
      <c r="V36" s="44">
        <f t="shared" si="9"/>
        <v>7</v>
      </c>
      <c r="W36" s="44">
        <f t="shared" si="10"/>
        <v>3</v>
      </c>
      <c r="X36" s="44">
        <f t="shared" si="11"/>
        <v>703</v>
      </c>
      <c r="Y36" s="44">
        <f t="shared" si="12"/>
        <v>11</v>
      </c>
      <c r="Z36" s="104">
        <f t="shared" si="13"/>
        <v>480</v>
      </c>
      <c r="AA36" s="104">
        <f t="shared" si="14"/>
        <v>2001</v>
      </c>
      <c r="AB36" s="104">
        <f t="shared" si="15"/>
        <v>0</v>
      </c>
    </row>
    <row r="37" spans="1:28" x14ac:dyDescent="0.2">
      <c r="A37" s="10">
        <v>12</v>
      </c>
      <c r="B37" s="10">
        <f t="shared" si="0"/>
        <v>15795</v>
      </c>
      <c r="C37" s="13" t="str">
        <f>INDEX('02_Datos_Maestros'!$B$5:$B$21,MATCH($B37,'02_Datos_Maestros'!$A$5:$A$21,0))</f>
        <v>SALSA MAYONESA-V(12DP/1/380g)</v>
      </c>
      <c r="D37" s="14">
        <f>INDEX('02_Datos_Maestros'!$I$5:$I$21,MATCH($B37,'02_Datos_Maestros'!$A$5:$A$21,0))</f>
        <v>3278</v>
      </c>
      <c r="E37" s="14">
        <f t="shared" si="1"/>
        <v>7590</v>
      </c>
      <c r="F37" s="10">
        <f>IF($A37=1,0,INDEX('04_Matriz_Cambios'!$B$6:$R$22,MATCH($E37,'04_Matriz_Cambios'!$A$6:$A$22,0),MATCH($B37,'04_Matriz_Cambios'!$B$5:$R$5,0)))</f>
        <v>0</v>
      </c>
      <c r="G37" s="19">
        <f>INDEX('03_Demanda_ABC'!$C$5:$C$21,MATCH($B37,'03_Demanda_ABC'!$A$5:$A$21,0))</f>
        <v>1284</v>
      </c>
      <c r="H37" s="19">
        <f>INDEX('02_Datos_Maestros'!$F$5:$F$21,MATCH($B37,'02_Datos_Maestros'!$A$5:$A$21,0))</f>
        <v>2001</v>
      </c>
      <c r="I37" s="15">
        <f t="shared" si="2"/>
        <v>0.23988005997001499</v>
      </c>
      <c r="J37" s="19">
        <f t="shared" si="3"/>
        <v>308.00599700149922</v>
      </c>
      <c r="K37" s="19">
        <f t="shared" si="4"/>
        <v>0</v>
      </c>
      <c r="L37" s="19">
        <f t="shared" si="5"/>
        <v>0</v>
      </c>
      <c r="M37" s="19">
        <f t="shared" si="6"/>
        <v>308.00599700149922</v>
      </c>
      <c r="N37" s="14">
        <f t="shared" si="7"/>
        <v>1</v>
      </c>
      <c r="O37" s="14">
        <f t="shared" si="8"/>
        <v>1</v>
      </c>
      <c r="P37" s="45">
        <f>IF(N37&gt;MAX('07_Calendario'!$F$5:$F$82),"Fuera del mes",INDEX('07_Calendario'!$B$5:$B$82,MATCH(N37,'07_Calendario'!$F$5:$F$82,0)))</f>
        <v>46266</v>
      </c>
      <c r="Q37" s="45">
        <f>IF(O37&gt;MAX('07_Calendario'!$F$5:$F$82),"Fuera del mes",INDEX('07_Calendario'!$B$5:$B$82,MATCH(O37,'07_Calendario'!$F$5:$F$82,0)))</f>
        <v>46266</v>
      </c>
      <c r="T37" s="44">
        <f>'02_Datos_Maestros'!$A$16</f>
        <v>15564</v>
      </c>
      <c r="U37" s="44">
        <f>'02_Datos_Maestros'!$I$16</f>
        <v>15564</v>
      </c>
      <c r="V37" s="44">
        <f t="shared" si="9"/>
        <v>3</v>
      </c>
      <c r="W37" s="44">
        <f t="shared" si="10"/>
        <v>1</v>
      </c>
      <c r="X37" s="44">
        <f t="shared" si="11"/>
        <v>301</v>
      </c>
      <c r="Y37" s="44">
        <f t="shared" si="12"/>
        <v>3</v>
      </c>
      <c r="Z37" s="104">
        <f t="shared" si="13"/>
        <v>480</v>
      </c>
      <c r="AA37" s="104">
        <f t="shared" si="14"/>
        <v>2001</v>
      </c>
      <c r="AB37" s="104">
        <f t="shared" si="15"/>
        <v>0</v>
      </c>
    </row>
    <row r="38" spans="1:28" x14ac:dyDescent="0.2">
      <c r="A38" s="10">
        <v>13</v>
      </c>
      <c r="B38" s="10">
        <f t="shared" si="0"/>
        <v>16816</v>
      </c>
      <c r="C38" s="13" t="str">
        <f>INDEX('02_Datos_Maestros'!$B$5:$B$21,MATCH($B38,'02_Datos_Maestros'!$A$5:$A$21,0))</f>
        <v>SALSA DE MAYONESA ZEV (24DP/1/400G)</v>
      </c>
      <c r="D38" s="14">
        <f>INDEX('02_Datos_Maestros'!$I$5:$I$21,MATCH($B38,'02_Datos_Maestros'!$A$5:$A$21,0))</f>
        <v>3278</v>
      </c>
      <c r="E38" s="14">
        <f t="shared" si="1"/>
        <v>15795</v>
      </c>
      <c r="F38" s="10">
        <f>IF($A38=1,0,INDEX('04_Matriz_Cambios'!$B$6:$R$22,MATCH($E38,'04_Matriz_Cambios'!$A$6:$A$22,0),MATCH($B38,'04_Matriz_Cambios'!$B$5:$R$5,0)))</f>
        <v>0</v>
      </c>
      <c r="G38" s="19">
        <f>INDEX('03_Demanda_ABC'!$C$5:$C$21,MATCH($B38,'03_Demanda_ABC'!$A$5:$A$21,0))</f>
        <v>19200</v>
      </c>
      <c r="H38" s="19">
        <f>INDEX('02_Datos_Maestros'!$F$5:$F$21,MATCH($B38,'02_Datos_Maestros'!$A$5:$A$21,0))</f>
        <v>1200</v>
      </c>
      <c r="I38" s="15">
        <f t="shared" si="2"/>
        <v>0.4</v>
      </c>
      <c r="J38" s="19">
        <f t="shared" si="3"/>
        <v>7680</v>
      </c>
      <c r="K38" s="19">
        <f t="shared" si="4"/>
        <v>0</v>
      </c>
      <c r="L38" s="19">
        <f t="shared" si="5"/>
        <v>0</v>
      </c>
      <c r="M38" s="19">
        <f t="shared" si="6"/>
        <v>7680</v>
      </c>
      <c r="N38" s="14">
        <f t="shared" si="7"/>
        <v>1</v>
      </c>
      <c r="O38" s="14">
        <f t="shared" si="8"/>
        <v>16</v>
      </c>
      <c r="P38" s="45">
        <f>IF(N38&gt;MAX('07_Calendario'!$F$5:$F$82),"Fuera del mes",INDEX('07_Calendario'!$B$5:$B$82,MATCH(N38,'07_Calendario'!$F$5:$F$82,0)))</f>
        <v>46266</v>
      </c>
      <c r="Q38" s="45">
        <f>IF(O38&gt;MAX('07_Calendario'!$F$5:$F$82),"Fuera del mes",INDEX('07_Calendario'!$B$5:$B$82,MATCH(O38,'07_Calendario'!$F$5:$F$82,0)))</f>
        <v>46272</v>
      </c>
      <c r="T38" s="44">
        <f>'02_Datos_Maestros'!$A$17</f>
        <v>15795</v>
      </c>
      <c r="U38" s="44">
        <f>'02_Datos_Maestros'!$I$17</f>
        <v>3278</v>
      </c>
      <c r="V38" s="44">
        <f t="shared" si="9"/>
        <v>7</v>
      </c>
      <c r="W38" s="44">
        <f t="shared" si="10"/>
        <v>4</v>
      </c>
      <c r="X38" s="44">
        <f t="shared" si="11"/>
        <v>704</v>
      </c>
      <c r="Y38" s="44">
        <f t="shared" si="12"/>
        <v>12</v>
      </c>
      <c r="Z38" s="104">
        <f t="shared" si="13"/>
        <v>480</v>
      </c>
      <c r="AA38" s="104">
        <f t="shared" si="14"/>
        <v>1200</v>
      </c>
      <c r="AB38" s="104">
        <f t="shared" si="15"/>
        <v>0</v>
      </c>
    </row>
    <row r="39" spans="1:28" x14ac:dyDescent="0.2">
      <c r="A39" s="10">
        <v>14</v>
      </c>
      <c r="B39" s="10">
        <f t="shared" si="0"/>
        <v>17246</v>
      </c>
      <c r="C39" s="13" t="str">
        <f>INDEX('02_Datos_Maestros'!$B$5:$B$21,MATCH($B39,'02_Datos_Maestros'!$A$5:$A$21,0))</f>
        <v>SALSA DE MAYONESA LINE (21DP/1/500G)</v>
      </c>
      <c r="D39" s="14">
        <f>INDEX('02_Datos_Maestros'!$I$5:$I$21,MATCH($B39,'02_Datos_Maestros'!$A$5:$A$21,0))</f>
        <v>3278</v>
      </c>
      <c r="E39" s="14">
        <f t="shared" si="1"/>
        <v>16816</v>
      </c>
      <c r="F39" s="10">
        <f>IF($A39=1,0,INDEX('04_Matriz_Cambios'!$B$6:$R$22,MATCH($E39,'04_Matriz_Cambios'!$A$6:$A$22,0),MATCH($B39,'04_Matriz_Cambios'!$B$5:$R$5,0)))</f>
        <v>0</v>
      </c>
      <c r="G39" s="19">
        <f>INDEX('03_Demanda_ABC'!$C$5:$C$21,MATCH($B39,'03_Demanda_ABC'!$A$5:$A$21,0))</f>
        <v>7200</v>
      </c>
      <c r="H39" s="19">
        <f>INDEX('02_Datos_Maestros'!$F$5:$F$21,MATCH($B39,'02_Datos_Maestros'!$A$5:$A$21,0))</f>
        <v>1144</v>
      </c>
      <c r="I39" s="15">
        <f t="shared" si="2"/>
        <v>0.41958041958041958</v>
      </c>
      <c r="J39" s="19">
        <f t="shared" si="3"/>
        <v>3020.9790209790208</v>
      </c>
      <c r="K39" s="19">
        <f t="shared" si="4"/>
        <v>0</v>
      </c>
      <c r="L39" s="19">
        <f t="shared" si="5"/>
        <v>0</v>
      </c>
      <c r="M39" s="19">
        <f t="shared" si="6"/>
        <v>3020.9790209790208</v>
      </c>
      <c r="N39" s="14">
        <f t="shared" si="7"/>
        <v>1</v>
      </c>
      <c r="O39" s="14">
        <f t="shared" si="8"/>
        <v>7</v>
      </c>
      <c r="P39" s="45">
        <f>IF(N39&gt;MAX('07_Calendario'!$F$5:$F$82),"Fuera del mes",INDEX('07_Calendario'!$B$5:$B$82,MATCH(N39,'07_Calendario'!$F$5:$F$82,0)))</f>
        <v>46266</v>
      </c>
      <c r="Q39" s="45">
        <f>IF(O39&gt;MAX('07_Calendario'!$F$5:$F$82),"Fuera del mes",INDEX('07_Calendario'!$B$5:$B$82,MATCH(O39,'07_Calendario'!$F$5:$F$82,0)))</f>
        <v>46268</v>
      </c>
      <c r="T39" s="44">
        <f>'02_Datos_Maestros'!$A$18</f>
        <v>15881</v>
      </c>
      <c r="U39" s="44">
        <f>'02_Datos_Maestros'!$I$18</f>
        <v>5998</v>
      </c>
      <c r="V39" s="44">
        <f t="shared" si="9"/>
        <v>4</v>
      </c>
      <c r="W39" s="44">
        <f t="shared" si="10"/>
        <v>2</v>
      </c>
      <c r="X39" s="44">
        <f t="shared" si="11"/>
        <v>402</v>
      </c>
      <c r="Y39" s="44">
        <f t="shared" si="12"/>
        <v>5</v>
      </c>
      <c r="Z39" s="104">
        <f t="shared" si="13"/>
        <v>480</v>
      </c>
      <c r="AA39" s="104">
        <f t="shared" si="14"/>
        <v>1144</v>
      </c>
      <c r="AB39" s="104">
        <f t="shared" si="15"/>
        <v>0</v>
      </c>
    </row>
    <row r="40" spans="1:28" x14ac:dyDescent="0.2">
      <c r="A40" s="10">
        <v>15</v>
      </c>
      <c r="B40" s="10">
        <f t="shared" si="0"/>
        <v>3757</v>
      </c>
      <c r="C40" s="13" t="str">
        <f>INDEX('02_Datos_Maestros'!$B$5:$B$21,MATCH($B40,'02_Datos_Maestros'!$A$5:$A$21,0))</f>
        <v>MOSTANEZA (12DP/1/380g)</v>
      </c>
      <c r="D40" s="14">
        <f>INDEX('02_Datos_Maestros'!$I$5:$I$21,MATCH($B40,'02_Datos_Maestros'!$A$5:$A$21,0))</f>
        <v>3757</v>
      </c>
      <c r="E40" s="14">
        <f t="shared" si="1"/>
        <v>17246</v>
      </c>
      <c r="F40" s="10">
        <f>IF($A40=1,0,INDEX('04_Matriz_Cambios'!$B$6:$R$22,MATCH($E40,'04_Matriz_Cambios'!$A$6:$A$22,0),MATCH($B40,'04_Matriz_Cambios'!$B$5:$R$5,0)))</f>
        <v>120</v>
      </c>
      <c r="G40" s="19">
        <f>INDEX('03_Demanda_ABC'!$C$5:$C$21,MATCH($B40,'03_Demanda_ABC'!$A$5:$A$21,0))</f>
        <v>3600</v>
      </c>
      <c r="H40" s="19">
        <f>INDEX('02_Datos_Maestros'!$F$5:$F$21,MATCH($B40,'02_Datos_Maestros'!$A$5:$A$21,0))</f>
        <v>2444</v>
      </c>
      <c r="I40" s="15">
        <f t="shared" si="2"/>
        <v>0.19639934533551553</v>
      </c>
      <c r="J40" s="19">
        <f t="shared" si="3"/>
        <v>707.03764320785592</v>
      </c>
      <c r="K40" s="19">
        <f t="shared" si="4"/>
        <v>0</v>
      </c>
      <c r="L40" s="19">
        <f t="shared" si="5"/>
        <v>120</v>
      </c>
      <c r="M40" s="19">
        <f t="shared" si="6"/>
        <v>827.03764320785592</v>
      </c>
      <c r="N40" s="14">
        <f t="shared" si="7"/>
        <v>1</v>
      </c>
      <c r="O40" s="14">
        <f t="shared" si="8"/>
        <v>2</v>
      </c>
      <c r="P40" s="45">
        <f>IF(N40&gt;MAX('07_Calendario'!$F$5:$F$82),"Fuera del mes",INDEX('07_Calendario'!$B$5:$B$82,MATCH(N40,'07_Calendario'!$F$5:$F$82,0)))</f>
        <v>46266</v>
      </c>
      <c r="Q40" s="45">
        <f>IF(O40&gt;MAX('07_Calendario'!$F$5:$F$82),"Fuera del mes",INDEX('07_Calendario'!$B$5:$B$82,MATCH(O40,'07_Calendario'!$F$5:$F$82,0)))</f>
        <v>46266</v>
      </c>
      <c r="T40" s="44">
        <f>'02_Datos_Maestros'!$A$19</f>
        <v>16787</v>
      </c>
      <c r="U40" s="44">
        <f>'02_Datos_Maestros'!$I$19</f>
        <v>5998</v>
      </c>
      <c r="V40" s="44">
        <f t="shared" si="9"/>
        <v>4</v>
      </c>
      <c r="W40" s="44">
        <f t="shared" si="10"/>
        <v>3</v>
      </c>
      <c r="X40" s="44">
        <f t="shared" si="11"/>
        <v>403</v>
      </c>
      <c r="Y40" s="44">
        <f t="shared" si="12"/>
        <v>6</v>
      </c>
      <c r="Z40" s="104">
        <f t="shared" si="13"/>
        <v>360</v>
      </c>
      <c r="AA40" s="104">
        <f t="shared" si="14"/>
        <v>1833</v>
      </c>
      <c r="AB40" s="104">
        <f t="shared" si="15"/>
        <v>0</v>
      </c>
    </row>
    <row r="41" spans="1:28" x14ac:dyDescent="0.2">
      <c r="A41" s="10">
        <v>16</v>
      </c>
      <c r="B41" s="10">
        <f t="shared" si="0"/>
        <v>3925</v>
      </c>
      <c r="C41" s="13" t="str">
        <f>INDEX('02_Datos_Maestros'!$B$5:$B$21,MATCH($B41,'02_Datos_Maestros'!$A$5:$A$21,0))</f>
        <v>MOSTANEZA AJO (12DP/1/380g)</v>
      </c>
      <c r="D41" s="14">
        <f>INDEX('02_Datos_Maestros'!$I$5:$I$21,MATCH($B41,'02_Datos_Maestros'!$A$5:$A$21,0))</f>
        <v>3757</v>
      </c>
      <c r="E41" s="14">
        <f t="shared" si="1"/>
        <v>3757</v>
      </c>
      <c r="F41" s="10">
        <f>IF($A41=1,0,INDEX('04_Matriz_Cambios'!$B$6:$R$22,MATCH($E41,'04_Matriz_Cambios'!$A$6:$A$22,0),MATCH($B41,'04_Matriz_Cambios'!$B$5:$R$5,0)))</f>
        <v>0</v>
      </c>
      <c r="G41" s="19">
        <f>INDEX('03_Demanda_ABC'!$C$5:$C$21,MATCH($B41,'03_Demanda_ABC'!$A$5:$A$21,0))</f>
        <v>1819</v>
      </c>
      <c r="H41" s="19">
        <f>INDEX('02_Datos_Maestros'!$F$5:$F$21,MATCH($B41,'02_Datos_Maestros'!$A$5:$A$21,0))</f>
        <v>2437</v>
      </c>
      <c r="I41" s="15">
        <f t="shared" si="2"/>
        <v>0.19696347968814115</v>
      </c>
      <c r="J41" s="19">
        <f t="shared" si="3"/>
        <v>358.27656955272874</v>
      </c>
      <c r="K41" s="19">
        <f t="shared" si="4"/>
        <v>0</v>
      </c>
      <c r="L41" s="19">
        <f t="shared" si="5"/>
        <v>0</v>
      </c>
      <c r="M41" s="19">
        <f t="shared" si="6"/>
        <v>358.27656955272874</v>
      </c>
      <c r="N41" s="14">
        <f t="shared" si="7"/>
        <v>1</v>
      </c>
      <c r="O41" s="14">
        <f t="shared" si="8"/>
        <v>1</v>
      </c>
      <c r="P41" s="45">
        <f>IF(N41&gt;MAX('07_Calendario'!$F$5:$F$82),"Fuera del mes",INDEX('07_Calendario'!$B$5:$B$82,MATCH(N41,'07_Calendario'!$F$5:$F$82,0)))</f>
        <v>46266</v>
      </c>
      <c r="Q41" s="45">
        <f>IF(O41&gt;MAX('07_Calendario'!$F$5:$F$82),"Fuera del mes",INDEX('07_Calendario'!$B$5:$B$82,MATCH(O41,'07_Calendario'!$F$5:$F$82,0)))</f>
        <v>46266</v>
      </c>
      <c r="T41" s="44">
        <f>'02_Datos_Maestros'!$A$20</f>
        <v>16816</v>
      </c>
      <c r="U41" s="44">
        <f>'02_Datos_Maestros'!$I$20</f>
        <v>3278</v>
      </c>
      <c r="V41" s="44">
        <f t="shared" si="9"/>
        <v>7</v>
      </c>
      <c r="W41" s="44">
        <f t="shared" si="10"/>
        <v>5</v>
      </c>
      <c r="X41" s="44">
        <f t="shared" si="11"/>
        <v>705</v>
      </c>
      <c r="Y41" s="44">
        <f t="shared" si="12"/>
        <v>13</v>
      </c>
      <c r="Z41" s="104">
        <f t="shared" si="13"/>
        <v>480</v>
      </c>
      <c r="AA41" s="104">
        <f t="shared" si="14"/>
        <v>2437</v>
      </c>
      <c r="AB41" s="104">
        <f t="shared" si="15"/>
        <v>0</v>
      </c>
    </row>
    <row r="42" spans="1:28" x14ac:dyDescent="0.2">
      <c r="A42" s="10">
        <v>17</v>
      </c>
      <c r="B42" s="10">
        <f t="shared" si="0"/>
        <v>6616</v>
      </c>
      <c r="C42" s="13" t="str">
        <f>INDEX('02_Datos_Maestros'!$B$5:$B$21,MATCH($B42,'02_Datos_Maestros'!$A$5:$A$21,0))</f>
        <v>MOSTANEZA DEL RANCHO (12DP/1/380g)</v>
      </c>
      <c r="D42" s="14">
        <f>INDEX('02_Datos_Maestros'!$I$5:$I$21,MATCH($B42,'02_Datos_Maestros'!$A$5:$A$21,0))</f>
        <v>3757</v>
      </c>
      <c r="E42" s="14">
        <f t="shared" si="1"/>
        <v>3925</v>
      </c>
      <c r="F42" s="10">
        <f>IF($A42=1,0,INDEX('04_Matriz_Cambios'!$B$6:$R$22,MATCH($E42,'04_Matriz_Cambios'!$A$6:$A$22,0),MATCH($B42,'04_Matriz_Cambios'!$B$5:$R$5,0)))</f>
        <v>0</v>
      </c>
      <c r="G42" s="19">
        <f>INDEX('03_Demanda_ABC'!$C$5:$C$21,MATCH($B42,'03_Demanda_ABC'!$A$5:$A$21,0))</f>
        <v>1712</v>
      </c>
      <c r="H42" s="19">
        <f>INDEX('02_Datos_Maestros'!$F$5:$F$21,MATCH($B42,'02_Datos_Maestros'!$A$5:$A$21,0))</f>
        <v>2444</v>
      </c>
      <c r="I42" s="15">
        <f t="shared" si="2"/>
        <v>0.19639934533551553</v>
      </c>
      <c r="J42" s="19">
        <f t="shared" si="3"/>
        <v>336.23567921440258</v>
      </c>
      <c r="K42" s="19">
        <f t="shared" si="4"/>
        <v>0</v>
      </c>
      <c r="L42" s="19">
        <f t="shared" si="5"/>
        <v>0</v>
      </c>
      <c r="M42" s="19">
        <f t="shared" si="6"/>
        <v>336.23567921440258</v>
      </c>
      <c r="N42" s="14">
        <f t="shared" si="7"/>
        <v>1</v>
      </c>
      <c r="O42" s="14">
        <f t="shared" si="8"/>
        <v>1</v>
      </c>
      <c r="P42" s="45">
        <f>IF(N42&gt;MAX('07_Calendario'!$F$5:$F$82),"Fuera del mes",INDEX('07_Calendario'!$B$5:$B$82,MATCH(N42,'07_Calendario'!$F$5:$F$82,0)))</f>
        <v>46266</v>
      </c>
      <c r="Q42" s="45">
        <f>IF(O42&gt;MAX('07_Calendario'!$F$5:$F$82),"Fuera del mes",INDEX('07_Calendario'!$B$5:$B$82,MATCH(O42,'07_Calendario'!$F$5:$F$82,0)))</f>
        <v>46266</v>
      </c>
      <c r="T42" s="44">
        <f>'02_Datos_Maestros'!$A$21</f>
        <v>17246</v>
      </c>
      <c r="U42" s="44">
        <f>'02_Datos_Maestros'!$I$21</f>
        <v>3278</v>
      </c>
      <c r="V42" s="44">
        <f t="shared" si="9"/>
        <v>7</v>
      </c>
      <c r="W42" s="44">
        <f t="shared" si="10"/>
        <v>6</v>
      </c>
      <c r="X42" s="44">
        <f t="shared" si="11"/>
        <v>706</v>
      </c>
      <c r="Y42" s="44">
        <f t="shared" si="12"/>
        <v>14</v>
      </c>
      <c r="Z42" s="104">
        <f t="shared" si="13"/>
        <v>480</v>
      </c>
      <c r="AA42" s="104">
        <f t="shared" si="14"/>
        <v>2444</v>
      </c>
      <c r="AB42" s="104">
        <f t="shared" si="15"/>
        <v>0</v>
      </c>
    </row>
    <row r="43" spans="1:28" x14ac:dyDescent="0.2">
      <c r="A43" s="22"/>
      <c r="B43" s="22"/>
      <c r="C43" s="22" t="s">
        <v>108</v>
      </c>
      <c r="D43" s="22"/>
      <c r="E43" s="22"/>
      <c r="F43" s="23">
        <f>SUM(F26:F42)</f>
        <v>840</v>
      </c>
      <c r="G43" s="23">
        <f>SUM(G26:G42)</f>
        <v>86331</v>
      </c>
      <c r="H43" s="22"/>
      <c r="I43" s="22"/>
      <c r="J43" s="23">
        <f>SUM(J26:J42)</f>
        <v>27819.625384303748</v>
      </c>
      <c r="K43" s="22"/>
      <c r="L43" s="22"/>
      <c r="M43" s="22"/>
      <c r="N43" s="22"/>
      <c r="O43" s="22"/>
      <c r="P43" s="22"/>
      <c r="Q43" s="22"/>
      <c r="Z43" s="104"/>
      <c r="AA43" s="104"/>
      <c r="AB43" s="104">
        <f>SUM(AB26:AB42)</f>
        <v>0.30419128286234809</v>
      </c>
    </row>
  </sheetData>
  <mergeCells count="13">
    <mergeCell ref="A4:Q4"/>
    <mergeCell ref="A5:D5"/>
    <mergeCell ref="A23:D23"/>
    <mergeCell ref="G9:J9"/>
    <mergeCell ref="E13:Q13"/>
    <mergeCell ref="A6:D6"/>
    <mergeCell ref="E5:Q5"/>
    <mergeCell ref="E23:Q23"/>
    <mergeCell ref="A9:C9"/>
    <mergeCell ref="A7:D7"/>
    <mergeCell ref="E6:Q6"/>
    <mergeCell ref="E7:Q7"/>
    <mergeCell ref="A13:D13"/>
  </mergeCells>
  <conditionalFormatting sqref="F26:F42">
    <cfRule type="cellIs" dxfId="14" priority="1" operator="equal">
      <formula>180</formula>
    </cfRule>
    <cfRule type="cellIs" dxfId="13" priority="2" operator="equal">
      <formula>120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H86"/>
  <sheetViews>
    <sheetView showGridLines="0" workbookViewId="0">
      <pane ySplit="4" topLeftCell="A69" activePane="bottomLeft" state="frozen"/>
      <selection pane="bottomLeft"/>
    </sheetView>
  </sheetViews>
  <sheetFormatPr baseColWidth="10" defaultColWidth="8.83203125" defaultRowHeight="15" x14ac:dyDescent="0.2"/>
  <cols>
    <col min="1" max="1" width="8" customWidth="1"/>
    <col min="2" max="2" width="13" customWidth="1"/>
    <col min="3" max="3" width="14" customWidth="1"/>
    <col min="4" max="5" width="9" customWidth="1"/>
    <col min="6" max="8" width="12" customWidth="1"/>
    <col min="9" max="9" width="4" customWidth="1"/>
    <col min="10" max="10" width="34" customWidth="1"/>
  </cols>
  <sheetData>
    <row r="1" spans="1:8" ht="26" customHeight="1" x14ac:dyDescent="0.3">
      <c r="A1" s="1" t="s">
        <v>247</v>
      </c>
    </row>
    <row r="2" spans="1:8" x14ac:dyDescent="0.2">
      <c r="A2" s="2" t="s">
        <v>248</v>
      </c>
    </row>
    <row r="4" spans="1:8" ht="32" customHeight="1" x14ac:dyDescent="0.2">
      <c r="A4" s="9" t="s">
        <v>119</v>
      </c>
      <c r="B4" s="9" t="s">
        <v>249</v>
      </c>
      <c r="C4" s="9" t="s">
        <v>250</v>
      </c>
      <c r="D4" s="9" t="s">
        <v>251</v>
      </c>
      <c r="E4" s="9" t="s">
        <v>252</v>
      </c>
      <c r="F4" s="9" t="s">
        <v>253</v>
      </c>
      <c r="G4" s="9" t="s">
        <v>254</v>
      </c>
      <c r="H4" s="9" t="s">
        <v>255</v>
      </c>
    </row>
    <row r="5" spans="1:8" x14ac:dyDescent="0.2">
      <c r="A5" s="46">
        <v>1</v>
      </c>
      <c r="B5" s="47">
        <f>DATE(2026,9,1)+0</f>
        <v>46266</v>
      </c>
      <c r="C5" s="14" t="str">
        <f t="shared" ref="C5:C36" si="0">CHOOSE(WEEKDAY(B5,2),"Lunes","Martes","Miércoles","Jueves","Viernes","Sábado","Domingo")</f>
        <v>Martes</v>
      </c>
      <c r="D5" s="14">
        <f>MOD(0,3)+1</f>
        <v>1</v>
      </c>
      <c r="E5" s="10">
        <f t="shared" ref="E5:E36" si="1">IF(AND(WEEKDAY($B5,2)=6,$D5=3),0,1)</f>
        <v>1</v>
      </c>
      <c r="F5" s="10">
        <f>IF($E5=0,"",SUM($E$5:$E5))</f>
        <v>1</v>
      </c>
      <c r="G5" s="19">
        <f t="shared" ref="G5:G36" si="2">IF($E5=0,"",($F5-1)*480)</f>
        <v>0</v>
      </c>
      <c r="H5" s="19">
        <f t="shared" ref="H5:H36" si="3">IF($E5=0,"",$F5*480)</f>
        <v>480</v>
      </c>
    </row>
    <row r="6" spans="1:8" x14ac:dyDescent="0.2">
      <c r="A6" s="46">
        <v>2</v>
      </c>
      <c r="B6" s="47">
        <f>DATE(2026,9,1)+0</f>
        <v>46266</v>
      </c>
      <c r="C6" s="14" t="str">
        <f t="shared" si="0"/>
        <v>Martes</v>
      </c>
      <c r="D6" s="14">
        <f>MOD(1,3)+1</f>
        <v>2</v>
      </c>
      <c r="E6" s="10">
        <f t="shared" si="1"/>
        <v>1</v>
      </c>
      <c r="F6" s="10">
        <f>IF($E6=0,"",SUM($E$5:$E6))</f>
        <v>2</v>
      </c>
      <c r="G6" s="19">
        <f t="shared" si="2"/>
        <v>480</v>
      </c>
      <c r="H6" s="19">
        <f t="shared" si="3"/>
        <v>960</v>
      </c>
    </row>
    <row r="7" spans="1:8" x14ac:dyDescent="0.2">
      <c r="A7" s="46">
        <v>3</v>
      </c>
      <c r="B7" s="47">
        <f>DATE(2026,9,1)+0</f>
        <v>46266</v>
      </c>
      <c r="C7" s="14" t="str">
        <f t="shared" si="0"/>
        <v>Martes</v>
      </c>
      <c r="D7" s="14">
        <f>MOD(2,3)+1</f>
        <v>3</v>
      </c>
      <c r="E7" s="10">
        <f t="shared" si="1"/>
        <v>1</v>
      </c>
      <c r="F7" s="10">
        <f>IF($E7=0,"",SUM($E$5:$E7))</f>
        <v>3</v>
      </c>
      <c r="G7" s="19">
        <f t="shared" si="2"/>
        <v>960</v>
      </c>
      <c r="H7" s="19">
        <f t="shared" si="3"/>
        <v>1440</v>
      </c>
    </row>
    <row r="8" spans="1:8" x14ac:dyDescent="0.2">
      <c r="A8" s="46">
        <v>4</v>
      </c>
      <c r="B8" s="47">
        <f>DATE(2026,9,1)+1</f>
        <v>46267</v>
      </c>
      <c r="C8" s="14" t="str">
        <f t="shared" si="0"/>
        <v>Miércoles</v>
      </c>
      <c r="D8" s="14">
        <f>MOD(3,3)+1</f>
        <v>1</v>
      </c>
      <c r="E8" s="10">
        <f t="shared" si="1"/>
        <v>1</v>
      </c>
      <c r="F8" s="10">
        <f>IF($E8=0,"",SUM($E$5:$E8))</f>
        <v>4</v>
      </c>
      <c r="G8" s="19">
        <f t="shared" si="2"/>
        <v>1440</v>
      </c>
      <c r="H8" s="19">
        <f t="shared" si="3"/>
        <v>1920</v>
      </c>
    </row>
    <row r="9" spans="1:8" x14ac:dyDescent="0.2">
      <c r="A9" s="46">
        <v>5</v>
      </c>
      <c r="B9" s="47">
        <f>DATE(2026,9,1)+1</f>
        <v>46267</v>
      </c>
      <c r="C9" s="14" t="str">
        <f t="shared" si="0"/>
        <v>Miércoles</v>
      </c>
      <c r="D9" s="14">
        <f>MOD(4,3)+1</f>
        <v>2</v>
      </c>
      <c r="E9" s="10">
        <f t="shared" si="1"/>
        <v>1</v>
      </c>
      <c r="F9" s="10">
        <f>IF($E9=0,"",SUM($E$5:$E9))</f>
        <v>5</v>
      </c>
      <c r="G9" s="19">
        <f t="shared" si="2"/>
        <v>1920</v>
      </c>
      <c r="H9" s="19">
        <f t="shared" si="3"/>
        <v>2400</v>
      </c>
    </row>
    <row r="10" spans="1:8" x14ac:dyDescent="0.2">
      <c r="A10" s="46">
        <v>6</v>
      </c>
      <c r="B10" s="47">
        <f>DATE(2026,9,1)+1</f>
        <v>46267</v>
      </c>
      <c r="C10" s="14" t="str">
        <f t="shared" si="0"/>
        <v>Miércoles</v>
      </c>
      <c r="D10" s="14">
        <f>MOD(5,3)+1</f>
        <v>3</v>
      </c>
      <c r="E10" s="10">
        <f t="shared" si="1"/>
        <v>1</v>
      </c>
      <c r="F10" s="10">
        <f>IF($E10=0,"",SUM($E$5:$E10))</f>
        <v>6</v>
      </c>
      <c r="G10" s="19">
        <f t="shared" si="2"/>
        <v>2400</v>
      </c>
      <c r="H10" s="19">
        <f t="shared" si="3"/>
        <v>2880</v>
      </c>
    </row>
    <row r="11" spans="1:8" x14ac:dyDescent="0.2">
      <c r="A11" s="46">
        <v>7</v>
      </c>
      <c r="B11" s="47">
        <f>DATE(2026,9,1)+2</f>
        <v>46268</v>
      </c>
      <c r="C11" s="14" t="str">
        <f t="shared" si="0"/>
        <v>Jueves</v>
      </c>
      <c r="D11" s="14">
        <f>MOD(6,3)+1</f>
        <v>1</v>
      </c>
      <c r="E11" s="10">
        <f t="shared" si="1"/>
        <v>1</v>
      </c>
      <c r="F11" s="10">
        <f>IF($E11=0,"",SUM($E$5:$E11))</f>
        <v>7</v>
      </c>
      <c r="G11" s="19">
        <f t="shared" si="2"/>
        <v>2880</v>
      </c>
      <c r="H11" s="19">
        <f t="shared" si="3"/>
        <v>3360</v>
      </c>
    </row>
    <row r="12" spans="1:8" x14ac:dyDescent="0.2">
      <c r="A12" s="46">
        <v>8</v>
      </c>
      <c r="B12" s="47">
        <f>DATE(2026,9,1)+2</f>
        <v>46268</v>
      </c>
      <c r="C12" s="14" t="str">
        <f t="shared" si="0"/>
        <v>Jueves</v>
      </c>
      <c r="D12" s="14">
        <f>MOD(7,3)+1</f>
        <v>2</v>
      </c>
      <c r="E12" s="10">
        <f t="shared" si="1"/>
        <v>1</v>
      </c>
      <c r="F12" s="10">
        <f>IF($E12=0,"",SUM($E$5:$E12))</f>
        <v>8</v>
      </c>
      <c r="G12" s="19">
        <f t="shared" si="2"/>
        <v>3360</v>
      </c>
      <c r="H12" s="19">
        <f t="shared" si="3"/>
        <v>3840</v>
      </c>
    </row>
    <row r="13" spans="1:8" x14ac:dyDescent="0.2">
      <c r="A13" s="46">
        <v>9</v>
      </c>
      <c r="B13" s="47">
        <f>DATE(2026,9,1)+2</f>
        <v>46268</v>
      </c>
      <c r="C13" s="14" t="str">
        <f t="shared" si="0"/>
        <v>Jueves</v>
      </c>
      <c r="D13" s="14">
        <f>MOD(8,3)+1</f>
        <v>3</v>
      </c>
      <c r="E13" s="10">
        <f t="shared" si="1"/>
        <v>1</v>
      </c>
      <c r="F13" s="10">
        <f>IF($E13=0,"",SUM($E$5:$E13))</f>
        <v>9</v>
      </c>
      <c r="G13" s="19">
        <f t="shared" si="2"/>
        <v>3840</v>
      </c>
      <c r="H13" s="19">
        <f t="shared" si="3"/>
        <v>4320</v>
      </c>
    </row>
    <row r="14" spans="1:8" x14ac:dyDescent="0.2">
      <c r="A14" s="46">
        <v>10</v>
      </c>
      <c r="B14" s="47">
        <f>DATE(2026,9,1)+3</f>
        <v>46269</v>
      </c>
      <c r="C14" s="14" t="str">
        <f t="shared" si="0"/>
        <v>Viernes</v>
      </c>
      <c r="D14" s="14">
        <f>MOD(9,3)+1</f>
        <v>1</v>
      </c>
      <c r="E14" s="10">
        <f t="shared" si="1"/>
        <v>1</v>
      </c>
      <c r="F14" s="10">
        <f>IF($E14=0,"",SUM($E$5:$E14))</f>
        <v>10</v>
      </c>
      <c r="G14" s="19">
        <f t="shared" si="2"/>
        <v>4320</v>
      </c>
      <c r="H14" s="19">
        <f t="shared" si="3"/>
        <v>4800</v>
      </c>
    </row>
    <row r="15" spans="1:8" x14ac:dyDescent="0.2">
      <c r="A15" s="46">
        <v>11</v>
      </c>
      <c r="B15" s="47">
        <f>DATE(2026,9,1)+3</f>
        <v>46269</v>
      </c>
      <c r="C15" s="14" t="str">
        <f t="shared" si="0"/>
        <v>Viernes</v>
      </c>
      <c r="D15" s="14">
        <f>MOD(10,3)+1</f>
        <v>2</v>
      </c>
      <c r="E15" s="10">
        <f t="shared" si="1"/>
        <v>1</v>
      </c>
      <c r="F15" s="10">
        <f>IF($E15=0,"",SUM($E$5:$E15))</f>
        <v>11</v>
      </c>
      <c r="G15" s="19">
        <f t="shared" si="2"/>
        <v>4800</v>
      </c>
      <c r="H15" s="19">
        <f t="shared" si="3"/>
        <v>5280</v>
      </c>
    </row>
    <row r="16" spans="1:8" x14ac:dyDescent="0.2">
      <c r="A16" s="46">
        <v>12</v>
      </c>
      <c r="B16" s="47">
        <f>DATE(2026,9,1)+3</f>
        <v>46269</v>
      </c>
      <c r="C16" s="14" t="str">
        <f t="shared" si="0"/>
        <v>Viernes</v>
      </c>
      <c r="D16" s="14">
        <f>MOD(11,3)+1</f>
        <v>3</v>
      </c>
      <c r="E16" s="10">
        <f t="shared" si="1"/>
        <v>1</v>
      </c>
      <c r="F16" s="10">
        <f>IF($E16=0,"",SUM($E$5:$E16))</f>
        <v>12</v>
      </c>
      <c r="G16" s="19">
        <f t="shared" si="2"/>
        <v>5280</v>
      </c>
      <c r="H16" s="19">
        <f t="shared" si="3"/>
        <v>5760</v>
      </c>
    </row>
    <row r="17" spans="1:8" x14ac:dyDescent="0.2">
      <c r="A17" s="46">
        <v>13</v>
      </c>
      <c r="B17" s="47">
        <f>DATE(2026,9,1)+4</f>
        <v>46270</v>
      </c>
      <c r="C17" s="14" t="str">
        <f t="shared" si="0"/>
        <v>Sábado</v>
      </c>
      <c r="D17" s="14">
        <f>MOD(12,3)+1</f>
        <v>1</v>
      </c>
      <c r="E17" s="10">
        <f t="shared" si="1"/>
        <v>1</v>
      </c>
      <c r="F17" s="10">
        <f>IF($E17=0,"",SUM($E$5:$E17))</f>
        <v>13</v>
      </c>
      <c r="G17" s="19">
        <f t="shared" si="2"/>
        <v>5760</v>
      </c>
      <c r="H17" s="19">
        <f t="shared" si="3"/>
        <v>6240</v>
      </c>
    </row>
    <row r="18" spans="1:8" x14ac:dyDescent="0.2">
      <c r="A18" s="46">
        <v>14</v>
      </c>
      <c r="B18" s="47">
        <f>DATE(2026,9,1)+4</f>
        <v>46270</v>
      </c>
      <c r="C18" s="14" t="str">
        <f t="shared" si="0"/>
        <v>Sábado</v>
      </c>
      <c r="D18" s="14">
        <f>MOD(13,3)+1</f>
        <v>2</v>
      </c>
      <c r="E18" s="10">
        <f t="shared" si="1"/>
        <v>1</v>
      </c>
      <c r="F18" s="10">
        <f>IF($E18=0,"",SUM($E$5:$E18))</f>
        <v>14</v>
      </c>
      <c r="G18" s="19">
        <f t="shared" si="2"/>
        <v>6240</v>
      </c>
      <c r="H18" s="19">
        <f t="shared" si="3"/>
        <v>6720</v>
      </c>
    </row>
    <row r="19" spans="1:8" x14ac:dyDescent="0.2">
      <c r="A19" s="46">
        <v>15</v>
      </c>
      <c r="B19" s="47">
        <f>DATE(2026,9,1)+4</f>
        <v>46270</v>
      </c>
      <c r="C19" s="14" t="str">
        <f t="shared" si="0"/>
        <v>Sábado</v>
      </c>
      <c r="D19" s="14">
        <f>MOD(14,3)+1</f>
        <v>3</v>
      </c>
      <c r="E19" s="10">
        <f t="shared" si="1"/>
        <v>0</v>
      </c>
      <c r="F19" s="10" t="str">
        <f>IF($E19=0,"",SUM($E$5:$E19))</f>
        <v/>
      </c>
      <c r="G19" s="19" t="str">
        <f t="shared" si="2"/>
        <v/>
      </c>
      <c r="H19" s="19" t="str">
        <f t="shared" si="3"/>
        <v/>
      </c>
    </row>
    <row r="20" spans="1:8" x14ac:dyDescent="0.2">
      <c r="A20" s="46">
        <v>16</v>
      </c>
      <c r="B20" s="47">
        <f>DATE(2026,9,1)+6</f>
        <v>46272</v>
      </c>
      <c r="C20" s="14" t="str">
        <f t="shared" si="0"/>
        <v>Lunes</v>
      </c>
      <c r="D20" s="14">
        <f>MOD(15,3)+1</f>
        <v>1</v>
      </c>
      <c r="E20" s="10">
        <f t="shared" si="1"/>
        <v>1</v>
      </c>
      <c r="F20" s="10">
        <f>IF($E20=0,"",SUM($E$5:$E20))</f>
        <v>15</v>
      </c>
      <c r="G20" s="19">
        <f t="shared" si="2"/>
        <v>6720</v>
      </c>
      <c r="H20" s="19">
        <f t="shared" si="3"/>
        <v>7200</v>
      </c>
    </row>
    <row r="21" spans="1:8" x14ac:dyDescent="0.2">
      <c r="A21" s="46">
        <v>17</v>
      </c>
      <c r="B21" s="47">
        <f>DATE(2026,9,1)+6</f>
        <v>46272</v>
      </c>
      <c r="C21" s="14" t="str">
        <f t="shared" si="0"/>
        <v>Lunes</v>
      </c>
      <c r="D21" s="14">
        <f>MOD(16,3)+1</f>
        <v>2</v>
      </c>
      <c r="E21" s="10">
        <f t="shared" si="1"/>
        <v>1</v>
      </c>
      <c r="F21" s="10">
        <f>IF($E21=0,"",SUM($E$5:$E21))</f>
        <v>16</v>
      </c>
      <c r="G21" s="19">
        <f t="shared" si="2"/>
        <v>7200</v>
      </c>
      <c r="H21" s="19">
        <f t="shared" si="3"/>
        <v>7680</v>
      </c>
    </row>
    <row r="22" spans="1:8" x14ac:dyDescent="0.2">
      <c r="A22" s="46">
        <v>18</v>
      </c>
      <c r="B22" s="47">
        <f>DATE(2026,9,1)+6</f>
        <v>46272</v>
      </c>
      <c r="C22" s="14" t="str">
        <f t="shared" si="0"/>
        <v>Lunes</v>
      </c>
      <c r="D22" s="14">
        <f>MOD(17,3)+1</f>
        <v>3</v>
      </c>
      <c r="E22" s="10">
        <f t="shared" si="1"/>
        <v>1</v>
      </c>
      <c r="F22" s="10">
        <f>IF($E22=0,"",SUM($E$5:$E22))</f>
        <v>17</v>
      </c>
      <c r="G22" s="19">
        <f t="shared" si="2"/>
        <v>7680</v>
      </c>
      <c r="H22" s="19">
        <f t="shared" si="3"/>
        <v>8160</v>
      </c>
    </row>
    <row r="23" spans="1:8" x14ac:dyDescent="0.2">
      <c r="A23" s="46">
        <v>19</v>
      </c>
      <c r="B23" s="47">
        <f>DATE(2026,9,1)+7</f>
        <v>46273</v>
      </c>
      <c r="C23" s="14" t="str">
        <f t="shared" si="0"/>
        <v>Martes</v>
      </c>
      <c r="D23" s="14">
        <f>MOD(18,3)+1</f>
        <v>1</v>
      </c>
      <c r="E23" s="10">
        <f t="shared" si="1"/>
        <v>1</v>
      </c>
      <c r="F23" s="10">
        <f>IF($E23=0,"",SUM($E$5:$E23))</f>
        <v>18</v>
      </c>
      <c r="G23" s="19">
        <f t="shared" si="2"/>
        <v>8160</v>
      </c>
      <c r="H23" s="19">
        <f t="shared" si="3"/>
        <v>8640</v>
      </c>
    </row>
    <row r="24" spans="1:8" x14ac:dyDescent="0.2">
      <c r="A24" s="46">
        <v>20</v>
      </c>
      <c r="B24" s="47">
        <f>DATE(2026,9,1)+7</f>
        <v>46273</v>
      </c>
      <c r="C24" s="14" t="str">
        <f t="shared" si="0"/>
        <v>Martes</v>
      </c>
      <c r="D24" s="14">
        <f>MOD(19,3)+1</f>
        <v>2</v>
      </c>
      <c r="E24" s="10">
        <f t="shared" si="1"/>
        <v>1</v>
      </c>
      <c r="F24" s="10">
        <f>IF($E24=0,"",SUM($E$5:$E24))</f>
        <v>19</v>
      </c>
      <c r="G24" s="19">
        <f t="shared" si="2"/>
        <v>8640</v>
      </c>
      <c r="H24" s="19">
        <f t="shared" si="3"/>
        <v>9120</v>
      </c>
    </row>
    <row r="25" spans="1:8" x14ac:dyDescent="0.2">
      <c r="A25" s="46">
        <v>21</v>
      </c>
      <c r="B25" s="47">
        <f>DATE(2026,9,1)+7</f>
        <v>46273</v>
      </c>
      <c r="C25" s="14" t="str">
        <f t="shared" si="0"/>
        <v>Martes</v>
      </c>
      <c r="D25" s="14">
        <f>MOD(20,3)+1</f>
        <v>3</v>
      </c>
      <c r="E25" s="10">
        <f t="shared" si="1"/>
        <v>1</v>
      </c>
      <c r="F25" s="10">
        <f>IF($E25=0,"",SUM($E$5:$E25))</f>
        <v>20</v>
      </c>
      <c r="G25" s="19">
        <f t="shared" si="2"/>
        <v>9120</v>
      </c>
      <c r="H25" s="19">
        <f t="shared" si="3"/>
        <v>9600</v>
      </c>
    </row>
    <row r="26" spans="1:8" x14ac:dyDescent="0.2">
      <c r="A26" s="46">
        <v>22</v>
      </c>
      <c r="B26" s="47">
        <f>DATE(2026,9,1)+8</f>
        <v>46274</v>
      </c>
      <c r="C26" s="14" t="str">
        <f t="shared" si="0"/>
        <v>Miércoles</v>
      </c>
      <c r="D26" s="14">
        <f>MOD(21,3)+1</f>
        <v>1</v>
      </c>
      <c r="E26" s="10">
        <f t="shared" si="1"/>
        <v>1</v>
      </c>
      <c r="F26" s="10">
        <f>IF($E26=0,"",SUM($E$5:$E26))</f>
        <v>21</v>
      </c>
      <c r="G26" s="19">
        <f t="shared" si="2"/>
        <v>9600</v>
      </c>
      <c r="H26" s="19">
        <f t="shared" si="3"/>
        <v>10080</v>
      </c>
    </row>
    <row r="27" spans="1:8" x14ac:dyDescent="0.2">
      <c r="A27" s="46">
        <v>23</v>
      </c>
      <c r="B27" s="47">
        <f>DATE(2026,9,1)+8</f>
        <v>46274</v>
      </c>
      <c r="C27" s="14" t="str">
        <f t="shared" si="0"/>
        <v>Miércoles</v>
      </c>
      <c r="D27" s="14">
        <f>MOD(22,3)+1</f>
        <v>2</v>
      </c>
      <c r="E27" s="10">
        <f t="shared" si="1"/>
        <v>1</v>
      </c>
      <c r="F27" s="10">
        <f>IF($E27=0,"",SUM($E$5:$E27))</f>
        <v>22</v>
      </c>
      <c r="G27" s="19">
        <f t="shared" si="2"/>
        <v>10080</v>
      </c>
      <c r="H27" s="19">
        <f t="shared" si="3"/>
        <v>10560</v>
      </c>
    </row>
    <row r="28" spans="1:8" x14ac:dyDescent="0.2">
      <c r="A28" s="46">
        <v>24</v>
      </c>
      <c r="B28" s="47">
        <f>DATE(2026,9,1)+8</f>
        <v>46274</v>
      </c>
      <c r="C28" s="14" t="str">
        <f t="shared" si="0"/>
        <v>Miércoles</v>
      </c>
      <c r="D28" s="14">
        <f>MOD(23,3)+1</f>
        <v>3</v>
      </c>
      <c r="E28" s="10">
        <f t="shared" si="1"/>
        <v>1</v>
      </c>
      <c r="F28" s="10">
        <f>IF($E28=0,"",SUM($E$5:$E28))</f>
        <v>23</v>
      </c>
      <c r="G28" s="19">
        <f t="shared" si="2"/>
        <v>10560</v>
      </c>
      <c r="H28" s="19">
        <f t="shared" si="3"/>
        <v>11040</v>
      </c>
    </row>
    <row r="29" spans="1:8" x14ac:dyDescent="0.2">
      <c r="A29" s="46">
        <v>25</v>
      </c>
      <c r="B29" s="47">
        <f>DATE(2026,9,1)+9</f>
        <v>46275</v>
      </c>
      <c r="C29" s="14" t="str">
        <f t="shared" si="0"/>
        <v>Jueves</v>
      </c>
      <c r="D29" s="14">
        <f>MOD(24,3)+1</f>
        <v>1</v>
      </c>
      <c r="E29" s="10">
        <f t="shared" si="1"/>
        <v>1</v>
      </c>
      <c r="F29" s="10">
        <f>IF($E29=0,"",SUM($E$5:$E29))</f>
        <v>24</v>
      </c>
      <c r="G29" s="19">
        <f t="shared" si="2"/>
        <v>11040</v>
      </c>
      <c r="H29" s="19">
        <f t="shared" si="3"/>
        <v>11520</v>
      </c>
    </row>
    <row r="30" spans="1:8" x14ac:dyDescent="0.2">
      <c r="A30" s="46">
        <v>26</v>
      </c>
      <c r="B30" s="47">
        <f>DATE(2026,9,1)+9</f>
        <v>46275</v>
      </c>
      <c r="C30" s="14" t="str">
        <f t="shared" si="0"/>
        <v>Jueves</v>
      </c>
      <c r="D30" s="14">
        <f>MOD(25,3)+1</f>
        <v>2</v>
      </c>
      <c r="E30" s="10">
        <f t="shared" si="1"/>
        <v>1</v>
      </c>
      <c r="F30" s="10">
        <f>IF($E30=0,"",SUM($E$5:$E30))</f>
        <v>25</v>
      </c>
      <c r="G30" s="19">
        <f t="shared" si="2"/>
        <v>11520</v>
      </c>
      <c r="H30" s="19">
        <f t="shared" si="3"/>
        <v>12000</v>
      </c>
    </row>
    <row r="31" spans="1:8" x14ac:dyDescent="0.2">
      <c r="A31" s="46">
        <v>27</v>
      </c>
      <c r="B31" s="47">
        <f>DATE(2026,9,1)+9</f>
        <v>46275</v>
      </c>
      <c r="C31" s="14" t="str">
        <f t="shared" si="0"/>
        <v>Jueves</v>
      </c>
      <c r="D31" s="14">
        <f>MOD(26,3)+1</f>
        <v>3</v>
      </c>
      <c r="E31" s="10">
        <f t="shared" si="1"/>
        <v>1</v>
      </c>
      <c r="F31" s="10">
        <f>IF($E31=0,"",SUM($E$5:$E31))</f>
        <v>26</v>
      </c>
      <c r="G31" s="19">
        <f t="shared" si="2"/>
        <v>12000</v>
      </c>
      <c r="H31" s="19">
        <f t="shared" si="3"/>
        <v>12480</v>
      </c>
    </row>
    <row r="32" spans="1:8" x14ac:dyDescent="0.2">
      <c r="A32" s="46">
        <v>28</v>
      </c>
      <c r="B32" s="47">
        <f>DATE(2026,9,1)+10</f>
        <v>46276</v>
      </c>
      <c r="C32" s="14" t="str">
        <f t="shared" si="0"/>
        <v>Viernes</v>
      </c>
      <c r="D32" s="14">
        <f>MOD(27,3)+1</f>
        <v>1</v>
      </c>
      <c r="E32" s="10">
        <f t="shared" si="1"/>
        <v>1</v>
      </c>
      <c r="F32" s="10">
        <f>IF($E32=0,"",SUM($E$5:$E32))</f>
        <v>27</v>
      </c>
      <c r="G32" s="19">
        <f t="shared" si="2"/>
        <v>12480</v>
      </c>
      <c r="H32" s="19">
        <f t="shared" si="3"/>
        <v>12960</v>
      </c>
    </row>
    <row r="33" spans="1:8" x14ac:dyDescent="0.2">
      <c r="A33" s="46">
        <v>29</v>
      </c>
      <c r="B33" s="47">
        <f>DATE(2026,9,1)+10</f>
        <v>46276</v>
      </c>
      <c r="C33" s="14" t="str">
        <f t="shared" si="0"/>
        <v>Viernes</v>
      </c>
      <c r="D33" s="14">
        <f>MOD(28,3)+1</f>
        <v>2</v>
      </c>
      <c r="E33" s="10">
        <f t="shared" si="1"/>
        <v>1</v>
      </c>
      <c r="F33" s="10">
        <f>IF($E33=0,"",SUM($E$5:$E33))</f>
        <v>28</v>
      </c>
      <c r="G33" s="19">
        <f t="shared" si="2"/>
        <v>12960</v>
      </c>
      <c r="H33" s="19">
        <f t="shared" si="3"/>
        <v>13440</v>
      </c>
    </row>
    <row r="34" spans="1:8" x14ac:dyDescent="0.2">
      <c r="A34" s="46">
        <v>30</v>
      </c>
      <c r="B34" s="47">
        <f>DATE(2026,9,1)+10</f>
        <v>46276</v>
      </c>
      <c r="C34" s="14" t="str">
        <f t="shared" si="0"/>
        <v>Viernes</v>
      </c>
      <c r="D34" s="14">
        <f>MOD(29,3)+1</f>
        <v>3</v>
      </c>
      <c r="E34" s="10">
        <f t="shared" si="1"/>
        <v>1</v>
      </c>
      <c r="F34" s="10">
        <f>IF($E34=0,"",SUM($E$5:$E34))</f>
        <v>29</v>
      </c>
      <c r="G34" s="19">
        <f t="shared" si="2"/>
        <v>13440</v>
      </c>
      <c r="H34" s="19">
        <f t="shared" si="3"/>
        <v>13920</v>
      </c>
    </row>
    <row r="35" spans="1:8" x14ac:dyDescent="0.2">
      <c r="A35" s="46">
        <v>31</v>
      </c>
      <c r="B35" s="47">
        <f>DATE(2026,9,1)+11</f>
        <v>46277</v>
      </c>
      <c r="C35" s="14" t="str">
        <f t="shared" si="0"/>
        <v>Sábado</v>
      </c>
      <c r="D35" s="14">
        <f>MOD(30,3)+1</f>
        <v>1</v>
      </c>
      <c r="E35" s="10">
        <f t="shared" si="1"/>
        <v>1</v>
      </c>
      <c r="F35" s="10">
        <f>IF($E35=0,"",SUM($E$5:$E35))</f>
        <v>30</v>
      </c>
      <c r="G35" s="19">
        <f t="shared" si="2"/>
        <v>13920</v>
      </c>
      <c r="H35" s="19">
        <f t="shared" si="3"/>
        <v>14400</v>
      </c>
    </row>
    <row r="36" spans="1:8" x14ac:dyDescent="0.2">
      <c r="A36" s="46">
        <v>32</v>
      </c>
      <c r="B36" s="47">
        <f>DATE(2026,9,1)+11</f>
        <v>46277</v>
      </c>
      <c r="C36" s="14" t="str">
        <f t="shared" si="0"/>
        <v>Sábado</v>
      </c>
      <c r="D36" s="14">
        <f>MOD(31,3)+1</f>
        <v>2</v>
      </c>
      <c r="E36" s="10">
        <f t="shared" si="1"/>
        <v>1</v>
      </c>
      <c r="F36" s="10">
        <f>IF($E36=0,"",SUM($E$5:$E36))</f>
        <v>31</v>
      </c>
      <c r="G36" s="19">
        <f t="shared" si="2"/>
        <v>14400</v>
      </c>
      <c r="H36" s="19">
        <f t="shared" si="3"/>
        <v>14880</v>
      </c>
    </row>
    <row r="37" spans="1:8" x14ac:dyDescent="0.2">
      <c r="A37" s="46">
        <v>33</v>
      </c>
      <c r="B37" s="47">
        <f>DATE(2026,9,1)+11</f>
        <v>46277</v>
      </c>
      <c r="C37" s="14" t="str">
        <f t="shared" ref="C37:C68" si="4">CHOOSE(WEEKDAY(B37,2),"Lunes","Martes","Miércoles","Jueves","Viernes","Sábado","Domingo")</f>
        <v>Sábado</v>
      </c>
      <c r="D37" s="14">
        <f>MOD(32,3)+1</f>
        <v>3</v>
      </c>
      <c r="E37" s="10">
        <f t="shared" ref="E37:E68" si="5">IF(AND(WEEKDAY($B37,2)=6,$D37=3),0,1)</f>
        <v>0</v>
      </c>
      <c r="F37" s="10" t="str">
        <f>IF($E37=0,"",SUM($E$5:$E37))</f>
        <v/>
      </c>
      <c r="G37" s="19" t="str">
        <f t="shared" ref="G37:G68" si="6">IF($E37=0,"",($F37-1)*480)</f>
        <v/>
      </c>
      <c r="H37" s="19" t="str">
        <f t="shared" ref="H37:H68" si="7">IF($E37=0,"",$F37*480)</f>
        <v/>
      </c>
    </row>
    <row r="38" spans="1:8" x14ac:dyDescent="0.2">
      <c r="A38" s="46">
        <v>34</v>
      </c>
      <c r="B38" s="47">
        <f>DATE(2026,9,1)+13</f>
        <v>46279</v>
      </c>
      <c r="C38" s="14" t="str">
        <f t="shared" si="4"/>
        <v>Lunes</v>
      </c>
      <c r="D38" s="14">
        <f>MOD(33,3)+1</f>
        <v>1</v>
      </c>
      <c r="E38" s="10">
        <f t="shared" si="5"/>
        <v>1</v>
      </c>
      <c r="F38" s="10">
        <f>IF($E38=0,"",SUM($E$5:$E38))</f>
        <v>32</v>
      </c>
      <c r="G38" s="19">
        <f t="shared" si="6"/>
        <v>14880</v>
      </c>
      <c r="H38" s="19">
        <f t="shared" si="7"/>
        <v>15360</v>
      </c>
    </row>
    <row r="39" spans="1:8" x14ac:dyDescent="0.2">
      <c r="A39" s="46">
        <v>35</v>
      </c>
      <c r="B39" s="47">
        <f>DATE(2026,9,1)+13</f>
        <v>46279</v>
      </c>
      <c r="C39" s="14" t="str">
        <f t="shared" si="4"/>
        <v>Lunes</v>
      </c>
      <c r="D39" s="14">
        <f>MOD(34,3)+1</f>
        <v>2</v>
      </c>
      <c r="E39" s="10">
        <f t="shared" si="5"/>
        <v>1</v>
      </c>
      <c r="F39" s="10">
        <f>IF($E39=0,"",SUM($E$5:$E39))</f>
        <v>33</v>
      </c>
      <c r="G39" s="19">
        <f t="shared" si="6"/>
        <v>15360</v>
      </c>
      <c r="H39" s="19">
        <f t="shared" si="7"/>
        <v>15840</v>
      </c>
    </row>
    <row r="40" spans="1:8" x14ac:dyDescent="0.2">
      <c r="A40" s="46">
        <v>36</v>
      </c>
      <c r="B40" s="47">
        <f>DATE(2026,9,1)+13</f>
        <v>46279</v>
      </c>
      <c r="C40" s="14" t="str">
        <f t="shared" si="4"/>
        <v>Lunes</v>
      </c>
      <c r="D40" s="14">
        <f>MOD(35,3)+1</f>
        <v>3</v>
      </c>
      <c r="E40" s="10">
        <f t="shared" si="5"/>
        <v>1</v>
      </c>
      <c r="F40" s="10">
        <f>IF($E40=0,"",SUM($E$5:$E40))</f>
        <v>34</v>
      </c>
      <c r="G40" s="19">
        <f t="shared" si="6"/>
        <v>15840</v>
      </c>
      <c r="H40" s="19">
        <f t="shared" si="7"/>
        <v>16320</v>
      </c>
    </row>
    <row r="41" spans="1:8" x14ac:dyDescent="0.2">
      <c r="A41" s="46">
        <v>37</v>
      </c>
      <c r="B41" s="47">
        <f>DATE(2026,9,1)+14</f>
        <v>46280</v>
      </c>
      <c r="C41" s="14" t="str">
        <f t="shared" si="4"/>
        <v>Martes</v>
      </c>
      <c r="D41" s="14">
        <f>MOD(36,3)+1</f>
        <v>1</v>
      </c>
      <c r="E41" s="10">
        <f t="shared" si="5"/>
        <v>1</v>
      </c>
      <c r="F41" s="10">
        <f>IF($E41=0,"",SUM($E$5:$E41))</f>
        <v>35</v>
      </c>
      <c r="G41" s="19">
        <f t="shared" si="6"/>
        <v>16320</v>
      </c>
      <c r="H41" s="19">
        <f t="shared" si="7"/>
        <v>16800</v>
      </c>
    </row>
    <row r="42" spans="1:8" x14ac:dyDescent="0.2">
      <c r="A42" s="46">
        <v>38</v>
      </c>
      <c r="B42" s="47">
        <f>DATE(2026,9,1)+14</f>
        <v>46280</v>
      </c>
      <c r="C42" s="14" t="str">
        <f t="shared" si="4"/>
        <v>Martes</v>
      </c>
      <c r="D42" s="14">
        <f>MOD(37,3)+1</f>
        <v>2</v>
      </c>
      <c r="E42" s="10">
        <f t="shared" si="5"/>
        <v>1</v>
      </c>
      <c r="F42" s="10">
        <f>IF($E42=0,"",SUM($E$5:$E42))</f>
        <v>36</v>
      </c>
      <c r="G42" s="19">
        <f t="shared" si="6"/>
        <v>16800</v>
      </c>
      <c r="H42" s="19">
        <f t="shared" si="7"/>
        <v>17280</v>
      </c>
    </row>
    <row r="43" spans="1:8" x14ac:dyDescent="0.2">
      <c r="A43" s="46">
        <v>39</v>
      </c>
      <c r="B43" s="47">
        <f>DATE(2026,9,1)+14</f>
        <v>46280</v>
      </c>
      <c r="C43" s="14" t="str">
        <f t="shared" si="4"/>
        <v>Martes</v>
      </c>
      <c r="D43" s="14">
        <f>MOD(38,3)+1</f>
        <v>3</v>
      </c>
      <c r="E43" s="10">
        <f t="shared" si="5"/>
        <v>1</v>
      </c>
      <c r="F43" s="10">
        <f>IF($E43=0,"",SUM($E$5:$E43))</f>
        <v>37</v>
      </c>
      <c r="G43" s="19">
        <f t="shared" si="6"/>
        <v>17280</v>
      </c>
      <c r="H43" s="19">
        <f t="shared" si="7"/>
        <v>17760</v>
      </c>
    </row>
    <row r="44" spans="1:8" x14ac:dyDescent="0.2">
      <c r="A44" s="46">
        <v>40</v>
      </c>
      <c r="B44" s="47">
        <f>DATE(2026,9,1)+15</f>
        <v>46281</v>
      </c>
      <c r="C44" s="14" t="str">
        <f t="shared" si="4"/>
        <v>Miércoles</v>
      </c>
      <c r="D44" s="14">
        <f>MOD(39,3)+1</f>
        <v>1</v>
      </c>
      <c r="E44" s="10">
        <f t="shared" si="5"/>
        <v>1</v>
      </c>
      <c r="F44" s="10">
        <f>IF($E44=0,"",SUM($E$5:$E44))</f>
        <v>38</v>
      </c>
      <c r="G44" s="19">
        <f t="shared" si="6"/>
        <v>17760</v>
      </c>
      <c r="H44" s="19">
        <f t="shared" si="7"/>
        <v>18240</v>
      </c>
    </row>
    <row r="45" spans="1:8" x14ac:dyDescent="0.2">
      <c r="A45" s="46">
        <v>41</v>
      </c>
      <c r="B45" s="47">
        <f>DATE(2026,9,1)+15</f>
        <v>46281</v>
      </c>
      <c r="C45" s="14" t="str">
        <f t="shared" si="4"/>
        <v>Miércoles</v>
      </c>
      <c r="D45" s="14">
        <f>MOD(40,3)+1</f>
        <v>2</v>
      </c>
      <c r="E45" s="10">
        <f t="shared" si="5"/>
        <v>1</v>
      </c>
      <c r="F45" s="10">
        <f>IF($E45=0,"",SUM($E$5:$E45))</f>
        <v>39</v>
      </c>
      <c r="G45" s="19">
        <f t="shared" si="6"/>
        <v>18240</v>
      </c>
      <c r="H45" s="19">
        <f t="shared" si="7"/>
        <v>18720</v>
      </c>
    </row>
    <row r="46" spans="1:8" x14ac:dyDescent="0.2">
      <c r="A46" s="46">
        <v>42</v>
      </c>
      <c r="B46" s="47">
        <f>DATE(2026,9,1)+15</f>
        <v>46281</v>
      </c>
      <c r="C46" s="14" t="str">
        <f t="shared" si="4"/>
        <v>Miércoles</v>
      </c>
      <c r="D46" s="14">
        <f>MOD(41,3)+1</f>
        <v>3</v>
      </c>
      <c r="E46" s="10">
        <f t="shared" si="5"/>
        <v>1</v>
      </c>
      <c r="F46" s="10">
        <f>IF($E46=0,"",SUM($E$5:$E46))</f>
        <v>40</v>
      </c>
      <c r="G46" s="19">
        <f t="shared" si="6"/>
        <v>18720</v>
      </c>
      <c r="H46" s="19">
        <f t="shared" si="7"/>
        <v>19200</v>
      </c>
    </row>
    <row r="47" spans="1:8" x14ac:dyDescent="0.2">
      <c r="A47" s="46">
        <v>43</v>
      </c>
      <c r="B47" s="47">
        <f>DATE(2026,9,1)+16</f>
        <v>46282</v>
      </c>
      <c r="C47" s="14" t="str">
        <f t="shared" si="4"/>
        <v>Jueves</v>
      </c>
      <c r="D47" s="14">
        <f>MOD(42,3)+1</f>
        <v>1</v>
      </c>
      <c r="E47" s="10">
        <f t="shared" si="5"/>
        <v>1</v>
      </c>
      <c r="F47" s="10">
        <f>IF($E47=0,"",SUM($E$5:$E47))</f>
        <v>41</v>
      </c>
      <c r="G47" s="19">
        <f t="shared" si="6"/>
        <v>19200</v>
      </c>
      <c r="H47" s="19">
        <f t="shared" si="7"/>
        <v>19680</v>
      </c>
    </row>
    <row r="48" spans="1:8" x14ac:dyDescent="0.2">
      <c r="A48" s="46">
        <v>44</v>
      </c>
      <c r="B48" s="47">
        <f>DATE(2026,9,1)+16</f>
        <v>46282</v>
      </c>
      <c r="C48" s="14" t="str">
        <f t="shared" si="4"/>
        <v>Jueves</v>
      </c>
      <c r="D48" s="14">
        <f>MOD(43,3)+1</f>
        <v>2</v>
      </c>
      <c r="E48" s="10">
        <f t="shared" si="5"/>
        <v>1</v>
      </c>
      <c r="F48" s="10">
        <f>IF($E48=0,"",SUM($E$5:$E48))</f>
        <v>42</v>
      </c>
      <c r="G48" s="19">
        <f t="shared" si="6"/>
        <v>19680</v>
      </c>
      <c r="H48" s="19">
        <f t="shared" si="7"/>
        <v>20160</v>
      </c>
    </row>
    <row r="49" spans="1:8" x14ac:dyDescent="0.2">
      <c r="A49" s="46">
        <v>45</v>
      </c>
      <c r="B49" s="47">
        <f>DATE(2026,9,1)+16</f>
        <v>46282</v>
      </c>
      <c r="C49" s="14" t="str">
        <f t="shared" si="4"/>
        <v>Jueves</v>
      </c>
      <c r="D49" s="14">
        <f>MOD(44,3)+1</f>
        <v>3</v>
      </c>
      <c r="E49" s="10">
        <f t="shared" si="5"/>
        <v>1</v>
      </c>
      <c r="F49" s="10">
        <f>IF($E49=0,"",SUM($E$5:$E49))</f>
        <v>43</v>
      </c>
      <c r="G49" s="19">
        <f t="shared" si="6"/>
        <v>20160</v>
      </c>
      <c r="H49" s="19">
        <f t="shared" si="7"/>
        <v>20640</v>
      </c>
    </row>
    <row r="50" spans="1:8" x14ac:dyDescent="0.2">
      <c r="A50" s="46">
        <v>46</v>
      </c>
      <c r="B50" s="47">
        <f>DATE(2026,9,1)+17</f>
        <v>46283</v>
      </c>
      <c r="C50" s="14" t="str">
        <f t="shared" si="4"/>
        <v>Viernes</v>
      </c>
      <c r="D50" s="14">
        <f>MOD(45,3)+1</f>
        <v>1</v>
      </c>
      <c r="E50" s="10">
        <f t="shared" si="5"/>
        <v>1</v>
      </c>
      <c r="F50" s="10">
        <f>IF($E50=0,"",SUM($E$5:$E50))</f>
        <v>44</v>
      </c>
      <c r="G50" s="19">
        <f t="shared" si="6"/>
        <v>20640</v>
      </c>
      <c r="H50" s="19">
        <f t="shared" si="7"/>
        <v>21120</v>
      </c>
    </row>
    <row r="51" spans="1:8" x14ac:dyDescent="0.2">
      <c r="A51" s="46">
        <v>47</v>
      </c>
      <c r="B51" s="47">
        <f>DATE(2026,9,1)+17</f>
        <v>46283</v>
      </c>
      <c r="C51" s="14" t="str">
        <f t="shared" si="4"/>
        <v>Viernes</v>
      </c>
      <c r="D51" s="14">
        <f>MOD(46,3)+1</f>
        <v>2</v>
      </c>
      <c r="E51" s="10">
        <f t="shared" si="5"/>
        <v>1</v>
      </c>
      <c r="F51" s="10">
        <f>IF($E51=0,"",SUM($E$5:$E51))</f>
        <v>45</v>
      </c>
      <c r="G51" s="19">
        <f t="shared" si="6"/>
        <v>21120</v>
      </c>
      <c r="H51" s="19">
        <f t="shared" si="7"/>
        <v>21600</v>
      </c>
    </row>
    <row r="52" spans="1:8" x14ac:dyDescent="0.2">
      <c r="A52" s="46">
        <v>48</v>
      </c>
      <c r="B52" s="47">
        <f>DATE(2026,9,1)+17</f>
        <v>46283</v>
      </c>
      <c r="C52" s="14" t="str">
        <f t="shared" si="4"/>
        <v>Viernes</v>
      </c>
      <c r="D52" s="14">
        <f>MOD(47,3)+1</f>
        <v>3</v>
      </c>
      <c r="E52" s="10">
        <f t="shared" si="5"/>
        <v>1</v>
      </c>
      <c r="F52" s="10">
        <f>IF($E52=0,"",SUM($E$5:$E52))</f>
        <v>46</v>
      </c>
      <c r="G52" s="19">
        <f t="shared" si="6"/>
        <v>21600</v>
      </c>
      <c r="H52" s="19">
        <f t="shared" si="7"/>
        <v>22080</v>
      </c>
    </row>
    <row r="53" spans="1:8" x14ac:dyDescent="0.2">
      <c r="A53" s="46">
        <v>49</v>
      </c>
      <c r="B53" s="47">
        <f>DATE(2026,9,1)+18</f>
        <v>46284</v>
      </c>
      <c r="C53" s="14" t="str">
        <f t="shared" si="4"/>
        <v>Sábado</v>
      </c>
      <c r="D53" s="14">
        <f>MOD(48,3)+1</f>
        <v>1</v>
      </c>
      <c r="E53" s="10">
        <f t="shared" si="5"/>
        <v>1</v>
      </c>
      <c r="F53" s="10">
        <f>IF($E53=0,"",SUM($E$5:$E53))</f>
        <v>47</v>
      </c>
      <c r="G53" s="19">
        <f t="shared" si="6"/>
        <v>22080</v>
      </c>
      <c r="H53" s="19">
        <f t="shared" si="7"/>
        <v>22560</v>
      </c>
    </row>
    <row r="54" spans="1:8" x14ac:dyDescent="0.2">
      <c r="A54" s="46">
        <v>50</v>
      </c>
      <c r="B54" s="47">
        <f>DATE(2026,9,1)+18</f>
        <v>46284</v>
      </c>
      <c r="C54" s="14" t="str">
        <f t="shared" si="4"/>
        <v>Sábado</v>
      </c>
      <c r="D54" s="14">
        <f>MOD(49,3)+1</f>
        <v>2</v>
      </c>
      <c r="E54" s="10">
        <f t="shared" si="5"/>
        <v>1</v>
      </c>
      <c r="F54" s="10">
        <f>IF($E54=0,"",SUM($E$5:$E54))</f>
        <v>48</v>
      </c>
      <c r="G54" s="19">
        <f t="shared" si="6"/>
        <v>22560</v>
      </c>
      <c r="H54" s="19">
        <f t="shared" si="7"/>
        <v>23040</v>
      </c>
    </row>
    <row r="55" spans="1:8" x14ac:dyDescent="0.2">
      <c r="A55" s="46">
        <v>51</v>
      </c>
      <c r="B55" s="47">
        <f>DATE(2026,9,1)+18</f>
        <v>46284</v>
      </c>
      <c r="C55" s="14" t="str">
        <f t="shared" si="4"/>
        <v>Sábado</v>
      </c>
      <c r="D55" s="14">
        <f>MOD(50,3)+1</f>
        <v>3</v>
      </c>
      <c r="E55" s="10">
        <f t="shared" si="5"/>
        <v>0</v>
      </c>
      <c r="F55" s="10" t="str">
        <f>IF($E55=0,"",SUM($E$5:$E55))</f>
        <v/>
      </c>
      <c r="G55" s="19" t="str">
        <f t="shared" si="6"/>
        <v/>
      </c>
      <c r="H55" s="19" t="str">
        <f t="shared" si="7"/>
        <v/>
      </c>
    </row>
    <row r="56" spans="1:8" x14ac:dyDescent="0.2">
      <c r="A56" s="46">
        <v>52</v>
      </c>
      <c r="B56" s="47">
        <f>DATE(2026,9,1)+20</f>
        <v>46286</v>
      </c>
      <c r="C56" s="14" t="str">
        <f t="shared" si="4"/>
        <v>Lunes</v>
      </c>
      <c r="D56" s="14">
        <f>MOD(51,3)+1</f>
        <v>1</v>
      </c>
      <c r="E56" s="10">
        <f t="shared" si="5"/>
        <v>1</v>
      </c>
      <c r="F56" s="10">
        <f>IF($E56=0,"",SUM($E$5:$E56))</f>
        <v>49</v>
      </c>
      <c r="G56" s="19">
        <f t="shared" si="6"/>
        <v>23040</v>
      </c>
      <c r="H56" s="19">
        <f t="shared" si="7"/>
        <v>23520</v>
      </c>
    </row>
    <row r="57" spans="1:8" x14ac:dyDescent="0.2">
      <c r="A57" s="46">
        <v>53</v>
      </c>
      <c r="B57" s="47">
        <f>DATE(2026,9,1)+20</f>
        <v>46286</v>
      </c>
      <c r="C57" s="14" t="str">
        <f t="shared" si="4"/>
        <v>Lunes</v>
      </c>
      <c r="D57" s="14">
        <f>MOD(52,3)+1</f>
        <v>2</v>
      </c>
      <c r="E57" s="10">
        <f t="shared" si="5"/>
        <v>1</v>
      </c>
      <c r="F57" s="10">
        <f>IF($E57=0,"",SUM($E$5:$E57))</f>
        <v>50</v>
      </c>
      <c r="G57" s="19">
        <f t="shared" si="6"/>
        <v>23520</v>
      </c>
      <c r="H57" s="19">
        <f t="shared" si="7"/>
        <v>24000</v>
      </c>
    </row>
    <row r="58" spans="1:8" x14ac:dyDescent="0.2">
      <c r="A58" s="46">
        <v>54</v>
      </c>
      <c r="B58" s="47">
        <f>DATE(2026,9,1)+20</f>
        <v>46286</v>
      </c>
      <c r="C58" s="14" t="str">
        <f t="shared" si="4"/>
        <v>Lunes</v>
      </c>
      <c r="D58" s="14">
        <f>MOD(53,3)+1</f>
        <v>3</v>
      </c>
      <c r="E58" s="10">
        <f t="shared" si="5"/>
        <v>1</v>
      </c>
      <c r="F58" s="10">
        <f>IF($E58=0,"",SUM($E$5:$E58))</f>
        <v>51</v>
      </c>
      <c r="G58" s="19">
        <f t="shared" si="6"/>
        <v>24000</v>
      </c>
      <c r="H58" s="19">
        <f t="shared" si="7"/>
        <v>24480</v>
      </c>
    </row>
    <row r="59" spans="1:8" x14ac:dyDescent="0.2">
      <c r="A59" s="46">
        <v>55</v>
      </c>
      <c r="B59" s="47">
        <f>DATE(2026,9,1)+21</f>
        <v>46287</v>
      </c>
      <c r="C59" s="14" t="str">
        <f t="shared" si="4"/>
        <v>Martes</v>
      </c>
      <c r="D59" s="14">
        <f>MOD(54,3)+1</f>
        <v>1</v>
      </c>
      <c r="E59" s="10">
        <f t="shared" si="5"/>
        <v>1</v>
      </c>
      <c r="F59" s="10">
        <f>IF($E59=0,"",SUM($E$5:$E59))</f>
        <v>52</v>
      </c>
      <c r="G59" s="19">
        <f t="shared" si="6"/>
        <v>24480</v>
      </c>
      <c r="H59" s="19">
        <f t="shared" si="7"/>
        <v>24960</v>
      </c>
    </row>
    <row r="60" spans="1:8" x14ac:dyDescent="0.2">
      <c r="A60" s="46">
        <v>56</v>
      </c>
      <c r="B60" s="47">
        <f>DATE(2026,9,1)+21</f>
        <v>46287</v>
      </c>
      <c r="C60" s="14" t="str">
        <f t="shared" si="4"/>
        <v>Martes</v>
      </c>
      <c r="D60" s="14">
        <f>MOD(55,3)+1</f>
        <v>2</v>
      </c>
      <c r="E60" s="10">
        <f t="shared" si="5"/>
        <v>1</v>
      </c>
      <c r="F60" s="10">
        <f>IF($E60=0,"",SUM($E$5:$E60))</f>
        <v>53</v>
      </c>
      <c r="G60" s="19">
        <f t="shared" si="6"/>
        <v>24960</v>
      </c>
      <c r="H60" s="19">
        <f t="shared" si="7"/>
        <v>25440</v>
      </c>
    </row>
    <row r="61" spans="1:8" x14ac:dyDescent="0.2">
      <c r="A61" s="46">
        <v>57</v>
      </c>
      <c r="B61" s="47">
        <f>DATE(2026,9,1)+21</f>
        <v>46287</v>
      </c>
      <c r="C61" s="14" t="str">
        <f t="shared" si="4"/>
        <v>Martes</v>
      </c>
      <c r="D61" s="14">
        <f>MOD(56,3)+1</f>
        <v>3</v>
      </c>
      <c r="E61" s="10">
        <f t="shared" si="5"/>
        <v>1</v>
      </c>
      <c r="F61" s="10">
        <f>IF($E61=0,"",SUM($E$5:$E61))</f>
        <v>54</v>
      </c>
      <c r="G61" s="19">
        <f t="shared" si="6"/>
        <v>25440</v>
      </c>
      <c r="H61" s="19">
        <f t="shared" si="7"/>
        <v>25920</v>
      </c>
    </row>
    <row r="62" spans="1:8" x14ac:dyDescent="0.2">
      <c r="A62" s="46">
        <v>58</v>
      </c>
      <c r="B62" s="47">
        <f>DATE(2026,9,1)+22</f>
        <v>46288</v>
      </c>
      <c r="C62" s="14" t="str">
        <f t="shared" si="4"/>
        <v>Miércoles</v>
      </c>
      <c r="D62" s="14">
        <f>MOD(57,3)+1</f>
        <v>1</v>
      </c>
      <c r="E62" s="10">
        <f t="shared" si="5"/>
        <v>1</v>
      </c>
      <c r="F62" s="10">
        <f>IF($E62=0,"",SUM($E$5:$E62))</f>
        <v>55</v>
      </c>
      <c r="G62" s="19">
        <f t="shared" si="6"/>
        <v>25920</v>
      </c>
      <c r="H62" s="19">
        <f t="shared" si="7"/>
        <v>26400</v>
      </c>
    </row>
    <row r="63" spans="1:8" x14ac:dyDescent="0.2">
      <c r="A63" s="46">
        <v>59</v>
      </c>
      <c r="B63" s="47">
        <f>DATE(2026,9,1)+22</f>
        <v>46288</v>
      </c>
      <c r="C63" s="14" t="str">
        <f t="shared" si="4"/>
        <v>Miércoles</v>
      </c>
      <c r="D63" s="14">
        <f>MOD(58,3)+1</f>
        <v>2</v>
      </c>
      <c r="E63" s="10">
        <f t="shared" si="5"/>
        <v>1</v>
      </c>
      <c r="F63" s="10">
        <f>IF($E63=0,"",SUM($E$5:$E63))</f>
        <v>56</v>
      </c>
      <c r="G63" s="19">
        <f t="shared" si="6"/>
        <v>26400</v>
      </c>
      <c r="H63" s="19">
        <f t="shared" si="7"/>
        <v>26880</v>
      </c>
    </row>
    <row r="64" spans="1:8" x14ac:dyDescent="0.2">
      <c r="A64" s="46">
        <v>60</v>
      </c>
      <c r="B64" s="47">
        <f>DATE(2026,9,1)+22</f>
        <v>46288</v>
      </c>
      <c r="C64" s="14" t="str">
        <f t="shared" si="4"/>
        <v>Miércoles</v>
      </c>
      <c r="D64" s="14">
        <f>MOD(59,3)+1</f>
        <v>3</v>
      </c>
      <c r="E64" s="10">
        <f t="shared" si="5"/>
        <v>1</v>
      </c>
      <c r="F64" s="10">
        <f>IF($E64=0,"",SUM($E$5:$E64))</f>
        <v>57</v>
      </c>
      <c r="G64" s="19">
        <f t="shared" si="6"/>
        <v>26880</v>
      </c>
      <c r="H64" s="19">
        <f t="shared" si="7"/>
        <v>27360</v>
      </c>
    </row>
    <row r="65" spans="1:8" x14ac:dyDescent="0.2">
      <c r="A65" s="46">
        <v>61</v>
      </c>
      <c r="B65" s="47">
        <f>DATE(2026,9,1)+23</f>
        <v>46289</v>
      </c>
      <c r="C65" s="14" t="str">
        <f t="shared" si="4"/>
        <v>Jueves</v>
      </c>
      <c r="D65" s="14">
        <f>MOD(60,3)+1</f>
        <v>1</v>
      </c>
      <c r="E65" s="10">
        <f t="shared" si="5"/>
        <v>1</v>
      </c>
      <c r="F65" s="10">
        <f>IF($E65=0,"",SUM($E$5:$E65))</f>
        <v>58</v>
      </c>
      <c r="G65" s="19">
        <f t="shared" si="6"/>
        <v>27360</v>
      </c>
      <c r="H65" s="19">
        <f t="shared" si="7"/>
        <v>27840</v>
      </c>
    </row>
    <row r="66" spans="1:8" x14ac:dyDescent="0.2">
      <c r="A66" s="46">
        <v>62</v>
      </c>
      <c r="B66" s="47">
        <f>DATE(2026,9,1)+23</f>
        <v>46289</v>
      </c>
      <c r="C66" s="14" t="str">
        <f t="shared" si="4"/>
        <v>Jueves</v>
      </c>
      <c r="D66" s="14">
        <f>MOD(61,3)+1</f>
        <v>2</v>
      </c>
      <c r="E66" s="10">
        <f t="shared" si="5"/>
        <v>1</v>
      </c>
      <c r="F66" s="10">
        <f>IF($E66=0,"",SUM($E$5:$E66))</f>
        <v>59</v>
      </c>
      <c r="G66" s="19">
        <f t="shared" si="6"/>
        <v>27840</v>
      </c>
      <c r="H66" s="19">
        <f t="shared" si="7"/>
        <v>28320</v>
      </c>
    </row>
    <row r="67" spans="1:8" x14ac:dyDescent="0.2">
      <c r="A67" s="46">
        <v>63</v>
      </c>
      <c r="B67" s="47">
        <f>DATE(2026,9,1)+23</f>
        <v>46289</v>
      </c>
      <c r="C67" s="14" t="str">
        <f t="shared" si="4"/>
        <v>Jueves</v>
      </c>
      <c r="D67" s="14">
        <f>MOD(62,3)+1</f>
        <v>3</v>
      </c>
      <c r="E67" s="10">
        <f t="shared" si="5"/>
        <v>1</v>
      </c>
      <c r="F67" s="10">
        <f>IF($E67=0,"",SUM($E$5:$E67))</f>
        <v>60</v>
      </c>
      <c r="G67" s="19">
        <f t="shared" si="6"/>
        <v>28320</v>
      </c>
      <c r="H67" s="19">
        <f t="shared" si="7"/>
        <v>28800</v>
      </c>
    </row>
    <row r="68" spans="1:8" x14ac:dyDescent="0.2">
      <c r="A68" s="46">
        <v>64</v>
      </c>
      <c r="B68" s="47">
        <f>DATE(2026,9,1)+24</f>
        <v>46290</v>
      </c>
      <c r="C68" s="14" t="str">
        <f t="shared" si="4"/>
        <v>Viernes</v>
      </c>
      <c r="D68" s="14">
        <f>MOD(63,3)+1</f>
        <v>1</v>
      </c>
      <c r="E68" s="10">
        <f t="shared" si="5"/>
        <v>1</v>
      </c>
      <c r="F68" s="10">
        <f>IF($E68=0,"",SUM($E$5:$E68))</f>
        <v>61</v>
      </c>
      <c r="G68" s="19">
        <f t="shared" si="6"/>
        <v>28800</v>
      </c>
      <c r="H68" s="19">
        <f t="shared" si="7"/>
        <v>29280</v>
      </c>
    </row>
    <row r="69" spans="1:8" x14ac:dyDescent="0.2">
      <c r="A69" s="46">
        <v>65</v>
      </c>
      <c r="B69" s="47">
        <f>DATE(2026,9,1)+24</f>
        <v>46290</v>
      </c>
      <c r="C69" s="14" t="str">
        <f t="shared" ref="C69:C82" si="8">CHOOSE(WEEKDAY(B69,2),"Lunes","Martes","Miércoles","Jueves","Viernes","Sábado","Domingo")</f>
        <v>Viernes</v>
      </c>
      <c r="D69" s="14">
        <f>MOD(64,3)+1</f>
        <v>2</v>
      </c>
      <c r="E69" s="10">
        <f t="shared" ref="E69:E82" si="9">IF(AND(WEEKDAY($B69,2)=6,$D69=3),0,1)</f>
        <v>1</v>
      </c>
      <c r="F69" s="10">
        <f>IF($E69=0,"",SUM($E$5:$E69))</f>
        <v>62</v>
      </c>
      <c r="G69" s="19">
        <f t="shared" ref="G69:G82" si="10">IF($E69=0,"",($F69-1)*480)</f>
        <v>29280</v>
      </c>
      <c r="H69" s="19">
        <f t="shared" ref="H69:H82" si="11">IF($E69=0,"",$F69*480)</f>
        <v>29760</v>
      </c>
    </row>
    <row r="70" spans="1:8" x14ac:dyDescent="0.2">
      <c r="A70" s="46">
        <v>66</v>
      </c>
      <c r="B70" s="47">
        <f>DATE(2026,9,1)+24</f>
        <v>46290</v>
      </c>
      <c r="C70" s="14" t="str">
        <f t="shared" si="8"/>
        <v>Viernes</v>
      </c>
      <c r="D70" s="14">
        <f>MOD(65,3)+1</f>
        <v>3</v>
      </c>
      <c r="E70" s="10">
        <f t="shared" si="9"/>
        <v>1</v>
      </c>
      <c r="F70" s="10">
        <f>IF($E70=0,"",SUM($E$5:$E70))</f>
        <v>63</v>
      </c>
      <c r="G70" s="19">
        <f t="shared" si="10"/>
        <v>29760</v>
      </c>
      <c r="H70" s="19">
        <f t="shared" si="11"/>
        <v>30240</v>
      </c>
    </row>
    <row r="71" spans="1:8" x14ac:dyDescent="0.2">
      <c r="A71" s="46">
        <v>67</v>
      </c>
      <c r="B71" s="47">
        <f>DATE(2026,9,1)+25</f>
        <v>46291</v>
      </c>
      <c r="C71" s="14" t="str">
        <f t="shared" si="8"/>
        <v>Sábado</v>
      </c>
      <c r="D71" s="14">
        <f>MOD(66,3)+1</f>
        <v>1</v>
      </c>
      <c r="E71" s="10">
        <f t="shared" si="9"/>
        <v>1</v>
      </c>
      <c r="F71" s="10">
        <f>IF($E71=0,"",SUM($E$5:$E71))</f>
        <v>64</v>
      </c>
      <c r="G71" s="19">
        <f t="shared" si="10"/>
        <v>30240</v>
      </c>
      <c r="H71" s="19">
        <f t="shared" si="11"/>
        <v>30720</v>
      </c>
    </row>
    <row r="72" spans="1:8" x14ac:dyDescent="0.2">
      <c r="A72" s="46">
        <v>68</v>
      </c>
      <c r="B72" s="47">
        <f>DATE(2026,9,1)+25</f>
        <v>46291</v>
      </c>
      <c r="C72" s="14" t="str">
        <f t="shared" si="8"/>
        <v>Sábado</v>
      </c>
      <c r="D72" s="14">
        <f>MOD(67,3)+1</f>
        <v>2</v>
      </c>
      <c r="E72" s="10">
        <f t="shared" si="9"/>
        <v>1</v>
      </c>
      <c r="F72" s="10">
        <f>IF($E72=0,"",SUM($E$5:$E72))</f>
        <v>65</v>
      </c>
      <c r="G72" s="19">
        <f t="shared" si="10"/>
        <v>30720</v>
      </c>
      <c r="H72" s="19">
        <f t="shared" si="11"/>
        <v>31200</v>
      </c>
    </row>
    <row r="73" spans="1:8" x14ac:dyDescent="0.2">
      <c r="A73" s="46">
        <v>69</v>
      </c>
      <c r="B73" s="47">
        <f>DATE(2026,9,1)+25</f>
        <v>46291</v>
      </c>
      <c r="C73" s="14" t="str">
        <f t="shared" si="8"/>
        <v>Sábado</v>
      </c>
      <c r="D73" s="14">
        <f>MOD(68,3)+1</f>
        <v>3</v>
      </c>
      <c r="E73" s="10">
        <f t="shared" si="9"/>
        <v>0</v>
      </c>
      <c r="F73" s="10" t="str">
        <f>IF($E73=0,"",SUM($E$5:$E73))</f>
        <v/>
      </c>
      <c r="G73" s="19" t="str">
        <f t="shared" si="10"/>
        <v/>
      </c>
      <c r="H73" s="19" t="str">
        <f t="shared" si="11"/>
        <v/>
      </c>
    </row>
    <row r="74" spans="1:8" x14ac:dyDescent="0.2">
      <c r="A74" s="46">
        <v>70</v>
      </c>
      <c r="B74" s="47">
        <f>DATE(2026,9,1)+27</f>
        <v>46293</v>
      </c>
      <c r="C74" s="14" t="str">
        <f t="shared" si="8"/>
        <v>Lunes</v>
      </c>
      <c r="D74" s="14">
        <f>MOD(69,3)+1</f>
        <v>1</v>
      </c>
      <c r="E74" s="10">
        <f t="shared" si="9"/>
        <v>1</v>
      </c>
      <c r="F74" s="10">
        <f>IF($E74=0,"",SUM($E$5:$E74))</f>
        <v>66</v>
      </c>
      <c r="G74" s="19">
        <f t="shared" si="10"/>
        <v>31200</v>
      </c>
      <c r="H74" s="19">
        <f t="shared" si="11"/>
        <v>31680</v>
      </c>
    </row>
    <row r="75" spans="1:8" x14ac:dyDescent="0.2">
      <c r="A75" s="46">
        <v>71</v>
      </c>
      <c r="B75" s="47">
        <f>DATE(2026,9,1)+27</f>
        <v>46293</v>
      </c>
      <c r="C75" s="14" t="str">
        <f t="shared" si="8"/>
        <v>Lunes</v>
      </c>
      <c r="D75" s="14">
        <f>MOD(70,3)+1</f>
        <v>2</v>
      </c>
      <c r="E75" s="10">
        <f t="shared" si="9"/>
        <v>1</v>
      </c>
      <c r="F75" s="10">
        <f>IF($E75=0,"",SUM($E$5:$E75))</f>
        <v>67</v>
      </c>
      <c r="G75" s="19">
        <f t="shared" si="10"/>
        <v>31680</v>
      </c>
      <c r="H75" s="19">
        <f t="shared" si="11"/>
        <v>32160</v>
      </c>
    </row>
    <row r="76" spans="1:8" x14ac:dyDescent="0.2">
      <c r="A76" s="46">
        <v>72</v>
      </c>
      <c r="B76" s="47">
        <f>DATE(2026,9,1)+27</f>
        <v>46293</v>
      </c>
      <c r="C76" s="14" t="str">
        <f t="shared" si="8"/>
        <v>Lunes</v>
      </c>
      <c r="D76" s="14">
        <f>MOD(71,3)+1</f>
        <v>3</v>
      </c>
      <c r="E76" s="10">
        <f t="shared" si="9"/>
        <v>1</v>
      </c>
      <c r="F76" s="10">
        <f>IF($E76=0,"",SUM($E$5:$E76))</f>
        <v>68</v>
      </c>
      <c r="G76" s="19">
        <f t="shared" si="10"/>
        <v>32160</v>
      </c>
      <c r="H76" s="19">
        <f t="shared" si="11"/>
        <v>32640</v>
      </c>
    </row>
    <row r="77" spans="1:8" x14ac:dyDescent="0.2">
      <c r="A77" s="46">
        <v>73</v>
      </c>
      <c r="B77" s="47">
        <f>DATE(2026,9,1)+28</f>
        <v>46294</v>
      </c>
      <c r="C77" s="14" t="str">
        <f t="shared" si="8"/>
        <v>Martes</v>
      </c>
      <c r="D77" s="14">
        <f>MOD(72,3)+1</f>
        <v>1</v>
      </c>
      <c r="E77" s="10">
        <f t="shared" si="9"/>
        <v>1</v>
      </c>
      <c r="F77" s="10">
        <f>IF($E77=0,"",SUM($E$5:$E77))</f>
        <v>69</v>
      </c>
      <c r="G77" s="19">
        <f t="shared" si="10"/>
        <v>32640</v>
      </c>
      <c r="H77" s="19">
        <f t="shared" si="11"/>
        <v>33120</v>
      </c>
    </row>
    <row r="78" spans="1:8" x14ac:dyDescent="0.2">
      <c r="A78" s="46">
        <v>74</v>
      </c>
      <c r="B78" s="47">
        <f>DATE(2026,9,1)+28</f>
        <v>46294</v>
      </c>
      <c r="C78" s="14" t="str">
        <f t="shared" si="8"/>
        <v>Martes</v>
      </c>
      <c r="D78" s="14">
        <f>MOD(73,3)+1</f>
        <v>2</v>
      </c>
      <c r="E78" s="10">
        <f t="shared" si="9"/>
        <v>1</v>
      </c>
      <c r="F78" s="10">
        <f>IF($E78=0,"",SUM($E$5:$E78))</f>
        <v>70</v>
      </c>
      <c r="G78" s="19">
        <f t="shared" si="10"/>
        <v>33120</v>
      </c>
      <c r="H78" s="19">
        <f t="shared" si="11"/>
        <v>33600</v>
      </c>
    </row>
    <row r="79" spans="1:8" x14ac:dyDescent="0.2">
      <c r="A79" s="46">
        <v>75</v>
      </c>
      <c r="B79" s="47">
        <f>DATE(2026,9,1)+28</f>
        <v>46294</v>
      </c>
      <c r="C79" s="14" t="str">
        <f t="shared" si="8"/>
        <v>Martes</v>
      </c>
      <c r="D79" s="14">
        <f>MOD(74,3)+1</f>
        <v>3</v>
      </c>
      <c r="E79" s="10">
        <f t="shared" si="9"/>
        <v>1</v>
      </c>
      <c r="F79" s="10">
        <f>IF($E79=0,"",SUM($E$5:$E79))</f>
        <v>71</v>
      </c>
      <c r="G79" s="19">
        <f t="shared" si="10"/>
        <v>33600</v>
      </c>
      <c r="H79" s="19">
        <f t="shared" si="11"/>
        <v>34080</v>
      </c>
    </row>
    <row r="80" spans="1:8" x14ac:dyDescent="0.2">
      <c r="A80" s="46">
        <v>76</v>
      </c>
      <c r="B80" s="47">
        <f>DATE(2026,9,1)+29</f>
        <v>46295</v>
      </c>
      <c r="C80" s="14" t="str">
        <f t="shared" si="8"/>
        <v>Miércoles</v>
      </c>
      <c r="D80" s="14">
        <f>MOD(75,3)+1</f>
        <v>1</v>
      </c>
      <c r="E80" s="10">
        <f t="shared" si="9"/>
        <v>1</v>
      </c>
      <c r="F80" s="10">
        <f>IF($E80=0,"",SUM($E$5:$E80))</f>
        <v>72</v>
      </c>
      <c r="G80" s="19">
        <f t="shared" si="10"/>
        <v>34080</v>
      </c>
      <c r="H80" s="19">
        <f t="shared" si="11"/>
        <v>34560</v>
      </c>
    </row>
    <row r="81" spans="1:8" x14ac:dyDescent="0.2">
      <c r="A81" s="46">
        <v>77</v>
      </c>
      <c r="B81" s="47">
        <f>DATE(2026,9,1)+29</f>
        <v>46295</v>
      </c>
      <c r="C81" s="14" t="str">
        <f t="shared" si="8"/>
        <v>Miércoles</v>
      </c>
      <c r="D81" s="14">
        <f>MOD(76,3)+1</f>
        <v>2</v>
      </c>
      <c r="E81" s="10">
        <f t="shared" si="9"/>
        <v>1</v>
      </c>
      <c r="F81" s="10">
        <f>IF($E81=0,"",SUM($E$5:$E81))</f>
        <v>73</v>
      </c>
      <c r="G81" s="19">
        <f t="shared" si="10"/>
        <v>34560</v>
      </c>
      <c r="H81" s="19">
        <f t="shared" si="11"/>
        <v>35040</v>
      </c>
    </row>
    <row r="82" spans="1:8" x14ac:dyDescent="0.2">
      <c r="A82" s="46">
        <v>78</v>
      </c>
      <c r="B82" s="47">
        <f>DATE(2026,9,1)+29</f>
        <v>46295</v>
      </c>
      <c r="C82" s="14" t="str">
        <f t="shared" si="8"/>
        <v>Miércoles</v>
      </c>
      <c r="D82" s="14">
        <f>MOD(77,3)+1</f>
        <v>3</v>
      </c>
      <c r="E82" s="10">
        <f t="shared" si="9"/>
        <v>1</v>
      </c>
      <c r="F82" s="10">
        <f>IF($E82=0,"",SUM($E$5:$E82))</f>
        <v>74</v>
      </c>
      <c r="G82" s="19">
        <f t="shared" si="10"/>
        <v>35040</v>
      </c>
      <c r="H82" s="19">
        <f t="shared" si="11"/>
        <v>35520</v>
      </c>
    </row>
    <row r="84" spans="1:8" x14ac:dyDescent="0.2">
      <c r="B84" s="8" t="s">
        <v>256</v>
      </c>
      <c r="D84" s="48">
        <f>1+SUMPRODUCT(--($B$6:$B$82&lt;&gt;$B$5:$B$81))</f>
        <v>26</v>
      </c>
    </row>
    <row r="85" spans="1:8" x14ac:dyDescent="0.2">
      <c r="B85" s="8" t="s">
        <v>257</v>
      </c>
      <c r="D85" s="42">
        <f>SUM($E$5:$E$82)</f>
        <v>74</v>
      </c>
    </row>
    <row r="86" spans="1:8" x14ac:dyDescent="0.2">
      <c r="B86" s="8" t="s">
        <v>258</v>
      </c>
      <c r="D86" s="49">
        <f>$D$85*480</f>
        <v>35520</v>
      </c>
    </row>
  </sheetData>
  <conditionalFormatting sqref="A5:H82">
    <cfRule type="expression" dxfId="12" priority="1">
      <formula>$E5=0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CF30"/>
  <sheetViews>
    <sheetView showGridLines="0" workbookViewId="0">
      <pane xSplit="3" ySplit="6" topLeftCell="D7" activePane="bottomRight" state="frozen"/>
      <selection pane="topRight"/>
      <selection pane="bottomLeft"/>
      <selection pane="bottomRight" activeCell="A2" sqref="A2"/>
    </sheetView>
  </sheetViews>
  <sheetFormatPr baseColWidth="10" defaultColWidth="8.83203125" defaultRowHeight="15" x14ac:dyDescent="0.2"/>
  <cols>
    <col min="1" max="1" width="9" customWidth="1"/>
    <col min="2" max="2" width="38" customWidth="1"/>
    <col min="3" max="3" width="12" customWidth="1"/>
    <col min="4" max="81" width="6.6640625" customWidth="1"/>
    <col min="82" max="83" width="11" customWidth="1"/>
    <col min="84" max="84" width="10" customWidth="1"/>
  </cols>
  <sheetData>
    <row r="1" spans="1:84" ht="26" customHeight="1" x14ac:dyDescent="0.3">
      <c r="A1" s="1" t="s">
        <v>259</v>
      </c>
    </row>
    <row r="2" spans="1:84" x14ac:dyDescent="0.2">
      <c r="A2" s="143" t="s">
        <v>437</v>
      </c>
    </row>
    <row r="4" spans="1:84" ht="24" customHeight="1" x14ac:dyDescent="0.2">
      <c r="A4" s="139"/>
      <c r="B4" s="139"/>
      <c r="C4" s="139"/>
      <c r="D4" s="136" t="str">
        <f>'07_Calendario'!C5</f>
        <v>Martes</v>
      </c>
      <c r="E4" s="136"/>
      <c r="F4" s="136"/>
      <c r="G4" s="137" t="str">
        <f>'07_Calendario'!C8</f>
        <v>Miércoles</v>
      </c>
      <c r="H4" s="137"/>
      <c r="I4" s="137"/>
      <c r="J4" s="136" t="str">
        <f>'07_Calendario'!C11</f>
        <v>Jueves</v>
      </c>
      <c r="K4" s="136"/>
      <c r="L4" s="136"/>
      <c r="M4" s="137" t="str">
        <f>'07_Calendario'!C14</f>
        <v>Viernes</v>
      </c>
      <c r="N4" s="137"/>
      <c r="O4" s="137"/>
      <c r="P4" s="136" t="str">
        <f>'07_Calendario'!C17</f>
        <v>Sábado</v>
      </c>
      <c r="Q4" s="136"/>
      <c r="R4" s="136"/>
      <c r="S4" s="137" t="str">
        <f>'07_Calendario'!C20</f>
        <v>Lunes</v>
      </c>
      <c r="T4" s="137"/>
      <c r="U4" s="137"/>
      <c r="V4" s="136" t="str">
        <f>'07_Calendario'!C23</f>
        <v>Martes</v>
      </c>
      <c r="W4" s="136"/>
      <c r="X4" s="136"/>
      <c r="Y4" s="137" t="str">
        <f>'07_Calendario'!C26</f>
        <v>Miércoles</v>
      </c>
      <c r="Z4" s="137"/>
      <c r="AA4" s="137"/>
      <c r="AB4" s="136" t="str">
        <f>'07_Calendario'!C29</f>
        <v>Jueves</v>
      </c>
      <c r="AC4" s="136"/>
      <c r="AD4" s="136"/>
      <c r="AE4" s="137" t="str">
        <f>'07_Calendario'!C32</f>
        <v>Viernes</v>
      </c>
      <c r="AF4" s="137"/>
      <c r="AG4" s="137"/>
      <c r="AH4" s="136" t="str">
        <f>'07_Calendario'!C35</f>
        <v>Sábado</v>
      </c>
      <c r="AI4" s="136"/>
      <c r="AJ4" s="136"/>
      <c r="AK4" s="137" t="str">
        <f>'07_Calendario'!C38</f>
        <v>Lunes</v>
      </c>
      <c r="AL4" s="137"/>
      <c r="AM4" s="137"/>
      <c r="AN4" s="136" t="str">
        <f>'07_Calendario'!C41</f>
        <v>Martes</v>
      </c>
      <c r="AO4" s="136"/>
      <c r="AP4" s="136"/>
      <c r="AQ4" s="137" t="str">
        <f>'07_Calendario'!C44</f>
        <v>Miércoles</v>
      </c>
      <c r="AR4" s="137"/>
      <c r="AS4" s="137"/>
      <c r="AT4" s="136" t="str">
        <f>'07_Calendario'!C47</f>
        <v>Jueves</v>
      </c>
      <c r="AU4" s="136"/>
      <c r="AV4" s="136"/>
      <c r="AW4" s="137" t="str">
        <f>'07_Calendario'!C50</f>
        <v>Viernes</v>
      </c>
      <c r="AX4" s="137"/>
      <c r="AY4" s="137"/>
      <c r="AZ4" s="136" t="str">
        <f>'07_Calendario'!C53</f>
        <v>Sábado</v>
      </c>
      <c r="BA4" s="136"/>
      <c r="BB4" s="136"/>
      <c r="BC4" s="137" t="str">
        <f>'07_Calendario'!C56</f>
        <v>Lunes</v>
      </c>
      <c r="BD4" s="137"/>
      <c r="BE4" s="137"/>
      <c r="BF4" s="136" t="str">
        <f>'07_Calendario'!C59</f>
        <v>Martes</v>
      </c>
      <c r="BG4" s="136"/>
      <c r="BH4" s="136"/>
      <c r="BI4" s="137" t="str">
        <f>'07_Calendario'!C62</f>
        <v>Miércoles</v>
      </c>
      <c r="BJ4" s="137"/>
      <c r="BK4" s="137"/>
      <c r="BL4" s="136" t="str">
        <f>'07_Calendario'!C65</f>
        <v>Jueves</v>
      </c>
      <c r="BM4" s="136"/>
      <c r="BN4" s="136"/>
      <c r="BO4" s="137" t="str">
        <f>'07_Calendario'!C68</f>
        <v>Viernes</v>
      </c>
      <c r="BP4" s="137"/>
      <c r="BQ4" s="137"/>
      <c r="BR4" s="136" t="str">
        <f>'07_Calendario'!C71</f>
        <v>Sábado</v>
      </c>
      <c r="BS4" s="136"/>
      <c r="BT4" s="136"/>
      <c r="BU4" s="137" t="str">
        <f>'07_Calendario'!C74</f>
        <v>Lunes</v>
      </c>
      <c r="BV4" s="137"/>
      <c r="BW4" s="137"/>
      <c r="BX4" s="136" t="str">
        <f>'07_Calendario'!C77</f>
        <v>Martes</v>
      </c>
      <c r="BY4" s="136"/>
      <c r="BZ4" s="136"/>
      <c r="CA4" s="137" t="str">
        <f>'07_Calendario'!C80</f>
        <v>Miércoles</v>
      </c>
      <c r="CB4" s="137"/>
      <c r="CC4" s="137"/>
    </row>
    <row r="5" spans="1:84" ht="24" customHeight="1" x14ac:dyDescent="0.2">
      <c r="A5" s="140"/>
      <c r="B5" s="140"/>
      <c r="C5" s="140"/>
      <c r="D5" s="138">
        <f>'07_Calendario'!$B$5</f>
        <v>46266</v>
      </c>
      <c r="E5" s="136"/>
      <c r="F5" s="136"/>
      <c r="G5" s="141">
        <f>'07_Calendario'!$B$8</f>
        <v>46267</v>
      </c>
      <c r="H5" s="137"/>
      <c r="I5" s="137"/>
      <c r="J5" s="138">
        <f>'07_Calendario'!$B$11</f>
        <v>46268</v>
      </c>
      <c r="K5" s="136"/>
      <c r="L5" s="136"/>
      <c r="M5" s="141">
        <f>'07_Calendario'!$B$14</f>
        <v>46269</v>
      </c>
      <c r="N5" s="137"/>
      <c r="O5" s="137"/>
      <c r="P5" s="138">
        <f>'07_Calendario'!$B$17</f>
        <v>46270</v>
      </c>
      <c r="Q5" s="136"/>
      <c r="R5" s="136"/>
      <c r="S5" s="141">
        <f>'07_Calendario'!$B$20</f>
        <v>46272</v>
      </c>
      <c r="T5" s="137"/>
      <c r="U5" s="137"/>
      <c r="V5" s="138">
        <f>'07_Calendario'!$B$23</f>
        <v>46273</v>
      </c>
      <c r="W5" s="136"/>
      <c r="X5" s="136"/>
      <c r="Y5" s="141">
        <f>'07_Calendario'!$B$26</f>
        <v>46274</v>
      </c>
      <c r="Z5" s="137"/>
      <c r="AA5" s="137"/>
      <c r="AB5" s="138">
        <f>'07_Calendario'!$B$29</f>
        <v>46275</v>
      </c>
      <c r="AC5" s="136"/>
      <c r="AD5" s="136"/>
      <c r="AE5" s="141">
        <f>'07_Calendario'!$B$32</f>
        <v>46276</v>
      </c>
      <c r="AF5" s="137"/>
      <c r="AG5" s="137"/>
      <c r="AH5" s="138">
        <f>'07_Calendario'!$B$35</f>
        <v>46277</v>
      </c>
      <c r="AI5" s="136"/>
      <c r="AJ5" s="136"/>
      <c r="AK5" s="141">
        <f>'07_Calendario'!$B$38</f>
        <v>46279</v>
      </c>
      <c r="AL5" s="137"/>
      <c r="AM5" s="137"/>
      <c r="AN5" s="138">
        <f>'07_Calendario'!$B$41</f>
        <v>46280</v>
      </c>
      <c r="AO5" s="136"/>
      <c r="AP5" s="136"/>
      <c r="AQ5" s="141">
        <f>'07_Calendario'!$B$44</f>
        <v>46281</v>
      </c>
      <c r="AR5" s="137"/>
      <c r="AS5" s="137"/>
      <c r="AT5" s="138">
        <f>'07_Calendario'!$B$47</f>
        <v>46282</v>
      </c>
      <c r="AU5" s="136"/>
      <c r="AV5" s="136"/>
      <c r="AW5" s="141">
        <f>'07_Calendario'!$B$50</f>
        <v>46283</v>
      </c>
      <c r="AX5" s="137"/>
      <c r="AY5" s="137"/>
      <c r="AZ5" s="138">
        <f>'07_Calendario'!$B$53</f>
        <v>46284</v>
      </c>
      <c r="BA5" s="136"/>
      <c r="BB5" s="136"/>
      <c r="BC5" s="141">
        <f>'07_Calendario'!$B$56</f>
        <v>46286</v>
      </c>
      <c r="BD5" s="137"/>
      <c r="BE5" s="137"/>
      <c r="BF5" s="138">
        <f>'07_Calendario'!$B$59</f>
        <v>46287</v>
      </c>
      <c r="BG5" s="136"/>
      <c r="BH5" s="136"/>
      <c r="BI5" s="141">
        <f>'07_Calendario'!$B$62</f>
        <v>46288</v>
      </c>
      <c r="BJ5" s="137"/>
      <c r="BK5" s="137"/>
      <c r="BL5" s="138">
        <f>'07_Calendario'!$B$65</f>
        <v>46289</v>
      </c>
      <c r="BM5" s="136"/>
      <c r="BN5" s="136"/>
      <c r="BO5" s="141">
        <f>'07_Calendario'!$B$68</f>
        <v>46290</v>
      </c>
      <c r="BP5" s="137"/>
      <c r="BQ5" s="137"/>
      <c r="BR5" s="138">
        <f>'07_Calendario'!$B$71</f>
        <v>46291</v>
      </c>
      <c r="BS5" s="136"/>
      <c r="BT5" s="136"/>
      <c r="BU5" s="141">
        <f>'07_Calendario'!$B$74</f>
        <v>46293</v>
      </c>
      <c r="BV5" s="137"/>
      <c r="BW5" s="137"/>
      <c r="BX5" s="138">
        <f>'07_Calendario'!$B$77</f>
        <v>46294</v>
      </c>
      <c r="BY5" s="136"/>
      <c r="BZ5" s="136"/>
      <c r="CA5" s="141">
        <f>'07_Calendario'!$B$80</f>
        <v>46295</v>
      </c>
      <c r="CB5" s="137"/>
      <c r="CC5" s="137"/>
    </row>
    <row r="6" spans="1:84" ht="16" customHeight="1" x14ac:dyDescent="0.2">
      <c r="A6" s="9" t="s">
        <v>70</v>
      </c>
      <c r="B6" s="9" t="s">
        <v>71</v>
      </c>
      <c r="C6" s="9" t="s">
        <v>227</v>
      </c>
      <c r="D6" s="9">
        <v>1</v>
      </c>
      <c r="E6" s="9">
        <v>2</v>
      </c>
      <c r="F6" s="9">
        <v>3</v>
      </c>
      <c r="G6" s="40">
        <v>1</v>
      </c>
      <c r="H6" s="40">
        <v>2</v>
      </c>
      <c r="I6" s="40">
        <v>3</v>
      </c>
      <c r="J6" s="9">
        <v>1</v>
      </c>
      <c r="K6" s="9">
        <v>2</v>
      </c>
      <c r="L6" s="9">
        <v>3</v>
      </c>
      <c r="M6" s="40">
        <v>1</v>
      </c>
      <c r="N6" s="40">
        <v>2</v>
      </c>
      <c r="O6" s="40">
        <v>3</v>
      </c>
      <c r="P6" s="9">
        <v>1</v>
      </c>
      <c r="Q6" s="9">
        <v>2</v>
      </c>
      <c r="R6" s="9">
        <v>3</v>
      </c>
      <c r="S6" s="40">
        <v>1</v>
      </c>
      <c r="T6" s="40">
        <v>2</v>
      </c>
      <c r="U6" s="40">
        <v>3</v>
      </c>
      <c r="V6" s="9">
        <v>1</v>
      </c>
      <c r="W6" s="9">
        <v>2</v>
      </c>
      <c r="X6" s="9">
        <v>3</v>
      </c>
      <c r="Y6" s="40">
        <v>1</v>
      </c>
      <c r="Z6" s="40">
        <v>2</v>
      </c>
      <c r="AA6" s="40">
        <v>3</v>
      </c>
      <c r="AB6" s="9">
        <v>1</v>
      </c>
      <c r="AC6" s="9">
        <v>2</v>
      </c>
      <c r="AD6" s="9">
        <v>3</v>
      </c>
      <c r="AE6" s="40">
        <v>1</v>
      </c>
      <c r="AF6" s="40">
        <v>2</v>
      </c>
      <c r="AG6" s="40">
        <v>3</v>
      </c>
      <c r="AH6" s="9">
        <v>1</v>
      </c>
      <c r="AI6" s="9">
        <v>2</v>
      </c>
      <c r="AJ6" s="9">
        <v>3</v>
      </c>
      <c r="AK6" s="40">
        <v>1</v>
      </c>
      <c r="AL6" s="40">
        <v>2</v>
      </c>
      <c r="AM6" s="40">
        <v>3</v>
      </c>
      <c r="AN6" s="9">
        <v>1</v>
      </c>
      <c r="AO6" s="9">
        <v>2</v>
      </c>
      <c r="AP6" s="9">
        <v>3</v>
      </c>
      <c r="AQ6" s="40">
        <v>1</v>
      </c>
      <c r="AR6" s="40">
        <v>2</v>
      </c>
      <c r="AS6" s="40">
        <v>3</v>
      </c>
      <c r="AT6" s="9">
        <v>1</v>
      </c>
      <c r="AU6" s="9">
        <v>2</v>
      </c>
      <c r="AV6" s="9">
        <v>3</v>
      </c>
      <c r="AW6" s="40">
        <v>1</v>
      </c>
      <c r="AX6" s="40">
        <v>2</v>
      </c>
      <c r="AY6" s="40">
        <v>3</v>
      </c>
      <c r="AZ6" s="9">
        <v>1</v>
      </c>
      <c r="BA6" s="9">
        <v>2</v>
      </c>
      <c r="BB6" s="9">
        <v>3</v>
      </c>
      <c r="BC6" s="40">
        <v>1</v>
      </c>
      <c r="BD6" s="40">
        <v>2</v>
      </c>
      <c r="BE6" s="40">
        <v>3</v>
      </c>
      <c r="BF6" s="9">
        <v>1</v>
      </c>
      <c r="BG6" s="9">
        <v>2</v>
      </c>
      <c r="BH6" s="9">
        <v>3</v>
      </c>
      <c r="BI6" s="40">
        <v>1</v>
      </c>
      <c r="BJ6" s="40">
        <v>2</v>
      </c>
      <c r="BK6" s="40">
        <v>3</v>
      </c>
      <c r="BL6" s="9">
        <v>1</v>
      </c>
      <c r="BM6" s="9">
        <v>2</v>
      </c>
      <c r="BN6" s="9">
        <v>3</v>
      </c>
      <c r="BO6" s="40">
        <v>1</v>
      </c>
      <c r="BP6" s="40">
        <v>2</v>
      </c>
      <c r="BQ6" s="40">
        <v>3</v>
      </c>
      <c r="BR6" s="9">
        <v>1</v>
      </c>
      <c r="BS6" s="9">
        <v>2</v>
      </c>
      <c r="BT6" s="9">
        <v>3</v>
      </c>
      <c r="BU6" s="40">
        <v>1</v>
      </c>
      <c r="BV6" s="40">
        <v>2</v>
      </c>
      <c r="BW6" s="40">
        <v>3</v>
      </c>
      <c r="BX6" s="9">
        <v>1</v>
      </c>
      <c r="BY6" s="9">
        <v>2</v>
      </c>
      <c r="BZ6" s="9">
        <v>3</v>
      </c>
      <c r="CA6" s="40">
        <v>1</v>
      </c>
      <c r="CB6" s="40">
        <v>2</v>
      </c>
      <c r="CC6" s="40">
        <v>3</v>
      </c>
      <c r="CD6" s="50" t="s">
        <v>260</v>
      </c>
      <c r="CE6" s="50" t="s">
        <v>261</v>
      </c>
      <c r="CF6" s="50" t="s">
        <v>262</v>
      </c>
    </row>
    <row r="7" spans="1:84" x14ac:dyDescent="0.2">
      <c r="A7" s="10">
        <f>'06_Secuencia_Optima'!$B$26</f>
        <v>3533</v>
      </c>
      <c r="B7" s="13" t="str">
        <f>'06_Secuencia_Optima'!$C$26</f>
        <v>VINAGRE BLANCO (24DP/1/230ml)</v>
      </c>
      <c r="C7" s="14">
        <f>'06_Secuencia_Optima'!$D$26</f>
        <v>3533</v>
      </c>
      <c r="D7" s="51">
        <f>IF('07_Calendario'!$E$5=0,"",INT(ROUND(MIN('06_Secuencia_Optima'!$G$26,MAX(0,'07_Calendario'!$H$5-'06_Secuencia_Optima'!$L$26-'06_Secuencia_Optima'!$AB$26)*'06_Secuencia_Optima'!$H$26/480),6))-INT(ROUND(MIN('06_Secuencia_Optima'!$G$26,MAX(0,'07_Calendario'!$G$5-'06_Secuencia_Optima'!$L$26-'06_Secuencia_Optima'!$AB$26)*'06_Secuencia_Optima'!$H$26/480),6)))</f>
        <v>1123</v>
      </c>
      <c r="E7" s="51">
        <f>IF('07_Calendario'!$E$6=0,"",INT(ROUND(MIN('06_Secuencia_Optima'!$G$26,MAX(0,'07_Calendario'!$H$6-'06_Secuencia_Optima'!$L$26-'06_Secuencia_Optima'!$AB$26)*'06_Secuencia_Optima'!$H$26/480),6))-INT(ROUND(MIN('06_Secuencia_Optima'!$G$26,MAX(0,'07_Calendario'!$G$6-'06_Secuencia_Optima'!$L$26-'06_Secuencia_Optima'!$AB$26)*'06_Secuencia_Optima'!$H$26/480),6)))</f>
        <v>1123</v>
      </c>
      <c r="F7" s="51">
        <f>IF('07_Calendario'!$E$7=0,"",INT(ROUND(MIN('06_Secuencia_Optima'!$G$26,MAX(0,'07_Calendario'!$H$7-'06_Secuencia_Optima'!$L$26-'06_Secuencia_Optima'!$AB$26)*'06_Secuencia_Optima'!$H$26/480),6))-INT(ROUND(MIN('06_Secuencia_Optima'!$G$26,MAX(0,'07_Calendario'!$G$7-'06_Secuencia_Optima'!$L$26-'06_Secuencia_Optima'!$AB$26)*'06_Secuencia_Optima'!$H$26/480),6)))</f>
        <v>1123</v>
      </c>
      <c r="G7" s="51">
        <f>IF('07_Calendario'!$E$8=0,"",INT(ROUND(MIN('06_Secuencia_Optima'!$G$26,MAX(0,'07_Calendario'!$H$8-'06_Secuencia_Optima'!$L$26-'06_Secuencia_Optima'!$AB$26)*'06_Secuencia_Optima'!$H$26/480),6))-INT(ROUND(MIN('06_Secuencia_Optima'!$G$26,MAX(0,'07_Calendario'!$G$8-'06_Secuencia_Optima'!$L$26-'06_Secuencia_Optima'!$AB$26)*'06_Secuencia_Optima'!$H$26/480),6)))</f>
        <v>465</v>
      </c>
      <c r="H7" s="51">
        <f>IF('07_Calendario'!$E$9=0,"",INT(ROUND(MIN('06_Secuencia_Optima'!$G$26,MAX(0,'07_Calendario'!$H$9-'06_Secuencia_Optima'!$L$26-'06_Secuencia_Optima'!$AB$26)*'06_Secuencia_Optima'!$H$26/480),6))-INT(ROUND(MIN('06_Secuencia_Optima'!$G$26,MAX(0,'07_Calendario'!$G$9-'06_Secuencia_Optima'!$L$26-'06_Secuencia_Optima'!$AB$26)*'06_Secuencia_Optima'!$H$26/480),6)))</f>
        <v>0</v>
      </c>
      <c r="I7" s="51">
        <f>IF('07_Calendario'!$E$10=0,"",INT(ROUND(MIN('06_Secuencia_Optima'!$G$26,MAX(0,'07_Calendario'!$H$10-'06_Secuencia_Optima'!$L$26-'06_Secuencia_Optima'!$AB$26)*'06_Secuencia_Optima'!$H$26/480),6))-INT(ROUND(MIN('06_Secuencia_Optima'!$G$26,MAX(0,'07_Calendario'!$G$10-'06_Secuencia_Optima'!$L$26-'06_Secuencia_Optima'!$AB$26)*'06_Secuencia_Optima'!$H$26/480),6)))</f>
        <v>0</v>
      </c>
      <c r="J7" s="51">
        <f>IF('07_Calendario'!$E$11=0,"",INT(ROUND(MIN('06_Secuencia_Optima'!$G$26,MAX(0,'07_Calendario'!$H$11-'06_Secuencia_Optima'!$L$26-'06_Secuencia_Optima'!$AB$26)*'06_Secuencia_Optima'!$H$26/480),6))-INT(ROUND(MIN('06_Secuencia_Optima'!$G$26,MAX(0,'07_Calendario'!$G$11-'06_Secuencia_Optima'!$L$26-'06_Secuencia_Optima'!$AB$26)*'06_Secuencia_Optima'!$H$26/480),6)))</f>
        <v>0</v>
      </c>
      <c r="K7" s="51">
        <f>IF('07_Calendario'!$E$12=0,"",INT(ROUND(MIN('06_Secuencia_Optima'!$G$26,MAX(0,'07_Calendario'!$H$12-'06_Secuencia_Optima'!$L$26-'06_Secuencia_Optima'!$AB$26)*'06_Secuencia_Optima'!$H$26/480),6))-INT(ROUND(MIN('06_Secuencia_Optima'!$G$26,MAX(0,'07_Calendario'!$G$12-'06_Secuencia_Optima'!$L$26-'06_Secuencia_Optima'!$AB$26)*'06_Secuencia_Optima'!$H$26/480),6)))</f>
        <v>0</v>
      </c>
      <c r="L7" s="51">
        <f>IF('07_Calendario'!$E$13=0,"",INT(ROUND(MIN('06_Secuencia_Optima'!$G$26,MAX(0,'07_Calendario'!$H$13-'06_Secuencia_Optima'!$L$26-'06_Secuencia_Optima'!$AB$26)*'06_Secuencia_Optima'!$H$26/480),6))-INT(ROUND(MIN('06_Secuencia_Optima'!$G$26,MAX(0,'07_Calendario'!$G$13-'06_Secuencia_Optima'!$L$26-'06_Secuencia_Optima'!$AB$26)*'06_Secuencia_Optima'!$H$26/480),6)))</f>
        <v>0</v>
      </c>
      <c r="M7" s="51">
        <f>IF('07_Calendario'!$E$14=0,"",INT(ROUND(MIN('06_Secuencia_Optima'!$G$26,MAX(0,'07_Calendario'!$H$14-'06_Secuencia_Optima'!$L$26-'06_Secuencia_Optima'!$AB$26)*'06_Secuencia_Optima'!$H$26/480),6))-INT(ROUND(MIN('06_Secuencia_Optima'!$G$26,MAX(0,'07_Calendario'!$G$14-'06_Secuencia_Optima'!$L$26-'06_Secuencia_Optima'!$AB$26)*'06_Secuencia_Optima'!$H$26/480),6)))</f>
        <v>0</v>
      </c>
      <c r="N7" s="51">
        <f>IF('07_Calendario'!$E$15=0,"",INT(ROUND(MIN('06_Secuencia_Optima'!$G$26,MAX(0,'07_Calendario'!$H$15-'06_Secuencia_Optima'!$L$26-'06_Secuencia_Optima'!$AB$26)*'06_Secuencia_Optima'!$H$26/480),6))-INT(ROUND(MIN('06_Secuencia_Optima'!$G$26,MAX(0,'07_Calendario'!$G$15-'06_Secuencia_Optima'!$L$26-'06_Secuencia_Optima'!$AB$26)*'06_Secuencia_Optima'!$H$26/480),6)))</f>
        <v>0</v>
      </c>
      <c r="O7" s="51">
        <f>IF('07_Calendario'!$E$16=0,"",INT(ROUND(MIN('06_Secuencia_Optima'!$G$26,MAX(0,'07_Calendario'!$H$16-'06_Secuencia_Optima'!$L$26-'06_Secuencia_Optima'!$AB$26)*'06_Secuencia_Optima'!$H$26/480),6))-INT(ROUND(MIN('06_Secuencia_Optima'!$G$26,MAX(0,'07_Calendario'!$G$16-'06_Secuencia_Optima'!$L$26-'06_Secuencia_Optima'!$AB$26)*'06_Secuencia_Optima'!$H$26/480),6)))</f>
        <v>0</v>
      </c>
      <c r="P7" s="51">
        <f>IF('07_Calendario'!$E$17=0,"",INT(ROUND(MIN('06_Secuencia_Optima'!$G$26,MAX(0,'07_Calendario'!$H$17-'06_Secuencia_Optima'!$L$26-'06_Secuencia_Optima'!$AB$26)*'06_Secuencia_Optima'!$H$26/480),6))-INT(ROUND(MIN('06_Secuencia_Optima'!$G$26,MAX(0,'07_Calendario'!$G$17-'06_Secuencia_Optima'!$L$26-'06_Secuencia_Optima'!$AB$26)*'06_Secuencia_Optima'!$H$26/480),6)))</f>
        <v>0</v>
      </c>
      <c r="Q7" s="51">
        <f>IF('07_Calendario'!$E$18=0,"",INT(ROUND(MIN('06_Secuencia_Optima'!$G$26,MAX(0,'07_Calendario'!$H$18-'06_Secuencia_Optima'!$L$26-'06_Secuencia_Optima'!$AB$26)*'06_Secuencia_Optima'!$H$26/480),6))-INT(ROUND(MIN('06_Secuencia_Optima'!$G$26,MAX(0,'07_Calendario'!$G$18-'06_Secuencia_Optima'!$L$26-'06_Secuencia_Optima'!$AB$26)*'06_Secuencia_Optima'!$H$26/480),6)))</f>
        <v>0</v>
      </c>
      <c r="R7" s="51" t="str">
        <f>IF('07_Calendario'!$E$19=0,"",INT(ROUND(MIN('06_Secuencia_Optima'!$G$26,MAX(0,'07_Calendario'!$H$19-'06_Secuencia_Optima'!$L$26-'06_Secuencia_Optima'!$AB$26)*'06_Secuencia_Optima'!$H$26/480),6))-INT(ROUND(MIN('06_Secuencia_Optima'!$G$26,MAX(0,'07_Calendario'!$G$19-'06_Secuencia_Optima'!$L$26-'06_Secuencia_Optima'!$AB$26)*'06_Secuencia_Optima'!$H$26/480),6)))</f>
        <v/>
      </c>
      <c r="S7" s="51">
        <f>IF('07_Calendario'!$E$20=0,"",INT(ROUND(MIN('06_Secuencia_Optima'!$G$26,MAX(0,'07_Calendario'!$H$20-'06_Secuencia_Optima'!$L$26-'06_Secuencia_Optima'!$AB$26)*'06_Secuencia_Optima'!$H$26/480),6))-INT(ROUND(MIN('06_Secuencia_Optima'!$G$26,MAX(0,'07_Calendario'!$G$20-'06_Secuencia_Optima'!$L$26-'06_Secuencia_Optima'!$AB$26)*'06_Secuencia_Optima'!$H$26/480),6)))</f>
        <v>0</v>
      </c>
      <c r="T7" s="51">
        <f>IF('07_Calendario'!$E$21=0,"",INT(ROUND(MIN('06_Secuencia_Optima'!$G$26,MAX(0,'07_Calendario'!$H$21-'06_Secuencia_Optima'!$L$26-'06_Secuencia_Optima'!$AB$26)*'06_Secuencia_Optima'!$H$26/480),6))-INT(ROUND(MIN('06_Secuencia_Optima'!$G$26,MAX(0,'07_Calendario'!$G$21-'06_Secuencia_Optima'!$L$26-'06_Secuencia_Optima'!$AB$26)*'06_Secuencia_Optima'!$H$26/480),6)))</f>
        <v>0</v>
      </c>
      <c r="U7" s="51">
        <f>IF('07_Calendario'!$E$22=0,"",INT(ROUND(MIN('06_Secuencia_Optima'!$G$26,MAX(0,'07_Calendario'!$H$22-'06_Secuencia_Optima'!$L$26-'06_Secuencia_Optima'!$AB$26)*'06_Secuencia_Optima'!$H$26/480),6))-INT(ROUND(MIN('06_Secuencia_Optima'!$G$26,MAX(0,'07_Calendario'!$G$22-'06_Secuencia_Optima'!$L$26-'06_Secuencia_Optima'!$AB$26)*'06_Secuencia_Optima'!$H$26/480),6)))</f>
        <v>0</v>
      </c>
      <c r="V7" s="51">
        <f>IF('07_Calendario'!$E$23=0,"",INT(ROUND(MIN('06_Secuencia_Optima'!$G$26,MAX(0,'07_Calendario'!$H$23-'06_Secuencia_Optima'!$L$26-'06_Secuencia_Optima'!$AB$26)*'06_Secuencia_Optima'!$H$26/480),6))-INT(ROUND(MIN('06_Secuencia_Optima'!$G$26,MAX(0,'07_Calendario'!$G$23-'06_Secuencia_Optima'!$L$26-'06_Secuencia_Optima'!$AB$26)*'06_Secuencia_Optima'!$H$26/480),6)))</f>
        <v>0</v>
      </c>
      <c r="W7" s="51">
        <f>IF('07_Calendario'!$E$24=0,"",INT(ROUND(MIN('06_Secuencia_Optima'!$G$26,MAX(0,'07_Calendario'!$H$24-'06_Secuencia_Optima'!$L$26-'06_Secuencia_Optima'!$AB$26)*'06_Secuencia_Optima'!$H$26/480),6))-INT(ROUND(MIN('06_Secuencia_Optima'!$G$26,MAX(0,'07_Calendario'!$G$24-'06_Secuencia_Optima'!$L$26-'06_Secuencia_Optima'!$AB$26)*'06_Secuencia_Optima'!$H$26/480),6)))</f>
        <v>0</v>
      </c>
      <c r="X7" s="51">
        <f>IF('07_Calendario'!$E$25=0,"",INT(ROUND(MIN('06_Secuencia_Optima'!$G$26,MAX(0,'07_Calendario'!$H$25-'06_Secuencia_Optima'!$L$26-'06_Secuencia_Optima'!$AB$26)*'06_Secuencia_Optima'!$H$26/480),6))-INT(ROUND(MIN('06_Secuencia_Optima'!$G$26,MAX(0,'07_Calendario'!$G$25-'06_Secuencia_Optima'!$L$26-'06_Secuencia_Optima'!$AB$26)*'06_Secuencia_Optima'!$H$26/480),6)))</f>
        <v>0</v>
      </c>
      <c r="Y7" s="51">
        <f>IF('07_Calendario'!$E$26=0,"",INT(ROUND(MIN('06_Secuencia_Optima'!$G$26,MAX(0,'07_Calendario'!$H$26-'06_Secuencia_Optima'!$L$26-'06_Secuencia_Optima'!$AB$26)*'06_Secuencia_Optima'!$H$26/480),6))-INT(ROUND(MIN('06_Secuencia_Optima'!$G$26,MAX(0,'07_Calendario'!$G$26-'06_Secuencia_Optima'!$L$26-'06_Secuencia_Optima'!$AB$26)*'06_Secuencia_Optima'!$H$26/480),6)))</f>
        <v>0</v>
      </c>
      <c r="Z7" s="51">
        <f>IF('07_Calendario'!$E$27=0,"",INT(ROUND(MIN('06_Secuencia_Optima'!$G$26,MAX(0,'07_Calendario'!$H$27-'06_Secuencia_Optima'!$L$26-'06_Secuencia_Optima'!$AB$26)*'06_Secuencia_Optima'!$H$26/480),6))-INT(ROUND(MIN('06_Secuencia_Optima'!$G$26,MAX(0,'07_Calendario'!$G$27-'06_Secuencia_Optima'!$L$26-'06_Secuencia_Optima'!$AB$26)*'06_Secuencia_Optima'!$H$26/480),6)))</f>
        <v>0</v>
      </c>
      <c r="AA7" s="51">
        <f>IF('07_Calendario'!$E$28=0,"",INT(ROUND(MIN('06_Secuencia_Optima'!$G$26,MAX(0,'07_Calendario'!$H$28-'06_Secuencia_Optima'!$L$26-'06_Secuencia_Optima'!$AB$26)*'06_Secuencia_Optima'!$H$26/480),6))-INT(ROUND(MIN('06_Secuencia_Optima'!$G$26,MAX(0,'07_Calendario'!$G$28-'06_Secuencia_Optima'!$L$26-'06_Secuencia_Optima'!$AB$26)*'06_Secuencia_Optima'!$H$26/480),6)))</f>
        <v>0</v>
      </c>
      <c r="AB7" s="51">
        <f>IF('07_Calendario'!$E$29=0,"",INT(ROUND(MIN('06_Secuencia_Optima'!$G$26,MAX(0,'07_Calendario'!$H$29-'06_Secuencia_Optima'!$L$26-'06_Secuencia_Optima'!$AB$26)*'06_Secuencia_Optima'!$H$26/480),6))-INT(ROUND(MIN('06_Secuencia_Optima'!$G$26,MAX(0,'07_Calendario'!$G$29-'06_Secuencia_Optima'!$L$26-'06_Secuencia_Optima'!$AB$26)*'06_Secuencia_Optima'!$H$26/480),6)))</f>
        <v>0</v>
      </c>
      <c r="AC7" s="51">
        <f>IF('07_Calendario'!$E$30=0,"",INT(ROUND(MIN('06_Secuencia_Optima'!$G$26,MAX(0,'07_Calendario'!$H$30-'06_Secuencia_Optima'!$L$26-'06_Secuencia_Optima'!$AB$26)*'06_Secuencia_Optima'!$H$26/480),6))-INT(ROUND(MIN('06_Secuencia_Optima'!$G$26,MAX(0,'07_Calendario'!$G$30-'06_Secuencia_Optima'!$L$26-'06_Secuencia_Optima'!$AB$26)*'06_Secuencia_Optima'!$H$26/480),6)))</f>
        <v>0</v>
      </c>
      <c r="AD7" s="51">
        <f>IF('07_Calendario'!$E$31=0,"",INT(ROUND(MIN('06_Secuencia_Optima'!$G$26,MAX(0,'07_Calendario'!$H$31-'06_Secuencia_Optima'!$L$26-'06_Secuencia_Optima'!$AB$26)*'06_Secuencia_Optima'!$H$26/480),6))-INT(ROUND(MIN('06_Secuencia_Optima'!$G$26,MAX(0,'07_Calendario'!$G$31-'06_Secuencia_Optima'!$L$26-'06_Secuencia_Optima'!$AB$26)*'06_Secuencia_Optima'!$H$26/480),6)))</f>
        <v>0</v>
      </c>
      <c r="AE7" s="51">
        <f>IF('07_Calendario'!$E$32=0,"",INT(ROUND(MIN('06_Secuencia_Optima'!$G$26,MAX(0,'07_Calendario'!$H$32-'06_Secuencia_Optima'!$L$26-'06_Secuencia_Optima'!$AB$26)*'06_Secuencia_Optima'!$H$26/480),6))-INT(ROUND(MIN('06_Secuencia_Optima'!$G$26,MAX(0,'07_Calendario'!$G$32-'06_Secuencia_Optima'!$L$26-'06_Secuencia_Optima'!$AB$26)*'06_Secuencia_Optima'!$H$26/480),6)))</f>
        <v>0</v>
      </c>
      <c r="AF7" s="51">
        <f>IF('07_Calendario'!$E$33=0,"",INT(ROUND(MIN('06_Secuencia_Optima'!$G$26,MAX(0,'07_Calendario'!$H$33-'06_Secuencia_Optima'!$L$26-'06_Secuencia_Optima'!$AB$26)*'06_Secuencia_Optima'!$H$26/480),6))-INT(ROUND(MIN('06_Secuencia_Optima'!$G$26,MAX(0,'07_Calendario'!$G$33-'06_Secuencia_Optima'!$L$26-'06_Secuencia_Optima'!$AB$26)*'06_Secuencia_Optima'!$H$26/480),6)))</f>
        <v>0</v>
      </c>
      <c r="AG7" s="51">
        <f>IF('07_Calendario'!$E$34=0,"",INT(ROUND(MIN('06_Secuencia_Optima'!$G$26,MAX(0,'07_Calendario'!$H$34-'06_Secuencia_Optima'!$L$26-'06_Secuencia_Optima'!$AB$26)*'06_Secuencia_Optima'!$H$26/480),6))-INT(ROUND(MIN('06_Secuencia_Optima'!$G$26,MAX(0,'07_Calendario'!$G$34-'06_Secuencia_Optima'!$L$26-'06_Secuencia_Optima'!$AB$26)*'06_Secuencia_Optima'!$H$26/480),6)))</f>
        <v>0</v>
      </c>
      <c r="AH7" s="51">
        <f>IF('07_Calendario'!$E$35=0,"",INT(ROUND(MIN('06_Secuencia_Optima'!$G$26,MAX(0,'07_Calendario'!$H$35-'06_Secuencia_Optima'!$L$26-'06_Secuencia_Optima'!$AB$26)*'06_Secuencia_Optima'!$H$26/480),6))-INT(ROUND(MIN('06_Secuencia_Optima'!$G$26,MAX(0,'07_Calendario'!$G$35-'06_Secuencia_Optima'!$L$26-'06_Secuencia_Optima'!$AB$26)*'06_Secuencia_Optima'!$H$26/480),6)))</f>
        <v>0</v>
      </c>
      <c r="AI7" s="51">
        <f>IF('07_Calendario'!$E$36=0,"",INT(ROUND(MIN('06_Secuencia_Optima'!$G$26,MAX(0,'07_Calendario'!$H$36-'06_Secuencia_Optima'!$L$26-'06_Secuencia_Optima'!$AB$26)*'06_Secuencia_Optima'!$H$26/480),6))-INT(ROUND(MIN('06_Secuencia_Optima'!$G$26,MAX(0,'07_Calendario'!$G$36-'06_Secuencia_Optima'!$L$26-'06_Secuencia_Optima'!$AB$26)*'06_Secuencia_Optima'!$H$26/480),6)))</f>
        <v>0</v>
      </c>
      <c r="AJ7" s="51" t="str">
        <f>IF('07_Calendario'!$E$37=0,"",INT(ROUND(MIN('06_Secuencia_Optima'!$G$26,MAX(0,'07_Calendario'!$H$37-'06_Secuencia_Optima'!$L$26-'06_Secuencia_Optima'!$AB$26)*'06_Secuencia_Optima'!$H$26/480),6))-INT(ROUND(MIN('06_Secuencia_Optima'!$G$26,MAX(0,'07_Calendario'!$G$37-'06_Secuencia_Optima'!$L$26-'06_Secuencia_Optima'!$AB$26)*'06_Secuencia_Optima'!$H$26/480),6)))</f>
        <v/>
      </c>
      <c r="AK7" s="51">
        <f>IF('07_Calendario'!$E$38=0,"",INT(ROUND(MIN('06_Secuencia_Optima'!$G$26,MAX(0,'07_Calendario'!$H$38-'06_Secuencia_Optima'!$L$26-'06_Secuencia_Optima'!$AB$26)*'06_Secuencia_Optima'!$H$26/480),6))-INT(ROUND(MIN('06_Secuencia_Optima'!$G$26,MAX(0,'07_Calendario'!$G$38-'06_Secuencia_Optima'!$L$26-'06_Secuencia_Optima'!$AB$26)*'06_Secuencia_Optima'!$H$26/480),6)))</f>
        <v>0</v>
      </c>
      <c r="AL7" s="51">
        <f>IF('07_Calendario'!$E$39=0,"",INT(ROUND(MIN('06_Secuencia_Optima'!$G$26,MAX(0,'07_Calendario'!$H$39-'06_Secuencia_Optima'!$L$26-'06_Secuencia_Optima'!$AB$26)*'06_Secuencia_Optima'!$H$26/480),6))-INT(ROUND(MIN('06_Secuencia_Optima'!$G$26,MAX(0,'07_Calendario'!$G$39-'06_Secuencia_Optima'!$L$26-'06_Secuencia_Optima'!$AB$26)*'06_Secuencia_Optima'!$H$26/480),6)))</f>
        <v>0</v>
      </c>
      <c r="AM7" s="51">
        <f>IF('07_Calendario'!$E$40=0,"",INT(ROUND(MIN('06_Secuencia_Optima'!$G$26,MAX(0,'07_Calendario'!$H$40-'06_Secuencia_Optima'!$L$26-'06_Secuencia_Optima'!$AB$26)*'06_Secuencia_Optima'!$H$26/480),6))-INT(ROUND(MIN('06_Secuencia_Optima'!$G$26,MAX(0,'07_Calendario'!$G$40-'06_Secuencia_Optima'!$L$26-'06_Secuencia_Optima'!$AB$26)*'06_Secuencia_Optima'!$H$26/480),6)))</f>
        <v>0</v>
      </c>
      <c r="AN7" s="51">
        <f>IF('07_Calendario'!$E$41=0,"",INT(ROUND(MIN('06_Secuencia_Optima'!$G$26,MAX(0,'07_Calendario'!$H$41-'06_Secuencia_Optima'!$L$26-'06_Secuencia_Optima'!$AB$26)*'06_Secuencia_Optima'!$H$26/480),6))-INT(ROUND(MIN('06_Secuencia_Optima'!$G$26,MAX(0,'07_Calendario'!$G$41-'06_Secuencia_Optima'!$L$26-'06_Secuencia_Optima'!$AB$26)*'06_Secuencia_Optima'!$H$26/480),6)))</f>
        <v>0</v>
      </c>
      <c r="AO7" s="51">
        <f>IF('07_Calendario'!$E$42=0,"",INT(ROUND(MIN('06_Secuencia_Optima'!$G$26,MAX(0,'07_Calendario'!$H$42-'06_Secuencia_Optima'!$L$26-'06_Secuencia_Optima'!$AB$26)*'06_Secuencia_Optima'!$H$26/480),6))-INT(ROUND(MIN('06_Secuencia_Optima'!$G$26,MAX(0,'07_Calendario'!$G$42-'06_Secuencia_Optima'!$L$26-'06_Secuencia_Optima'!$AB$26)*'06_Secuencia_Optima'!$H$26/480),6)))</f>
        <v>0</v>
      </c>
      <c r="AP7" s="51">
        <f>IF('07_Calendario'!$E$43=0,"",INT(ROUND(MIN('06_Secuencia_Optima'!$G$26,MAX(0,'07_Calendario'!$H$43-'06_Secuencia_Optima'!$L$26-'06_Secuencia_Optima'!$AB$26)*'06_Secuencia_Optima'!$H$26/480),6))-INT(ROUND(MIN('06_Secuencia_Optima'!$G$26,MAX(0,'07_Calendario'!$G$43-'06_Secuencia_Optima'!$L$26-'06_Secuencia_Optima'!$AB$26)*'06_Secuencia_Optima'!$H$26/480),6)))</f>
        <v>0</v>
      </c>
      <c r="AQ7" s="51">
        <f>IF('07_Calendario'!$E$44=0,"",INT(ROUND(MIN('06_Secuencia_Optima'!$G$26,MAX(0,'07_Calendario'!$H$44-'06_Secuencia_Optima'!$L$26-'06_Secuencia_Optima'!$AB$26)*'06_Secuencia_Optima'!$H$26/480),6))-INT(ROUND(MIN('06_Secuencia_Optima'!$G$26,MAX(0,'07_Calendario'!$G$44-'06_Secuencia_Optima'!$L$26-'06_Secuencia_Optima'!$AB$26)*'06_Secuencia_Optima'!$H$26/480),6)))</f>
        <v>0</v>
      </c>
      <c r="AR7" s="51">
        <f>IF('07_Calendario'!$E$45=0,"",INT(ROUND(MIN('06_Secuencia_Optima'!$G$26,MAX(0,'07_Calendario'!$H$45-'06_Secuencia_Optima'!$L$26-'06_Secuencia_Optima'!$AB$26)*'06_Secuencia_Optima'!$H$26/480),6))-INT(ROUND(MIN('06_Secuencia_Optima'!$G$26,MAX(0,'07_Calendario'!$G$45-'06_Secuencia_Optima'!$L$26-'06_Secuencia_Optima'!$AB$26)*'06_Secuencia_Optima'!$H$26/480),6)))</f>
        <v>0</v>
      </c>
      <c r="AS7" s="51">
        <f>IF('07_Calendario'!$E$46=0,"",INT(ROUND(MIN('06_Secuencia_Optima'!$G$26,MAX(0,'07_Calendario'!$H$46-'06_Secuencia_Optima'!$L$26-'06_Secuencia_Optima'!$AB$26)*'06_Secuencia_Optima'!$H$26/480),6))-INT(ROUND(MIN('06_Secuencia_Optima'!$G$26,MAX(0,'07_Calendario'!$G$46-'06_Secuencia_Optima'!$L$26-'06_Secuencia_Optima'!$AB$26)*'06_Secuencia_Optima'!$H$26/480),6)))</f>
        <v>0</v>
      </c>
      <c r="AT7" s="51">
        <f>IF('07_Calendario'!$E$47=0,"",INT(ROUND(MIN('06_Secuencia_Optima'!$G$26,MAX(0,'07_Calendario'!$H$47-'06_Secuencia_Optima'!$L$26-'06_Secuencia_Optima'!$AB$26)*'06_Secuencia_Optima'!$H$26/480),6))-INT(ROUND(MIN('06_Secuencia_Optima'!$G$26,MAX(0,'07_Calendario'!$G$47-'06_Secuencia_Optima'!$L$26-'06_Secuencia_Optima'!$AB$26)*'06_Secuencia_Optima'!$H$26/480),6)))</f>
        <v>0</v>
      </c>
      <c r="AU7" s="51">
        <f>IF('07_Calendario'!$E$48=0,"",INT(ROUND(MIN('06_Secuencia_Optima'!$G$26,MAX(0,'07_Calendario'!$H$48-'06_Secuencia_Optima'!$L$26-'06_Secuencia_Optima'!$AB$26)*'06_Secuencia_Optima'!$H$26/480),6))-INT(ROUND(MIN('06_Secuencia_Optima'!$G$26,MAX(0,'07_Calendario'!$G$48-'06_Secuencia_Optima'!$L$26-'06_Secuencia_Optima'!$AB$26)*'06_Secuencia_Optima'!$H$26/480),6)))</f>
        <v>0</v>
      </c>
      <c r="AV7" s="51">
        <f>IF('07_Calendario'!$E$49=0,"",INT(ROUND(MIN('06_Secuencia_Optima'!$G$26,MAX(0,'07_Calendario'!$H$49-'06_Secuencia_Optima'!$L$26-'06_Secuencia_Optima'!$AB$26)*'06_Secuencia_Optima'!$H$26/480),6))-INT(ROUND(MIN('06_Secuencia_Optima'!$G$26,MAX(0,'07_Calendario'!$G$49-'06_Secuencia_Optima'!$L$26-'06_Secuencia_Optima'!$AB$26)*'06_Secuencia_Optima'!$H$26/480),6)))</f>
        <v>0</v>
      </c>
      <c r="AW7" s="51">
        <f>IF('07_Calendario'!$E$50=0,"",INT(ROUND(MIN('06_Secuencia_Optima'!$G$26,MAX(0,'07_Calendario'!$H$50-'06_Secuencia_Optima'!$L$26-'06_Secuencia_Optima'!$AB$26)*'06_Secuencia_Optima'!$H$26/480),6))-INT(ROUND(MIN('06_Secuencia_Optima'!$G$26,MAX(0,'07_Calendario'!$G$50-'06_Secuencia_Optima'!$L$26-'06_Secuencia_Optima'!$AB$26)*'06_Secuencia_Optima'!$H$26/480),6)))</f>
        <v>0</v>
      </c>
      <c r="AX7" s="51">
        <f>IF('07_Calendario'!$E$51=0,"",INT(ROUND(MIN('06_Secuencia_Optima'!$G$26,MAX(0,'07_Calendario'!$H$51-'06_Secuencia_Optima'!$L$26-'06_Secuencia_Optima'!$AB$26)*'06_Secuencia_Optima'!$H$26/480),6))-INT(ROUND(MIN('06_Secuencia_Optima'!$G$26,MAX(0,'07_Calendario'!$G$51-'06_Secuencia_Optima'!$L$26-'06_Secuencia_Optima'!$AB$26)*'06_Secuencia_Optima'!$H$26/480),6)))</f>
        <v>0</v>
      </c>
      <c r="AY7" s="51">
        <f>IF('07_Calendario'!$E$52=0,"",INT(ROUND(MIN('06_Secuencia_Optima'!$G$26,MAX(0,'07_Calendario'!$H$52-'06_Secuencia_Optima'!$L$26-'06_Secuencia_Optima'!$AB$26)*'06_Secuencia_Optima'!$H$26/480),6))-INT(ROUND(MIN('06_Secuencia_Optima'!$G$26,MAX(0,'07_Calendario'!$G$52-'06_Secuencia_Optima'!$L$26-'06_Secuencia_Optima'!$AB$26)*'06_Secuencia_Optima'!$H$26/480),6)))</f>
        <v>0</v>
      </c>
      <c r="AZ7" s="51">
        <f>IF('07_Calendario'!$E$53=0,"",INT(ROUND(MIN('06_Secuencia_Optima'!$G$26,MAX(0,'07_Calendario'!$H$53-'06_Secuencia_Optima'!$L$26-'06_Secuencia_Optima'!$AB$26)*'06_Secuencia_Optima'!$H$26/480),6))-INT(ROUND(MIN('06_Secuencia_Optima'!$G$26,MAX(0,'07_Calendario'!$G$53-'06_Secuencia_Optima'!$L$26-'06_Secuencia_Optima'!$AB$26)*'06_Secuencia_Optima'!$H$26/480),6)))</f>
        <v>0</v>
      </c>
      <c r="BA7" s="51">
        <f>IF('07_Calendario'!$E$54=0,"",INT(ROUND(MIN('06_Secuencia_Optima'!$G$26,MAX(0,'07_Calendario'!$H$54-'06_Secuencia_Optima'!$L$26-'06_Secuencia_Optima'!$AB$26)*'06_Secuencia_Optima'!$H$26/480),6))-INT(ROUND(MIN('06_Secuencia_Optima'!$G$26,MAX(0,'07_Calendario'!$G$54-'06_Secuencia_Optima'!$L$26-'06_Secuencia_Optima'!$AB$26)*'06_Secuencia_Optima'!$H$26/480),6)))</f>
        <v>0</v>
      </c>
      <c r="BB7" s="51" t="str">
        <f>IF('07_Calendario'!$E$55=0,"",INT(ROUND(MIN('06_Secuencia_Optima'!$G$26,MAX(0,'07_Calendario'!$H$55-'06_Secuencia_Optima'!$L$26-'06_Secuencia_Optima'!$AB$26)*'06_Secuencia_Optima'!$H$26/480),6))-INT(ROUND(MIN('06_Secuencia_Optima'!$G$26,MAX(0,'07_Calendario'!$G$55-'06_Secuencia_Optima'!$L$26-'06_Secuencia_Optima'!$AB$26)*'06_Secuencia_Optima'!$H$26/480),6)))</f>
        <v/>
      </c>
      <c r="BC7" s="51">
        <f>IF('07_Calendario'!$E$56=0,"",INT(ROUND(MIN('06_Secuencia_Optima'!$G$26,MAX(0,'07_Calendario'!$H$56-'06_Secuencia_Optima'!$L$26-'06_Secuencia_Optima'!$AB$26)*'06_Secuencia_Optima'!$H$26/480),6))-INT(ROUND(MIN('06_Secuencia_Optima'!$G$26,MAX(0,'07_Calendario'!$G$56-'06_Secuencia_Optima'!$L$26-'06_Secuencia_Optima'!$AB$26)*'06_Secuencia_Optima'!$H$26/480),6)))</f>
        <v>0</v>
      </c>
      <c r="BD7" s="51">
        <f>IF('07_Calendario'!$E$57=0,"",INT(ROUND(MIN('06_Secuencia_Optima'!$G$26,MAX(0,'07_Calendario'!$H$57-'06_Secuencia_Optima'!$L$26-'06_Secuencia_Optima'!$AB$26)*'06_Secuencia_Optima'!$H$26/480),6))-INT(ROUND(MIN('06_Secuencia_Optima'!$G$26,MAX(0,'07_Calendario'!$G$57-'06_Secuencia_Optima'!$L$26-'06_Secuencia_Optima'!$AB$26)*'06_Secuencia_Optima'!$H$26/480),6)))</f>
        <v>0</v>
      </c>
      <c r="BE7" s="51">
        <f>IF('07_Calendario'!$E$58=0,"",INT(ROUND(MIN('06_Secuencia_Optima'!$G$26,MAX(0,'07_Calendario'!$H$58-'06_Secuencia_Optima'!$L$26-'06_Secuencia_Optima'!$AB$26)*'06_Secuencia_Optima'!$H$26/480),6))-INT(ROUND(MIN('06_Secuencia_Optima'!$G$26,MAX(0,'07_Calendario'!$G$58-'06_Secuencia_Optima'!$L$26-'06_Secuencia_Optima'!$AB$26)*'06_Secuencia_Optima'!$H$26/480),6)))</f>
        <v>0</v>
      </c>
      <c r="BF7" s="51">
        <f>IF('07_Calendario'!$E$59=0,"",INT(ROUND(MIN('06_Secuencia_Optima'!$G$26,MAX(0,'07_Calendario'!$H$59-'06_Secuencia_Optima'!$L$26-'06_Secuencia_Optima'!$AB$26)*'06_Secuencia_Optima'!$H$26/480),6))-INT(ROUND(MIN('06_Secuencia_Optima'!$G$26,MAX(0,'07_Calendario'!$G$59-'06_Secuencia_Optima'!$L$26-'06_Secuencia_Optima'!$AB$26)*'06_Secuencia_Optima'!$H$26/480),6)))</f>
        <v>0</v>
      </c>
      <c r="BG7" s="51">
        <f>IF('07_Calendario'!$E$60=0,"",INT(ROUND(MIN('06_Secuencia_Optima'!$G$26,MAX(0,'07_Calendario'!$H$60-'06_Secuencia_Optima'!$L$26-'06_Secuencia_Optima'!$AB$26)*'06_Secuencia_Optima'!$H$26/480),6))-INT(ROUND(MIN('06_Secuencia_Optima'!$G$26,MAX(0,'07_Calendario'!$G$60-'06_Secuencia_Optima'!$L$26-'06_Secuencia_Optima'!$AB$26)*'06_Secuencia_Optima'!$H$26/480),6)))</f>
        <v>0</v>
      </c>
      <c r="BH7" s="51">
        <f>IF('07_Calendario'!$E$61=0,"",INT(ROUND(MIN('06_Secuencia_Optima'!$G$26,MAX(0,'07_Calendario'!$H$61-'06_Secuencia_Optima'!$L$26-'06_Secuencia_Optima'!$AB$26)*'06_Secuencia_Optima'!$H$26/480),6))-INT(ROUND(MIN('06_Secuencia_Optima'!$G$26,MAX(0,'07_Calendario'!$G$61-'06_Secuencia_Optima'!$L$26-'06_Secuencia_Optima'!$AB$26)*'06_Secuencia_Optima'!$H$26/480),6)))</f>
        <v>0</v>
      </c>
      <c r="BI7" s="51">
        <f>IF('07_Calendario'!$E$62=0,"",INT(ROUND(MIN('06_Secuencia_Optima'!$G$26,MAX(0,'07_Calendario'!$H$62-'06_Secuencia_Optima'!$L$26-'06_Secuencia_Optima'!$AB$26)*'06_Secuencia_Optima'!$H$26/480),6))-INT(ROUND(MIN('06_Secuencia_Optima'!$G$26,MAX(0,'07_Calendario'!$G$62-'06_Secuencia_Optima'!$L$26-'06_Secuencia_Optima'!$AB$26)*'06_Secuencia_Optima'!$H$26/480),6)))</f>
        <v>0</v>
      </c>
      <c r="BJ7" s="51">
        <f>IF('07_Calendario'!$E$63=0,"",INT(ROUND(MIN('06_Secuencia_Optima'!$G$26,MAX(0,'07_Calendario'!$H$63-'06_Secuencia_Optima'!$L$26-'06_Secuencia_Optima'!$AB$26)*'06_Secuencia_Optima'!$H$26/480),6))-INT(ROUND(MIN('06_Secuencia_Optima'!$G$26,MAX(0,'07_Calendario'!$G$63-'06_Secuencia_Optima'!$L$26-'06_Secuencia_Optima'!$AB$26)*'06_Secuencia_Optima'!$H$26/480),6)))</f>
        <v>0</v>
      </c>
      <c r="BK7" s="51">
        <f>IF('07_Calendario'!$E$64=0,"",INT(ROUND(MIN('06_Secuencia_Optima'!$G$26,MAX(0,'07_Calendario'!$H$64-'06_Secuencia_Optima'!$L$26-'06_Secuencia_Optima'!$AB$26)*'06_Secuencia_Optima'!$H$26/480),6))-INT(ROUND(MIN('06_Secuencia_Optima'!$G$26,MAX(0,'07_Calendario'!$G$64-'06_Secuencia_Optima'!$L$26-'06_Secuencia_Optima'!$AB$26)*'06_Secuencia_Optima'!$H$26/480),6)))</f>
        <v>0</v>
      </c>
      <c r="BL7" s="51">
        <f>IF('07_Calendario'!$E$65=0,"",INT(ROUND(MIN('06_Secuencia_Optima'!$G$26,MAX(0,'07_Calendario'!$H$65-'06_Secuencia_Optima'!$L$26-'06_Secuencia_Optima'!$AB$26)*'06_Secuencia_Optima'!$H$26/480),6))-INT(ROUND(MIN('06_Secuencia_Optima'!$G$26,MAX(0,'07_Calendario'!$G$65-'06_Secuencia_Optima'!$L$26-'06_Secuencia_Optima'!$AB$26)*'06_Secuencia_Optima'!$H$26/480),6)))</f>
        <v>0</v>
      </c>
      <c r="BM7" s="51">
        <f>IF('07_Calendario'!$E$66=0,"",INT(ROUND(MIN('06_Secuencia_Optima'!$G$26,MAX(0,'07_Calendario'!$H$66-'06_Secuencia_Optima'!$L$26-'06_Secuencia_Optima'!$AB$26)*'06_Secuencia_Optima'!$H$26/480),6))-INT(ROUND(MIN('06_Secuencia_Optima'!$G$26,MAX(0,'07_Calendario'!$G$66-'06_Secuencia_Optima'!$L$26-'06_Secuencia_Optima'!$AB$26)*'06_Secuencia_Optima'!$H$26/480),6)))</f>
        <v>0</v>
      </c>
      <c r="BN7" s="51">
        <f>IF('07_Calendario'!$E$67=0,"",INT(ROUND(MIN('06_Secuencia_Optima'!$G$26,MAX(0,'07_Calendario'!$H$67-'06_Secuencia_Optima'!$L$26-'06_Secuencia_Optima'!$AB$26)*'06_Secuencia_Optima'!$H$26/480),6))-INT(ROUND(MIN('06_Secuencia_Optima'!$G$26,MAX(0,'07_Calendario'!$G$67-'06_Secuencia_Optima'!$L$26-'06_Secuencia_Optima'!$AB$26)*'06_Secuencia_Optima'!$H$26/480),6)))</f>
        <v>0</v>
      </c>
      <c r="BO7" s="51">
        <f>IF('07_Calendario'!$E$68=0,"",INT(ROUND(MIN('06_Secuencia_Optima'!$G$26,MAX(0,'07_Calendario'!$H$68-'06_Secuencia_Optima'!$L$26-'06_Secuencia_Optima'!$AB$26)*'06_Secuencia_Optima'!$H$26/480),6))-INT(ROUND(MIN('06_Secuencia_Optima'!$G$26,MAX(0,'07_Calendario'!$G$68-'06_Secuencia_Optima'!$L$26-'06_Secuencia_Optima'!$AB$26)*'06_Secuencia_Optima'!$H$26/480),6)))</f>
        <v>0</v>
      </c>
      <c r="BP7" s="51">
        <f>IF('07_Calendario'!$E$69=0,"",INT(ROUND(MIN('06_Secuencia_Optima'!$G$26,MAX(0,'07_Calendario'!$H$69-'06_Secuencia_Optima'!$L$26-'06_Secuencia_Optima'!$AB$26)*'06_Secuencia_Optima'!$H$26/480),6))-INT(ROUND(MIN('06_Secuencia_Optima'!$G$26,MAX(0,'07_Calendario'!$G$69-'06_Secuencia_Optima'!$L$26-'06_Secuencia_Optima'!$AB$26)*'06_Secuencia_Optima'!$H$26/480),6)))</f>
        <v>0</v>
      </c>
      <c r="BQ7" s="51">
        <f>IF('07_Calendario'!$E$70=0,"",INT(ROUND(MIN('06_Secuencia_Optima'!$G$26,MAX(0,'07_Calendario'!$H$70-'06_Secuencia_Optima'!$L$26-'06_Secuencia_Optima'!$AB$26)*'06_Secuencia_Optima'!$H$26/480),6))-INT(ROUND(MIN('06_Secuencia_Optima'!$G$26,MAX(0,'07_Calendario'!$G$70-'06_Secuencia_Optima'!$L$26-'06_Secuencia_Optima'!$AB$26)*'06_Secuencia_Optima'!$H$26/480),6)))</f>
        <v>0</v>
      </c>
      <c r="BR7" s="51">
        <f>IF('07_Calendario'!$E$71=0,"",INT(ROUND(MIN('06_Secuencia_Optima'!$G$26,MAX(0,'07_Calendario'!$H$71-'06_Secuencia_Optima'!$L$26-'06_Secuencia_Optima'!$AB$26)*'06_Secuencia_Optima'!$H$26/480),6))-INT(ROUND(MIN('06_Secuencia_Optima'!$G$26,MAX(0,'07_Calendario'!$G$71-'06_Secuencia_Optima'!$L$26-'06_Secuencia_Optima'!$AB$26)*'06_Secuencia_Optima'!$H$26/480),6)))</f>
        <v>0</v>
      </c>
      <c r="BS7" s="51">
        <f>IF('07_Calendario'!$E$72=0,"",INT(ROUND(MIN('06_Secuencia_Optima'!$G$26,MAX(0,'07_Calendario'!$H$72-'06_Secuencia_Optima'!$L$26-'06_Secuencia_Optima'!$AB$26)*'06_Secuencia_Optima'!$H$26/480),6))-INT(ROUND(MIN('06_Secuencia_Optima'!$G$26,MAX(0,'07_Calendario'!$G$72-'06_Secuencia_Optima'!$L$26-'06_Secuencia_Optima'!$AB$26)*'06_Secuencia_Optima'!$H$26/480),6)))</f>
        <v>0</v>
      </c>
      <c r="BT7" s="51" t="str">
        <f>IF('07_Calendario'!$E$73=0,"",INT(ROUND(MIN('06_Secuencia_Optima'!$G$26,MAX(0,'07_Calendario'!$H$73-'06_Secuencia_Optima'!$L$26-'06_Secuencia_Optima'!$AB$26)*'06_Secuencia_Optima'!$H$26/480),6))-INT(ROUND(MIN('06_Secuencia_Optima'!$G$26,MAX(0,'07_Calendario'!$G$73-'06_Secuencia_Optima'!$L$26-'06_Secuencia_Optima'!$AB$26)*'06_Secuencia_Optima'!$H$26/480),6)))</f>
        <v/>
      </c>
      <c r="BU7" s="51">
        <f>IF('07_Calendario'!$E$74=0,"",INT(ROUND(MIN('06_Secuencia_Optima'!$G$26,MAX(0,'07_Calendario'!$H$74-'06_Secuencia_Optima'!$L$26-'06_Secuencia_Optima'!$AB$26)*'06_Secuencia_Optima'!$H$26/480),6))-INT(ROUND(MIN('06_Secuencia_Optima'!$G$26,MAX(0,'07_Calendario'!$G$74-'06_Secuencia_Optima'!$L$26-'06_Secuencia_Optima'!$AB$26)*'06_Secuencia_Optima'!$H$26/480),6)))</f>
        <v>0</v>
      </c>
      <c r="BV7" s="51">
        <f>IF('07_Calendario'!$E$75=0,"",INT(ROUND(MIN('06_Secuencia_Optima'!$G$26,MAX(0,'07_Calendario'!$H$75-'06_Secuencia_Optima'!$L$26-'06_Secuencia_Optima'!$AB$26)*'06_Secuencia_Optima'!$H$26/480),6))-INT(ROUND(MIN('06_Secuencia_Optima'!$G$26,MAX(0,'07_Calendario'!$G$75-'06_Secuencia_Optima'!$L$26-'06_Secuencia_Optima'!$AB$26)*'06_Secuencia_Optima'!$H$26/480),6)))</f>
        <v>0</v>
      </c>
      <c r="BW7" s="51">
        <f>IF('07_Calendario'!$E$76=0,"",INT(ROUND(MIN('06_Secuencia_Optima'!$G$26,MAX(0,'07_Calendario'!$H$76-'06_Secuencia_Optima'!$L$26-'06_Secuencia_Optima'!$AB$26)*'06_Secuencia_Optima'!$H$26/480),6))-INT(ROUND(MIN('06_Secuencia_Optima'!$G$26,MAX(0,'07_Calendario'!$G$76-'06_Secuencia_Optima'!$L$26-'06_Secuencia_Optima'!$AB$26)*'06_Secuencia_Optima'!$H$26/480),6)))</f>
        <v>0</v>
      </c>
      <c r="BX7" s="51">
        <f>IF('07_Calendario'!$E$77=0,"",INT(ROUND(MIN('06_Secuencia_Optima'!$G$26,MAX(0,'07_Calendario'!$H$77-'06_Secuencia_Optima'!$L$26-'06_Secuencia_Optima'!$AB$26)*'06_Secuencia_Optima'!$H$26/480),6))-INT(ROUND(MIN('06_Secuencia_Optima'!$G$26,MAX(0,'07_Calendario'!$G$77-'06_Secuencia_Optima'!$L$26-'06_Secuencia_Optima'!$AB$26)*'06_Secuencia_Optima'!$H$26/480),6)))</f>
        <v>0</v>
      </c>
      <c r="BY7" s="51">
        <f>IF('07_Calendario'!$E$78=0,"",INT(ROUND(MIN('06_Secuencia_Optima'!$G$26,MAX(0,'07_Calendario'!$H$78-'06_Secuencia_Optima'!$L$26-'06_Secuencia_Optima'!$AB$26)*'06_Secuencia_Optima'!$H$26/480),6))-INT(ROUND(MIN('06_Secuencia_Optima'!$G$26,MAX(0,'07_Calendario'!$G$78-'06_Secuencia_Optima'!$L$26-'06_Secuencia_Optima'!$AB$26)*'06_Secuencia_Optima'!$H$26/480),6)))</f>
        <v>0</v>
      </c>
      <c r="BZ7" s="51">
        <f>IF('07_Calendario'!$E$79=0,"",INT(ROUND(MIN('06_Secuencia_Optima'!$G$26,MAX(0,'07_Calendario'!$H$79-'06_Secuencia_Optima'!$L$26-'06_Secuencia_Optima'!$AB$26)*'06_Secuencia_Optima'!$H$26/480),6))-INT(ROUND(MIN('06_Secuencia_Optima'!$G$26,MAX(0,'07_Calendario'!$G$79-'06_Secuencia_Optima'!$L$26-'06_Secuencia_Optima'!$AB$26)*'06_Secuencia_Optima'!$H$26/480),6)))</f>
        <v>0</v>
      </c>
      <c r="CA7" s="51">
        <f>IF('07_Calendario'!$E$80=0,"",INT(ROUND(MIN('06_Secuencia_Optima'!$G$26,MAX(0,'07_Calendario'!$H$80-'06_Secuencia_Optima'!$L$26-'06_Secuencia_Optima'!$AB$26)*'06_Secuencia_Optima'!$H$26/480),6))-INT(ROUND(MIN('06_Secuencia_Optima'!$G$26,MAX(0,'07_Calendario'!$G$80-'06_Secuencia_Optima'!$L$26-'06_Secuencia_Optima'!$AB$26)*'06_Secuencia_Optima'!$H$26/480),6)))</f>
        <v>0</v>
      </c>
      <c r="CB7" s="51">
        <f>IF('07_Calendario'!$E$81=0,"",INT(ROUND(MIN('06_Secuencia_Optima'!$G$26,MAX(0,'07_Calendario'!$H$81-'06_Secuencia_Optima'!$L$26-'06_Secuencia_Optima'!$AB$26)*'06_Secuencia_Optima'!$H$26/480),6))-INT(ROUND(MIN('06_Secuencia_Optima'!$G$26,MAX(0,'07_Calendario'!$G$81-'06_Secuencia_Optima'!$L$26-'06_Secuencia_Optima'!$AB$26)*'06_Secuencia_Optima'!$H$26/480),6)))</f>
        <v>0</v>
      </c>
      <c r="CC7" s="51">
        <f>IF('07_Calendario'!$E$82=0,"",INT(ROUND(MIN('06_Secuencia_Optima'!$G$26,MAX(0,'07_Calendario'!$H$82-'06_Secuencia_Optima'!$L$26-'06_Secuencia_Optima'!$AB$26)*'06_Secuencia_Optima'!$H$26/480),6))-INT(ROUND(MIN('06_Secuencia_Optima'!$G$26,MAX(0,'07_Calendario'!$G$82-'06_Secuencia_Optima'!$L$26-'06_Secuencia_Optima'!$AB$26)*'06_Secuencia_Optima'!$H$26/480),6)))</f>
        <v>0</v>
      </c>
      <c r="CD7" s="18">
        <f t="shared" ref="CD7:CD23" si="0">SUM($D7:$CC7)</f>
        <v>3834</v>
      </c>
      <c r="CE7" s="19">
        <f>'06_Secuencia_Optima'!$G$26</f>
        <v>3834</v>
      </c>
      <c r="CF7" s="10" t="str">
        <f t="shared" ref="CF7:CF23" si="1">IF(CD7=CE7,"OK","DIF")</f>
        <v>OK</v>
      </c>
    </row>
    <row r="8" spans="1:84" x14ac:dyDescent="0.2">
      <c r="A8" s="10">
        <f>'06_Secuencia_Optima'!$B$27</f>
        <v>3643</v>
      </c>
      <c r="B8" s="13" t="str">
        <f>'06_Secuencia_Optima'!$C$27</f>
        <v>SALSA ROSADA (12DP/1/380g)</v>
      </c>
      <c r="C8" s="14">
        <f>'06_Secuencia_Optima'!$D$27</f>
        <v>3643</v>
      </c>
      <c r="D8" s="51">
        <f>IF('07_Calendario'!$E$5=0,"",INT(ROUND(MIN('06_Secuencia_Optima'!$G$27,MAX(0,'07_Calendario'!$H$5-'06_Secuencia_Optima'!$L$27-'06_Secuencia_Optima'!$AB$27)*'06_Secuencia_Optima'!$H$27/480),6))-INT(ROUND(MIN('06_Secuencia_Optima'!$G$27,MAX(0,'07_Calendario'!$G$5-'06_Secuencia_Optima'!$L$27-'06_Secuencia_Optima'!$AB$27)*'06_Secuencia_Optima'!$H$27/480),6)))</f>
        <v>1845</v>
      </c>
      <c r="E8" s="51">
        <f>IF('07_Calendario'!$E$6=0,"",INT(ROUND(MIN('06_Secuencia_Optima'!$G$27,MAX(0,'07_Calendario'!$H$6-'06_Secuencia_Optima'!$L$27-'06_Secuencia_Optima'!$AB$27)*'06_Secuencia_Optima'!$H$27/480),6))-INT(ROUND(MIN('06_Secuencia_Optima'!$G$27,MAX(0,'07_Calendario'!$G$6-'06_Secuencia_Optima'!$L$27-'06_Secuencia_Optima'!$AB$27)*'06_Secuencia_Optima'!$H$27/480),6)))</f>
        <v>1375</v>
      </c>
      <c r="F8" s="51">
        <f>IF('07_Calendario'!$E$7=0,"",INT(ROUND(MIN('06_Secuencia_Optima'!$G$27,MAX(0,'07_Calendario'!$H$7-'06_Secuencia_Optima'!$L$27-'06_Secuencia_Optima'!$AB$27)*'06_Secuencia_Optima'!$H$27/480),6))-INT(ROUND(MIN('06_Secuencia_Optima'!$G$27,MAX(0,'07_Calendario'!$G$7-'06_Secuencia_Optima'!$L$27-'06_Secuencia_Optima'!$AB$27)*'06_Secuencia_Optima'!$H$27/480),6)))</f>
        <v>0</v>
      </c>
      <c r="G8" s="51">
        <f>IF('07_Calendario'!$E$8=0,"",INT(ROUND(MIN('06_Secuencia_Optima'!$G$27,MAX(0,'07_Calendario'!$H$8-'06_Secuencia_Optima'!$L$27-'06_Secuencia_Optima'!$AB$27)*'06_Secuencia_Optima'!$H$27/480),6))-INT(ROUND(MIN('06_Secuencia_Optima'!$G$27,MAX(0,'07_Calendario'!$G$8-'06_Secuencia_Optima'!$L$27-'06_Secuencia_Optima'!$AB$27)*'06_Secuencia_Optima'!$H$27/480),6)))</f>
        <v>0</v>
      </c>
      <c r="H8" s="51">
        <f>IF('07_Calendario'!$E$9=0,"",INT(ROUND(MIN('06_Secuencia_Optima'!$G$27,MAX(0,'07_Calendario'!$H$9-'06_Secuencia_Optima'!$L$27-'06_Secuencia_Optima'!$AB$27)*'06_Secuencia_Optima'!$H$27/480),6))-INT(ROUND(MIN('06_Secuencia_Optima'!$G$27,MAX(0,'07_Calendario'!$G$9-'06_Secuencia_Optima'!$L$27-'06_Secuencia_Optima'!$AB$27)*'06_Secuencia_Optima'!$H$27/480),6)))</f>
        <v>0</v>
      </c>
      <c r="I8" s="51">
        <f>IF('07_Calendario'!$E$10=0,"",INT(ROUND(MIN('06_Secuencia_Optima'!$G$27,MAX(0,'07_Calendario'!$H$10-'06_Secuencia_Optima'!$L$27-'06_Secuencia_Optima'!$AB$27)*'06_Secuencia_Optima'!$H$27/480),6))-INT(ROUND(MIN('06_Secuencia_Optima'!$G$27,MAX(0,'07_Calendario'!$G$10-'06_Secuencia_Optima'!$L$27-'06_Secuencia_Optima'!$AB$27)*'06_Secuencia_Optima'!$H$27/480),6)))</f>
        <v>0</v>
      </c>
      <c r="J8" s="51">
        <f>IF('07_Calendario'!$E$11=0,"",INT(ROUND(MIN('06_Secuencia_Optima'!$G$27,MAX(0,'07_Calendario'!$H$11-'06_Secuencia_Optima'!$L$27-'06_Secuencia_Optima'!$AB$27)*'06_Secuencia_Optima'!$H$27/480),6))-INT(ROUND(MIN('06_Secuencia_Optima'!$G$27,MAX(0,'07_Calendario'!$G$11-'06_Secuencia_Optima'!$L$27-'06_Secuencia_Optima'!$AB$27)*'06_Secuencia_Optima'!$H$27/480),6)))</f>
        <v>0</v>
      </c>
      <c r="K8" s="51">
        <f>IF('07_Calendario'!$E$12=0,"",INT(ROUND(MIN('06_Secuencia_Optima'!$G$27,MAX(0,'07_Calendario'!$H$12-'06_Secuencia_Optima'!$L$27-'06_Secuencia_Optima'!$AB$27)*'06_Secuencia_Optima'!$H$27/480),6))-INT(ROUND(MIN('06_Secuencia_Optima'!$G$27,MAX(0,'07_Calendario'!$G$12-'06_Secuencia_Optima'!$L$27-'06_Secuencia_Optima'!$AB$27)*'06_Secuencia_Optima'!$H$27/480),6)))</f>
        <v>0</v>
      </c>
      <c r="L8" s="51">
        <f>IF('07_Calendario'!$E$13=0,"",INT(ROUND(MIN('06_Secuencia_Optima'!$G$27,MAX(0,'07_Calendario'!$H$13-'06_Secuencia_Optima'!$L$27-'06_Secuencia_Optima'!$AB$27)*'06_Secuencia_Optima'!$H$27/480),6))-INT(ROUND(MIN('06_Secuencia_Optima'!$G$27,MAX(0,'07_Calendario'!$G$13-'06_Secuencia_Optima'!$L$27-'06_Secuencia_Optima'!$AB$27)*'06_Secuencia_Optima'!$H$27/480),6)))</f>
        <v>0</v>
      </c>
      <c r="M8" s="51">
        <f>IF('07_Calendario'!$E$14=0,"",INT(ROUND(MIN('06_Secuencia_Optima'!$G$27,MAX(0,'07_Calendario'!$H$14-'06_Secuencia_Optima'!$L$27-'06_Secuencia_Optima'!$AB$27)*'06_Secuencia_Optima'!$H$27/480),6))-INT(ROUND(MIN('06_Secuencia_Optima'!$G$27,MAX(0,'07_Calendario'!$G$14-'06_Secuencia_Optima'!$L$27-'06_Secuencia_Optima'!$AB$27)*'06_Secuencia_Optima'!$H$27/480),6)))</f>
        <v>0</v>
      </c>
      <c r="N8" s="51">
        <f>IF('07_Calendario'!$E$15=0,"",INT(ROUND(MIN('06_Secuencia_Optima'!$G$27,MAX(0,'07_Calendario'!$H$15-'06_Secuencia_Optima'!$L$27-'06_Secuencia_Optima'!$AB$27)*'06_Secuencia_Optima'!$H$27/480),6))-INT(ROUND(MIN('06_Secuencia_Optima'!$G$27,MAX(0,'07_Calendario'!$G$15-'06_Secuencia_Optima'!$L$27-'06_Secuencia_Optima'!$AB$27)*'06_Secuencia_Optima'!$H$27/480),6)))</f>
        <v>0</v>
      </c>
      <c r="O8" s="51">
        <f>IF('07_Calendario'!$E$16=0,"",INT(ROUND(MIN('06_Secuencia_Optima'!$G$27,MAX(0,'07_Calendario'!$H$16-'06_Secuencia_Optima'!$L$27-'06_Secuencia_Optima'!$AB$27)*'06_Secuencia_Optima'!$H$27/480),6))-INT(ROUND(MIN('06_Secuencia_Optima'!$G$27,MAX(0,'07_Calendario'!$G$16-'06_Secuencia_Optima'!$L$27-'06_Secuencia_Optima'!$AB$27)*'06_Secuencia_Optima'!$H$27/480),6)))</f>
        <v>0</v>
      </c>
      <c r="P8" s="51">
        <f>IF('07_Calendario'!$E$17=0,"",INT(ROUND(MIN('06_Secuencia_Optima'!$G$27,MAX(0,'07_Calendario'!$H$17-'06_Secuencia_Optima'!$L$27-'06_Secuencia_Optima'!$AB$27)*'06_Secuencia_Optima'!$H$27/480),6))-INT(ROUND(MIN('06_Secuencia_Optima'!$G$27,MAX(0,'07_Calendario'!$G$17-'06_Secuencia_Optima'!$L$27-'06_Secuencia_Optima'!$AB$27)*'06_Secuencia_Optima'!$H$27/480),6)))</f>
        <v>0</v>
      </c>
      <c r="Q8" s="51">
        <f>IF('07_Calendario'!$E$18=0,"",INT(ROUND(MIN('06_Secuencia_Optima'!$G$27,MAX(0,'07_Calendario'!$H$18-'06_Secuencia_Optima'!$L$27-'06_Secuencia_Optima'!$AB$27)*'06_Secuencia_Optima'!$H$27/480),6))-INT(ROUND(MIN('06_Secuencia_Optima'!$G$27,MAX(0,'07_Calendario'!$G$18-'06_Secuencia_Optima'!$L$27-'06_Secuencia_Optima'!$AB$27)*'06_Secuencia_Optima'!$H$27/480),6)))</f>
        <v>0</v>
      </c>
      <c r="R8" s="51" t="str">
        <f>IF('07_Calendario'!$E$19=0,"",INT(ROUND(MIN('06_Secuencia_Optima'!$G$27,MAX(0,'07_Calendario'!$H$19-'06_Secuencia_Optima'!$L$27-'06_Secuencia_Optima'!$AB$27)*'06_Secuencia_Optima'!$H$27/480),6))-INT(ROUND(MIN('06_Secuencia_Optima'!$G$27,MAX(0,'07_Calendario'!$G$19-'06_Secuencia_Optima'!$L$27-'06_Secuencia_Optima'!$AB$27)*'06_Secuencia_Optima'!$H$27/480),6)))</f>
        <v/>
      </c>
      <c r="S8" s="51">
        <f>IF('07_Calendario'!$E$20=0,"",INT(ROUND(MIN('06_Secuencia_Optima'!$G$27,MAX(0,'07_Calendario'!$H$20-'06_Secuencia_Optima'!$L$27-'06_Secuencia_Optima'!$AB$27)*'06_Secuencia_Optima'!$H$27/480),6))-INT(ROUND(MIN('06_Secuencia_Optima'!$G$27,MAX(0,'07_Calendario'!$G$20-'06_Secuencia_Optima'!$L$27-'06_Secuencia_Optima'!$AB$27)*'06_Secuencia_Optima'!$H$27/480),6)))</f>
        <v>0</v>
      </c>
      <c r="T8" s="51">
        <f>IF('07_Calendario'!$E$21=0,"",INT(ROUND(MIN('06_Secuencia_Optima'!$G$27,MAX(0,'07_Calendario'!$H$21-'06_Secuencia_Optima'!$L$27-'06_Secuencia_Optima'!$AB$27)*'06_Secuencia_Optima'!$H$27/480),6))-INT(ROUND(MIN('06_Secuencia_Optima'!$G$27,MAX(0,'07_Calendario'!$G$21-'06_Secuencia_Optima'!$L$27-'06_Secuencia_Optima'!$AB$27)*'06_Secuencia_Optima'!$H$27/480),6)))</f>
        <v>0</v>
      </c>
      <c r="U8" s="51">
        <f>IF('07_Calendario'!$E$22=0,"",INT(ROUND(MIN('06_Secuencia_Optima'!$G$27,MAX(0,'07_Calendario'!$H$22-'06_Secuencia_Optima'!$L$27-'06_Secuencia_Optima'!$AB$27)*'06_Secuencia_Optima'!$H$27/480),6))-INT(ROUND(MIN('06_Secuencia_Optima'!$G$27,MAX(0,'07_Calendario'!$G$22-'06_Secuencia_Optima'!$L$27-'06_Secuencia_Optima'!$AB$27)*'06_Secuencia_Optima'!$H$27/480),6)))</f>
        <v>0</v>
      </c>
      <c r="V8" s="51">
        <f>IF('07_Calendario'!$E$23=0,"",INT(ROUND(MIN('06_Secuencia_Optima'!$G$27,MAX(0,'07_Calendario'!$H$23-'06_Secuencia_Optima'!$L$27-'06_Secuencia_Optima'!$AB$27)*'06_Secuencia_Optima'!$H$27/480),6))-INT(ROUND(MIN('06_Secuencia_Optima'!$G$27,MAX(0,'07_Calendario'!$G$23-'06_Secuencia_Optima'!$L$27-'06_Secuencia_Optima'!$AB$27)*'06_Secuencia_Optima'!$H$27/480),6)))</f>
        <v>0</v>
      </c>
      <c r="W8" s="51">
        <f>IF('07_Calendario'!$E$24=0,"",INT(ROUND(MIN('06_Secuencia_Optima'!$G$27,MAX(0,'07_Calendario'!$H$24-'06_Secuencia_Optima'!$L$27-'06_Secuencia_Optima'!$AB$27)*'06_Secuencia_Optima'!$H$27/480),6))-INT(ROUND(MIN('06_Secuencia_Optima'!$G$27,MAX(0,'07_Calendario'!$G$24-'06_Secuencia_Optima'!$L$27-'06_Secuencia_Optima'!$AB$27)*'06_Secuencia_Optima'!$H$27/480),6)))</f>
        <v>0</v>
      </c>
      <c r="X8" s="51">
        <f>IF('07_Calendario'!$E$25=0,"",INT(ROUND(MIN('06_Secuencia_Optima'!$G$27,MAX(0,'07_Calendario'!$H$25-'06_Secuencia_Optima'!$L$27-'06_Secuencia_Optima'!$AB$27)*'06_Secuencia_Optima'!$H$27/480),6))-INT(ROUND(MIN('06_Secuencia_Optima'!$G$27,MAX(0,'07_Calendario'!$G$25-'06_Secuencia_Optima'!$L$27-'06_Secuencia_Optima'!$AB$27)*'06_Secuencia_Optima'!$H$27/480),6)))</f>
        <v>0</v>
      </c>
      <c r="Y8" s="51">
        <f>IF('07_Calendario'!$E$26=0,"",INT(ROUND(MIN('06_Secuencia_Optima'!$G$27,MAX(0,'07_Calendario'!$H$26-'06_Secuencia_Optima'!$L$27-'06_Secuencia_Optima'!$AB$27)*'06_Secuencia_Optima'!$H$27/480),6))-INT(ROUND(MIN('06_Secuencia_Optima'!$G$27,MAX(0,'07_Calendario'!$G$26-'06_Secuencia_Optima'!$L$27-'06_Secuencia_Optima'!$AB$27)*'06_Secuencia_Optima'!$H$27/480),6)))</f>
        <v>0</v>
      </c>
      <c r="Z8" s="51">
        <f>IF('07_Calendario'!$E$27=0,"",INT(ROUND(MIN('06_Secuencia_Optima'!$G$27,MAX(0,'07_Calendario'!$H$27-'06_Secuencia_Optima'!$L$27-'06_Secuencia_Optima'!$AB$27)*'06_Secuencia_Optima'!$H$27/480),6))-INT(ROUND(MIN('06_Secuencia_Optima'!$G$27,MAX(0,'07_Calendario'!$G$27-'06_Secuencia_Optima'!$L$27-'06_Secuencia_Optima'!$AB$27)*'06_Secuencia_Optima'!$H$27/480),6)))</f>
        <v>0</v>
      </c>
      <c r="AA8" s="51">
        <f>IF('07_Calendario'!$E$28=0,"",INT(ROUND(MIN('06_Secuencia_Optima'!$G$27,MAX(0,'07_Calendario'!$H$28-'06_Secuencia_Optima'!$L$27-'06_Secuencia_Optima'!$AB$27)*'06_Secuencia_Optima'!$H$27/480),6))-INT(ROUND(MIN('06_Secuencia_Optima'!$G$27,MAX(0,'07_Calendario'!$G$28-'06_Secuencia_Optima'!$L$27-'06_Secuencia_Optima'!$AB$27)*'06_Secuencia_Optima'!$H$27/480),6)))</f>
        <v>0</v>
      </c>
      <c r="AB8" s="51">
        <f>IF('07_Calendario'!$E$29=0,"",INT(ROUND(MIN('06_Secuencia_Optima'!$G$27,MAX(0,'07_Calendario'!$H$29-'06_Secuencia_Optima'!$L$27-'06_Secuencia_Optima'!$AB$27)*'06_Secuencia_Optima'!$H$27/480),6))-INT(ROUND(MIN('06_Secuencia_Optima'!$G$27,MAX(0,'07_Calendario'!$G$29-'06_Secuencia_Optima'!$L$27-'06_Secuencia_Optima'!$AB$27)*'06_Secuencia_Optima'!$H$27/480),6)))</f>
        <v>0</v>
      </c>
      <c r="AC8" s="51">
        <f>IF('07_Calendario'!$E$30=0,"",INT(ROUND(MIN('06_Secuencia_Optima'!$G$27,MAX(0,'07_Calendario'!$H$30-'06_Secuencia_Optima'!$L$27-'06_Secuencia_Optima'!$AB$27)*'06_Secuencia_Optima'!$H$27/480),6))-INT(ROUND(MIN('06_Secuencia_Optima'!$G$27,MAX(0,'07_Calendario'!$G$30-'06_Secuencia_Optima'!$L$27-'06_Secuencia_Optima'!$AB$27)*'06_Secuencia_Optima'!$H$27/480),6)))</f>
        <v>0</v>
      </c>
      <c r="AD8" s="51">
        <f>IF('07_Calendario'!$E$31=0,"",INT(ROUND(MIN('06_Secuencia_Optima'!$G$27,MAX(0,'07_Calendario'!$H$31-'06_Secuencia_Optima'!$L$27-'06_Secuencia_Optima'!$AB$27)*'06_Secuencia_Optima'!$H$27/480),6))-INT(ROUND(MIN('06_Secuencia_Optima'!$G$27,MAX(0,'07_Calendario'!$G$31-'06_Secuencia_Optima'!$L$27-'06_Secuencia_Optima'!$AB$27)*'06_Secuencia_Optima'!$H$27/480),6)))</f>
        <v>0</v>
      </c>
      <c r="AE8" s="51">
        <f>IF('07_Calendario'!$E$32=0,"",INT(ROUND(MIN('06_Secuencia_Optima'!$G$27,MAX(0,'07_Calendario'!$H$32-'06_Secuencia_Optima'!$L$27-'06_Secuencia_Optima'!$AB$27)*'06_Secuencia_Optima'!$H$27/480),6))-INT(ROUND(MIN('06_Secuencia_Optima'!$G$27,MAX(0,'07_Calendario'!$G$32-'06_Secuencia_Optima'!$L$27-'06_Secuencia_Optima'!$AB$27)*'06_Secuencia_Optima'!$H$27/480),6)))</f>
        <v>0</v>
      </c>
      <c r="AF8" s="51">
        <f>IF('07_Calendario'!$E$33=0,"",INT(ROUND(MIN('06_Secuencia_Optima'!$G$27,MAX(0,'07_Calendario'!$H$33-'06_Secuencia_Optima'!$L$27-'06_Secuencia_Optima'!$AB$27)*'06_Secuencia_Optima'!$H$27/480),6))-INT(ROUND(MIN('06_Secuencia_Optima'!$G$27,MAX(0,'07_Calendario'!$G$33-'06_Secuencia_Optima'!$L$27-'06_Secuencia_Optima'!$AB$27)*'06_Secuencia_Optima'!$H$27/480),6)))</f>
        <v>0</v>
      </c>
      <c r="AG8" s="51">
        <f>IF('07_Calendario'!$E$34=0,"",INT(ROUND(MIN('06_Secuencia_Optima'!$G$27,MAX(0,'07_Calendario'!$H$34-'06_Secuencia_Optima'!$L$27-'06_Secuencia_Optima'!$AB$27)*'06_Secuencia_Optima'!$H$27/480),6))-INT(ROUND(MIN('06_Secuencia_Optima'!$G$27,MAX(0,'07_Calendario'!$G$34-'06_Secuencia_Optima'!$L$27-'06_Secuencia_Optima'!$AB$27)*'06_Secuencia_Optima'!$H$27/480),6)))</f>
        <v>0</v>
      </c>
      <c r="AH8" s="51">
        <f>IF('07_Calendario'!$E$35=0,"",INT(ROUND(MIN('06_Secuencia_Optima'!$G$27,MAX(0,'07_Calendario'!$H$35-'06_Secuencia_Optima'!$L$27-'06_Secuencia_Optima'!$AB$27)*'06_Secuencia_Optima'!$H$27/480),6))-INT(ROUND(MIN('06_Secuencia_Optima'!$G$27,MAX(0,'07_Calendario'!$G$35-'06_Secuencia_Optima'!$L$27-'06_Secuencia_Optima'!$AB$27)*'06_Secuencia_Optima'!$H$27/480),6)))</f>
        <v>0</v>
      </c>
      <c r="AI8" s="51">
        <f>IF('07_Calendario'!$E$36=0,"",INT(ROUND(MIN('06_Secuencia_Optima'!$G$27,MAX(0,'07_Calendario'!$H$36-'06_Secuencia_Optima'!$L$27-'06_Secuencia_Optima'!$AB$27)*'06_Secuencia_Optima'!$H$27/480),6))-INT(ROUND(MIN('06_Secuencia_Optima'!$G$27,MAX(0,'07_Calendario'!$G$36-'06_Secuencia_Optima'!$L$27-'06_Secuencia_Optima'!$AB$27)*'06_Secuencia_Optima'!$H$27/480),6)))</f>
        <v>0</v>
      </c>
      <c r="AJ8" s="51" t="str">
        <f>IF('07_Calendario'!$E$37=0,"",INT(ROUND(MIN('06_Secuencia_Optima'!$G$27,MAX(0,'07_Calendario'!$H$37-'06_Secuencia_Optima'!$L$27-'06_Secuencia_Optima'!$AB$27)*'06_Secuencia_Optima'!$H$27/480),6))-INT(ROUND(MIN('06_Secuencia_Optima'!$G$27,MAX(0,'07_Calendario'!$G$37-'06_Secuencia_Optima'!$L$27-'06_Secuencia_Optima'!$AB$27)*'06_Secuencia_Optima'!$H$27/480),6)))</f>
        <v/>
      </c>
      <c r="AK8" s="51">
        <f>IF('07_Calendario'!$E$38=0,"",INT(ROUND(MIN('06_Secuencia_Optima'!$G$27,MAX(0,'07_Calendario'!$H$38-'06_Secuencia_Optima'!$L$27-'06_Secuencia_Optima'!$AB$27)*'06_Secuencia_Optima'!$H$27/480),6))-INT(ROUND(MIN('06_Secuencia_Optima'!$G$27,MAX(0,'07_Calendario'!$G$38-'06_Secuencia_Optima'!$L$27-'06_Secuencia_Optima'!$AB$27)*'06_Secuencia_Optima'!$H$27/480),6)))</f>
        <v>0</v>
      </c>
      <c r="AL8" s="51">
        <f>IF('07_Calendario'!$E$39=0,"",INT(ROUND(MIN('06_Secuencia_Optima'!$G$27,MAX(0,'07_Calendario'!$H$39-'06_Secuencia_Optima'!$L$27-'06_Secuencia_Optima'!$AB$27)*'06_Secuencia_Optima'!$H$27/480),6))-INT(ROUND(MIN('06_Secuencia_Optima'!$G$27,MAX(0,'07_Calendario'!$G$39-'06_Secuencia_Optima'!$L$27-'06_Secuencia_Optima'!$AB$27)*'06_Secuencia_Optima'!$H$27/480),6)))</f>
        <v>0</v>
      </c>
      <c r="AM8" s="51">
        <f>IF('07_Calendario'!$E$40=0,"",INT(ROUND(MIN('06_Secuencia_Optima'!$G$27,MAX(0,'07_Calendario'!$H$40-'06_Secuencia_Optima'!$L$27-'06_Secuencia_Optima'!$AB$27)*'06_Secuencia_Optima'!$H$27/480),6))-INT(ROUND(MIN('06_Secuencia_Optima'!$G$27,MAX(0,'07_Calendario'!$G$40-'06_Secuencia_Optima'!$L$27-'06_Secuencia_Optima'!$AB$27)*'06_Secuencia_Optima'!$H$27/480),6)))</f>
        <v>0</v>
      </c>
      <c r="AN8" s="51">
        <f>IF('07_Calendario'!$E$41=0,"",INT(ROUND(MIN('06_Secuencia_Optima'!$G$27,MAX(0,'07_Calendario'!$H$41-'06_Secuencia_Optima'!$L$27-'06_Secuencia_Optima'!$AB$27)*'06_Secuencia_Optima'!$H$27/480),6))-INT(ROUND(MIN('06_Secuencia_Optima'!$G$27,MAX(0,'07_Calendario'!$G$41-'06_Secuencia_Optima'!$L$27-'06_Secuencia_Optima'!$AB$27)*'06_Secuencia_Optima'!$H$27/480),6)))</f>
        <v>0</v>
      </c>
      <c r="AO8" s="51">
        <f>IF('07_Calendario'!$E$42=0,"",INT(ROUND(MIN('06_Secuencia_Optima'!$G$27,MAX(0,'07_Calendario'!$H$42-'06_Secuencia_Optima'!$L$27-'06_Secuencia_Optima'!$AB$27)*'06_Secuencia_Optima'!$H$27/480),6))-INT(ROUND(MIN('06_Secuencia_Optima'!$G$27,MAX(0,'07_Calendario'!$G$42-'06_Secuencia_Optima'!$L$27-'06_Secuencia_Optima'!$AB$27)*'06_Secuencia_Optima'!$H$27/480),6)))</f>
        <v>0</v>
      </c>
      <c r="AP8" s="51">
        <f>IF('07_Calendario'!$E$43=0,"",INT(ROUND(MIN('06_Secuencia_Optima'!$G$27,MAX(0,'07_Calendario'!$H$43-'06_Secuencia_Optima'!$L$27-'06_Secuencia_Optima'!$AB$27)*'06_Secuencia_Optima'!$H$27/480),6))-INT(ROUND(MIN('06_Secuencia_Optima'!$G$27,MAX(0,'07_Calendario'!$G$43-'06_Secuencia_Optima'!$L$27-'06_Secuencia_Optima'!$AB$27)*'06_Secuencia_Optima'!$H$27/480),6)))</f>
        <v>0</v>
      </c>
      <c r="AQ8" s="51">
        <f>IF('07_Calendario'!$E$44=0,"",INT(ROUND(MIN('06_Secuencia_Optima'!$G$27,MAX(0,'07_Calendario'!$H$44-'06_Secuencia_Optima'!$L$27-'06_Secuencia_Optima'!$AB$27)*'06_Secuencia_Optima'!$H$27/480),6))-INT(ROUND(MIN('06_Secuencia_Optima'!$G$27,MAX(0,'07_Calendario'!$G$44-'06_Secuencia_Optima'!$L$27-'06_Secuencia_Optima'!$AB$27)*'06_Secuencia_Optima'!$H$27/480),6)))</f>
        <v>0</v>
      </c>
      <c r="AR8" s="51">
        <f>IF('07_Calendario'!$E$45=0,"",INT(ROUND(MIN('06_Secuencia_Optima'!$G$27,MAX(0,'07_Calendario'!$H$45-'06_Secuencia_Optima'!$L$27-'06_Secuencia_Optima'!$AB$27)*'06_Secuencia_Optima'!$H$27/480),6))-INT(ROUND(MIN('06_Secuencia_Optima'!$G$27,MAX(0,'07_Calendario'!$G$45-'06_Secuencia_Optima'!$L$27-'06_Secuencia_Optima'!$AB$27)*'06_Secuencia_Optima'!$H$27/480),6)))</f>
        <v>0</v>
      </c>
      <c r="AS8" s="51">
        <f>IF('07_Calendario'!$E$46=0,"",INT(ROUND(MIN('06_Secuencia_Optima'!$G$27,MAX(0,'07_Calendario'!$H$46-'06_Secuencia_Optima'!$L$27-'06_Secuencia_Optima'!$AB$27)*'06_Secuencia_Optima'!$H$27/480),6))-INT(ROUND(MIN('06_Secuencia_Optima'!$G$27,MAX(0,'07_Calendario'!$G$46-'06_Secuencia_Optima'!$L$27-'06_Secuencia_Optima'!$AB$27)*'06_Secuencia_Optima'!$H$27/480),6)))</f>
        <v>0</v>
      </c>
      <c r="AT8" s="51">
        <f>IF('07_Calendario'!$E$47=0,"",INT(ROUND(MIN('06_Secuencia_Optima'!$G$27,MAX(0,'07_Calendario'!$H$47-'06_Secuencia_Optima'!$L$27-'06_Secuencia_Optima'!$AB$27)*'06_Secuencia_Optima'!$H$27/480),6))-INT(ROUND(MIN('06_Secuencia_Optima'!$G$27,MAX(0,'07_Calendario'!$G$47-'06_Secuencia_Optima'!$L$27-'06_Secuencia_Optima'!$AB$27)*'06_Secuencia_Optima'!$H$27/480),6)))</f>
        <v>0</v>
      </c>
      <c r="AU8" s="51">
        <f>IF('07_Calendario'!$E$48=0,"",INT(ROUND(MIN('06_Secuencia_Optima'!$G$27,MAX(0,'07_Calendario'!$H$48-'06_Secuencia_Optima'!$L$27-'06_Secuencia_Optima'!$AB$27)*'06_Secuencia_Optima'!$H$27/480),6))-INT(ROUND(MIN('06_Secuencia_Optima'!$G$27,MAX(0,'07_Calendario'!$G$48-'06_Secuencia_Optima'!$L$27-'06_Secuencia_Optima'!$AB$27)*'06_Secuencia_Optima'!$H$27/480),6)))</f>
        <v>0</v>
      </c>
      <c r="AV8" s="51">
        <f>IF('07_Calendario'!$E$49=0,"",INT(ROUND(MIN('06_Secuencia_Optima'!$G$27,MAX(0,'07_Calendario'!$H$49-'06_Secuencia_Optima'!$L$27-'06_Secuencia_Optima'!$AB$27)*'06_Secuencia_Optima'!$H$27/480),6))-INT(ROUND(MIN('06_Secuencia_Optima'!$G$27,MAX(0,'07_Calendario'!$G$49-'06_Secuencia_Optima'!$L$27-'06_Secuencia_Optima'!$AB$27)*'06_Secuencia_Optima'!$H$27/480),6)))</f>
        <v>0</v>
      </c>
      <c r="AW8" s="51">
        <f>IF('07_Calendario'!$E$50=0,"",INT(ROUND(MIN('06_Secuencia_Optima'!$G$27,MAX(0,'07_Calendario'!$H$50-'06_Secuencia_Optima'!$L$27-'06_Secuencia_Optima'!$AB$27)*'06_Secuencia_Optima'!$H$27/480),6))-INT(ROUND(MIN('06_Secuencia_Optima'!$G$27,MAX(0,'07_Calendario'!$G$50-'06_Secuencia_Optima'!$L$27-'06_Secuencia_Optima'!$AB$27)*'06_Secuencia_Optima'!$H$27/480),6)))</f>
        <v>0</v>
      </c>
      <c r="AX8" s="51">
        <f>IF('07_Calendario'!$E$51=0,"",INT(ROUND(MIN('06_Secuencia_Optima'!$G$27,MAX(0,'07_Calendario'!$H$51-'06_Secuencia_Optima'!$L$27-'06_Secuencia_Optima'!$AB$27)*'06_Secuencia_Optima'!$H$27/480),6))-INT(ROUND(MIN('06_Secuencia_Optima'!$G$27,MAX(0,'07_Calendario'!$G$51-'06_Secuencia_Optima'!$L$27-'06_Secuencia_Optima'!$AB$27)*'06_Secuencia_Optima'!$H$27/480),6)))</f>
        <v>0</v>
      </c>
      <c r="AY8" s="51">
        <f>IF('07_Calendario'!$E$52=0,"",INT(ROUND(MIN('06_Secuencia_Optima'!$G$27,MAX(0,'07_Calendario'!$H$52-'06_Secuencia_Optima'!$L$27-'06_Secuencia_Optima'!$AB$27)*'06_Secuencia_Optima'!$H$27/480),6))-INT(ROUND(MIN('06_Secuencia_Optima'!$G$27,MAX(0,'07_Calendario'!$G$52-'06_Secuencia_Optima'!$L$27-'06_Secuencia_Optima'!$AB$27)*'06_Secuencia_Optima'!$H$27/480),6)))</f>
        <v>0</v>
      </c>
      <c r="AZ8" s="51">
        <f>IF('07_Calendario'!$E$53=0,"",INT(ROUND(MIN('06_Secuencia_Optima'!$G$27,MAX(0,'07_Calendario'!$H$53-'06_Secuencia_Optima'!$L$27-'06_Secuencia_Optima'!$AB$27)*'06_Secuencia_Optima'!$H$27/480),6))-INT(ROUND(MIN('06_Secuencia_Optima'!$G$27,MAX(0,'07_Calendario'!$G$53-'06_Secuencia_Optima'!$L$27-'06_Secuencia_Optima'!$AB$27)*'06_Secuencia_Optima'!$H$27/480),6)))</f>
        <v>0</v>
      </c>
      <c r="BA8" s="51">
        <f>IF('07_Calendario'!$E$54=0,"",INT(ROUND(MIN('06_Secuencia_Optima'!$G$27,MAX(0,'07_Calendario'!$H$54-'06_Secuencia_Optima'!$L$27-'06_Secuencia_Optima'!$AB$27)*'06_Secuencia_Optima'!$H$27/480),6))-INT(ROUND(MIN('06_Secuencia_Optima'!$G$27,MAX(0,'07_Calendario'!$G$54-'06_Secuencia_Optima'!$L$27-'06_Secuencia_Optima'!$AB$27)*'06_Secuencia_Optima'!$H$27/480),6)))</f>
        <v>0</v>
      </c>
      <c r="BB8" s="51" t="str">
        <f>IF('07_Calendario'!$E$55=0,"",INT(ROUND(MIN('06_Secuencia_Optima'!$G$27,MAX(0,'07_Calendario'!$H$55-'06_Secuencia_Optima'!$L$27-'06_Secuencia_Optima'!$AB$27)*'06_Secuencia_Optima'!$H$27/480),6))-INT(ROUND(MIN('06_Secuencia_Optima'!$G$27,MAX(0,'07_Calendario'!$G$55-'06_Secuencia_Optima'!$L$27-'06_Secuencia_Optima'!$AB$27)*'06_Secuencia_Optima'!$H$27/480),6)))</f>
        <v/>
      </c>
      <c r="BC8" s="51">
        <f>IF('07_Calendario'!$E$56=0,"",INT(ROUND(MIN('06_Secuencia_Optima'!$G$27,MAX(0,'07_Calendario'!$H$56-'06_Secuencia_Optima'!$L$27-'06_Secuencia_Optima'!$AB$27)*'06_Secuencia_Optima'!$H$27/480),6))-INT(ROUND(MIN('06_Secuencia_Optima'!$G$27,MAX(0,'07_Calendario'!$G$56-'06_Secuencia_Optima'!$L$27-'06_Secuencia_Optima'!$AB$27)*'06_Secuencia_Optima'!$H$27/480),6)))</f>
        <v>0</v>
      </c>
      <c r="BD8" s="51">
        <f>IF('07_Calendario'!$E$57=0,"",INT(ROUND(MIN('06_Secuencia_Optima'!$G$27,MAX(0,'07_Calendario'!$H$57-'06_Secuencia_Optima'!$L$27-'06_Secuencia_Optima'!$AB$27)*'06_Secuencia_Optima'!$H$27/480),6))-INT(ROUND(MIN('06_Secuencia_Optima'!$G$27,MAX(0,'07_Calendario'!$G$57-'06_Secuencia_Optima'!$L$27-'06_Secuencia_Optima'!$AB$27)*'06_Secuencia_Optima'!$H$27/480),6)))</f>
        <v>0</v>
      </c>
      <c r="BE8" s="51">
        <f>IF('07_Calendario'!$E$58=0,"",INT(ROUND(MIN('06_Secuencia_Optima'!$G$27,MAX(0,'07_Calendario'!$H$58-'06_Secuencia_Optima'!$L$27-'06_Secuencia_Optima'!$AB$27)*'06_Secuencia_Optima'!$H$27/480),6))-INT(ROUND(MIN('06_Secuencia_Optima'!$G$27,MAX(0,'07_Calendario'!$G$58-'06_Secuencia_Optima'!$L$27-'06_Secuencia_Optima'!$AB$27)*'06_Secuencia_Optima'!$H$27/480),6)))</f>
        <v>0</v>
      </c>
      <c r="BF8" s="51">
        <f>IF('07_Calendario'!$E$59=0,"",INT(ROUND(MIN('06_Secuencia_Optima'!$G$27,MAX(0,'07_Calendario'!$H$59-'06_Secuencia_Optima'!$L$27-'06_Secuencia_Optima'!$AB$27)*'06_Secuencia_Optima'!$H$27/480),6))-INT(ROUND(MIN('06_Secuencia_Optima'!$G$27,MAX(0,'07_Calendario'!$G$59-'06_Secuencia_Optima'!$L$27-'06_Secuencia_Optima'!$AB$27)*'06_Secuencia_Optima'!$H$27/480),6)))</f>
        <v>0</v>
      </c>
      <c r="BG8" s="51">
        <f>IF('07_Calendario'!$E$60=0,"",INT(ROUND(MIN('06_Secuencia_Optima'!$G$27,MAX(0,'07_Calendario'!$H$60-'06_Secuencia_Optima'!$L$27-'06_Secuencia_Optima'!$AB$27)*'06_Secuencia_Optima'!$H$27/480),6))-INT(ROUND(MIN('06_Secuencia_Optima'!$G$27,MAX(0,'07_Calendario'!$G$60-'06_Secuencia_Optima'!$L$27-'06_Secuencia_Optima'!$AB$27)*'06_Secuencia_Optima'!$H$27/480),6)))</f>
        <v>0</v>
      </c>
      <c r="BH8" s="51">
        <f>IF('07_Calendario'!$E$61=0,"",INT(ROUND(MIN('06_Secuencia_Optima'!$G$27,MAX(0,'07_Calendario'!$H$61-'06_Secuencia_Optima'!$L$27-'06_Secuencia_Optima'!$AB$27)*'06_Secuencia_Optima'!$H$27/480),6))-INT(ROUND(MIN('06_Secuencia_Optima'!$G$27,MAX(0,'07_Calendario'!$G$61-'06_Secuencia_Optima'!$L$27-'06_Secuencia_Optima'!$AB$27)*'06_Secuencia_Optima'!$H$27/480),6)))</f>
        <v>0</v>
      </c>
      <c r="BI8" s="51">
        <f>IF('07_Calendario'!$E$62=0,"",INT(ROUND(MIN('06_Secuencia_Optima'!$G$27,MAX(0,'07_Calendario'!$H$62-'06_Secuencia_Optima'!$L$27-'06_Secuencia_Optima'!$AB$27)*'06_Secuencia_Optima'!$H$27/480),6))-INT(ROUND(MIN('06_Secuencia_Optima'!$G$27,MAX(0,'07_Calendario'!$G$62-'06_Secuencia_Optima'!$L$27-'06_Secuencia_Optima'!$AB$27)*'06_Secuencia_Optima'!$H$27/480),6)))</f>
        <v>0</v>
      </c>
      <c r="BJ8" s="51">
        <f>IF('07_Calendario'!$E$63=0,"",INT(ROUND(MIN('06_Secuencia_Optima'!$G$27,MAX(0,'07_Calendario'!$H$63-'06_Secuencia_Optima'!$L$27-'06_Secuencia_Optima'!$AB$27)*'06_Secuencia_Optima'!$H$27/480),6))-INT(ROUND(MIN('06_Secuencia_Optima'!$G$27,MAX(0,'07_Calendario'!$G$63-'06_Secuencia_Optima'!$L$27-'06_Secuencia_Optima'!$AB$27)*'06_Secuencia_Optima'!$H$27/480),6)))</f>
        <v>0</v>
      </c>
      <c r="BK8" s="51">
        <f>IF('07_Calendario'!$E$64=0,"",INT(ROUND(MIN('06_Secuencia_Optima'!$G$27,MAX(0,'07_Calendario'!$H$64-'06_Secuencia_Optima'!$L$27-'06_Secuencia_Optima'!$AB$27)*'06_Secuencia_Optima'!$H$27/480),6))-INT(ROUND(MIN('06_Secuencia_Optima'!$G$27,MAX(0,'07_Calendario'!$G$64-'06_Secuencia_Optima'!$L$27-'06_Secuencia_Optima'!$AB$27)*'06_Secuencia_Optima'!$H$27/480),6)))</f>
        <v>0</v>
      </c>
      <c r="BL8" s="51">
        <f>IF('07_Calendario'!$E$65=0,"",INT(ROUND(MIN('06_Secuencia_Optima'!$G$27,MAX(0,'07_Calendario'!$H$65-'06_Secuencia_Optima'!$L$27-'06_Secuencia_Optima'!$AB$27)*'06_Secuencia_Optima'!$H$27/480),6))-INT(ROUND(MIN('06_Secuencia_Optima'!$G$27,MAX(0,'07_Calendario'!$G$65-'06_Secuencia_Optima'!$L$27-'06_Secuencia_Optima'!$AB$27)*'06_Secuencia_Optima'!$H$27/480),6)))</f>
        <v>0</v>
      </c>
      <c r="BM8" s="51">
        <f>IF('07_Calendario'!$E$66=0,"",INT(ROUND(MIN('06_Secuencia_Optima'!$G$27,MAX(0,'07_Calendario'!$H$66-'06_Secuencia_Optima'!$L$27-'06_Secuencia_Optima'!$AB$27)*'06_Secuencia_Optima'!$H$27/480),6))-INT(ROUND(MIN('06_Secuencia_Optima'!$G$27,MAX(0,'07_Calendario'!$G$66-'06_Secuencia_Optima'!$L$27-'06_Secuencia_Optima'!$AB$27)*'06_Secuencia_Optima'!$H$27/480),6)))</f>
        <v>0</v>
      </c>
      <c r="BN8" s="51">
        <f>IF('07_Calendario'!$E$67=0,"",INT(ROUND(MIN('06_Secuencia_Optima'!$G$27,MAX(0,'07_Calendario'!$H$67-'06_Secuencia_Optima'!$L$27-'06_Secuencia_Optima'!$AB$27)*'06_Secuencia_Optima'!$H$27/480),6))-INT(ROUND(MIN('06_Secuencia_Optima'!$G$27,MAX(0,'07_Calendario'!$G$67-'06_Secuencia_Optima'!$L$27-'06_Secuencia_Optima'!$AB$27)*'06_Secuencia_Optima'!$H$27/480),6)))</f>
        <v>0</v>
      </c>
      <c r="BO8" s="51">
        <f>IF('07_Calendario'!$E$68=0,"",INT(ROUND(MIN('06_Secuencia_Optima'!$G$27,MAX(0,'07_Calendario'!$H$68-'06_Secuencia_Optima'!$L$27-'06_Secuencia_Optima'!$AB$27)*'06_Secuencia_Optima'!$H$27/480),6))-INT(ROUND(MIN('06_Secuencia_Optima'!$G$27,MAX(0,'07_Calendario'!$G$68-'06_Secuencia_Optima'!$L$27-'06_Secuencia_Optima'!$AB$27)*'06_Secuencia_Optima'!$H$27/480),6)))</f>
        <v>0</v>
      </c>
      <c r="BP8" s="51">
        <f>IF('07_Calendario'!$E$69=0,"",INT(ROUND(MIN('06_Secuencia_Optima'!$G$27,MAX(0,'07_Calendario'!$H$69-'06_Secuencia_Optima'!$L$27-'06_Secuencia_Optima'!$AB$27)*'06_Secuencia_Optima'!$H$27/480),6))-INT(ROUND(MIN('06_Secuencia_Optima'!$G$27,MAX(0,'07_Calendario'!$G$69-'06_Secuencia_Optima'!$L$27-'06_Secuencia_Optima'!$AB$27)*'06_Secuencia_Optima'!$H$27/480),6)))</f>
        <v>0</v>
      </c>
      <c r="BQ8" s="51">
        <f>IF('07_Calendario'!$E$70=0,"",INT(ROUND(MIN('06_Secuencia_Optima'!$G$27,MAX(0,'07_Calendario'!$H$70-'06_Secuencia_Optima'!$L$27-'06_Secuencia_Optima'!$AB$27)*'06_Secuencia_Optima'!$H$27/480),6))-INT(ROUND(MIN('06_Secuencia_Optima'!$G$27,MAX(0,'07_Calendario'!$G$70-'06_Secuencia_Optima'!$L$27-'06_Secuencia_Optima'!$AB$27)*'06_Secuencia_Optima'!$H$27/480),6)))</f>
        <v>0</v>
      </c>
      <c r="BR8" s="51">
        <f>IF('07_Calendario'!$E$71=0,"",INT(ROUND(MIN('06_Secuencia_Optima'!$G$27,MAX(0,'07_Calendario'!$H$71-'06_Secuencia_Optima'!$L$27-'06_Secuencia_Optima'!$AB$27)*'06_Secuencia_Optima'!$H$27/480),6))-INT(ROUND(MIN('06_Secuencia_Optima'!$G$27,MAX(0,'07_Calendario'!$G$71-'06_Secuencia_Optima'!$L$27-'06_Secuencia_Optima'!$AB$27)*'06_Secuencia_Optima'!$H$27/480),6)))</f>
        <v>0</v>
      </c>
      <c r="BS8" s="51">
        <f>IF('07_Calendario'!$E$72=0,"",INT(ROUND(MIN('06_Secuencia_Optima'!$G$27,MAX(0,'07_Calendario'!$H$72-'06_Secuencia_Optima'!$L$27-'06_Secuencia_Optima'!$AB$27)*'06_Secuencia_Optima'!$H$27/480),6))-INT(ROUND(MIN('06_Secuencia_Optima'!$G$27,MAX(0,'07_Calendario'!$G$72-'06_Secuencia_Optima'!$L$27-'06_Secuencia_Optima'!$AB$27)*'06_Secuencia_Optima'!$H$27/480),6)))</f>
        <v>0</v>
      </c>
      <c r="BT8" s="51" t="str">
        <f>IF('07_Calendario'!$E$73=0,"",INT(ROUND(MIN('06_Secuencia_Optima'!$G$27,MAX(0,'07_Calendario'!$H$73-'06_Secuencia_Optima'!$L$27-'06_Secuencia_Optima'!$AB$27)*'06_Secuencia_Optima'!$H$27/480),6))-INT(ROUND(MIN('06_Secuencia_Optima'!$G$27,MAX(0,'07_Calendario'!$G$73-'06_Secuencia_Optima'!$L$27-'06_Secuencia_Optima'!$AB$27)*'06_Secuencia_Optima'!$H$27/480),6)))</f>
        <v/>
      </c>
      <c r="BU8" s="51">
        <f>IF('07_Calendario'!$E$74=0,"",INT(ROUND(MIN('06_Secuencia_Optima'!$G$27,MAX(0,'07_Calendario'!$H$74-'06_Secuencia_Optima'!$L$27-'06_Secuencia_Optima'!$AB$27)*'06_Secuencia_Optima'!$H$27/480),6))-INT(ROUND(MIN('06_Secuencia_Optima'!$G$27,MAX(0,'07_Calendario'!$G$74-'06_Secuencia_Optima'!$L$27-'06_Secuencia_Optima'!$AB$27)*'06_Secuencia_Optima'!$H$27/480),6)))</f>
        <v>0</v>
      </c>
      <c r="BV8" s="51">
        <f>IF('07_Calendario'!$E$75=0,"",INT(ROUND(MIN('06_Secuencia_Optima'!$G$27,MAX(0,'07_Calendario'!$H$75-'06_Secuencia_Optima'!$L$27-'06_Secuencia_Optima'!$AB$27)*'06_Secuencia_Optima'!$H$27/480),6))-INT(ROUND(MIN('06_Secuencia_Optima'!$G$27,MAX(0,'07_Calendario'!$G$75-'06_Secuencia_Optima'!$L$27-'06_Secuencia_Optima'!$AB$27)*'06_Secuencia_Optima'!$H$27/480),6)))</f>
        <v>0</v>
      </c>
      <c r="BW8" s="51">
        <f>IF('07_Calendario'!$E$76=0,"",INT(ROUND(MIN('06_Secuencia_Optima'!$G$27,MAX(0,'07_Calendario'!$H$76-'06_Secuencia_Optima'!$L$27-'06_Secuencia_Optima'!$AB$27)*'06_Secuencia_Optima'!$H$27/480),6))-INT(ROUND(MIN('06_Secuencia_Optima'!$G$27,MAX(0,'07_Calendario'!$G$76-'06_Secuencia_Optima'!$L$27-'06_Secuencia_Optima'!$AB$27)*'06_Secuencia_Optima'!$H$27/480),6)))</f>
        <v>0</v>
      </c>
      <c r="BX8" s="51">
        <f>IF('07_Calendario'!$E$77=0,"",INT(ROUND(MIN('06_Secuencia_Optima'!$G$27,MAX(0,'07_Calendario'!$H$77-'06_Secuencia_Optima'!$L$27-'06_Secuencia_Optima'!$AB$27)*'06_Secuencia_Optima'!$H$27/480),6))-INT(ROUND(MIN('06_Secuencia_Optima'!$G$27,MAX(0,'07_Calendario'!$G$77-'06_Secuencia_Optima'!$L$27-'06_Secuencia_Optima'!$AB$27)*'06_Secuencia_Optima'!$H$27/480),6)))</f>
        <v>0</v>
      </c>
      <c r="BY8" s="51">
        <f>IF('07_Calendario'!$E$78=0,"",INT(ROUND(MIN('06_Secuencia_Optima'!$G$27,MAX(0,'07_Calendario'!$H$78-'06_Secuencia_Optima'!$L$27-'06_Secuencia_Optima'!$AB$27)*'06_Secuencia_Optima'!$H$27/480),6))-INT(ROUND(MIN('06_Secuencia_Optima'!$G$27,MAX(0,'07_Calendario'!$G$78-'06_Secuencia_Optima'!$L$27-'06_Secuencia_Optima'!$AB$27)*'06_Secuencia_Optima'!$H$27/480),6)))</f>
        <v>0</v>
      </c>
      <c r="BZ8" s="51">
        <f>IF('07_Calendario'!$E$79=0,"",INT(ROUND(MIN('06_Secuencia_Optima'!$G$27,MAX(0,'07_Calendario'!$H$79-'06_Secuencia_Optima'!$L$27-'06_Secuencia_Optima'!$AB$27)*'06_Secuencia_Optima'!$H$27/480),6))-INT(ROUND(MIN('06_Secuencia_Optima'!$G$27,MAX(0,'07_Calendario'!$G$79-'06_Secuencia_Optima'!$L$27-'06_Secuencia_Optima'!$AB$27)*'06_Secuencia_Optima'!$H$27/480),6)))</f>
        <v>0</v>
      </c>
      <c r="CA8" s="51">
        <f>IF('07_Calendario'!$E$80=0,"",INT(ROUND(MIN('06_Secuencia_Optima'!$G$27,MAX(0,'07_Calendario'!$H$80-'06_Secuencia_Optima'!$L$27-'06_Secuencia_Optima'!$AB$27)*'06_Secuencia_Optima'!$H$27/480),6))-INT(ROUND(MIN('06_Secuencia_Optima'!$G$27,MAX(0,'07_Calendario'!$G$80-'06_Secuencia_Optima'!$L$27-'06_Secuencia_Optima'!$AB$27)*'06_Secuencia_Optima'!$H$27/480),6)))</f>
        <v>0</v>
      </c>
      <c r="CB8" s="51">
        <f>IF('07_Calendario'!$E$81=0,"",INT(ROUND(MIN('06_Secuencia_Optima'!$G$27,MAX(0,'07_Calendario'!$H$81-'06_Secuencia_Optima'!$L$27-'06_Secuencia_Optima'!$AB$27)*'06_Secuencia_Optima'!$H$27/480),6))-INT(ROUND(MIN('06_Secuencia_Optima'!$G$27,MAX(0,'07_Calendario'!$G$81-'06_Secuencia_Optima'!$L$27-'06_Secuencia_Optima'!$AB$27)*'06_Secuencia_Optima'!$H$27/480),6)))</f>
        <v>0</v>
      </c>
      <c r="CC8" s="51">
        <f>IF('07_Calendario'!$E$82=0,"",INT(ROUND(MIN('06_Secuencia_Optima'!$G$27,MAX(0,'07_Calendario'!$H$82-'06_Secuencia_Optima'!$L$27-'06_Secuencia_Optima'!$AB$27)*'06_Secuencia_Optima'!$H$27/480),6))-INT(ROUND(MIN('06_Secuencia_Optima'!$G$27,MAX(0,'07_Calendario'!$G$82-'06_Secuencia_Optima'!$L$27-'06_Secuencia_Optima'!$AB$27)*'06_Secuencia_Optima'!$H$27/480),6)))</f>
        <v>0</v>
      </c>
      <c r="CD8" s="18">
        <f t="shared" si="0"/>
        <v>3220</v>
      </c>
      <c r="CE8" s="19">
        <f>'06_Secuencia_Optima'!$G$27</f>
        <v>3220</v>
      </c>
      <c r="CF8" s="10" t="str">
        <f t="shared" si="1"/>
        <v>OK</v>
      </c>
    </row>
    <row r="9" spans="1:84" x14ac:dyDescent="0.2">
      <c r="A9" s="10">
        <f>'06_Secuencia_Optima'!$B$28</f>
        <v>15564</v>
      </c>
      <c r="B9" s="13" t="str">
        <f>'06_Secuencia_Optima'!$C$28</f>
        <v>SALSA NAPOLITANA (24DP/1/200g)</v>
      </c>
      <c r="C9" s="14">
        <f>'06_Secuencia_Optima'!$D$28</f>
        <v>15564</v>
      </c>
      <c r="D9" s="51">
        <f>IF('07_Calendario'!$E$5=0,"",INT(ROUND(MIN('06_Secuencia_Optima'!$G$28,MAX(0,'07_Calendario'!$H$5-'06_Secuencia_Optima'!$L$28-'06_Secuencia_Optima'!$AB$28)*'06_Secuencia_Optima'!$H$28/480),6))-INT(ROUND(MIN('06_Secuencia_Optima'!$G$28,MAX(0,'07_Calendario'!$G$5-'06_Secuencia_Optima'!$L$28-'06_Secuencia_Optima'!$AB$28)*'06_Secuencia_Optima'!$H$28/480),6)))</f>
        <v>1263</v>
      </c>
      <c r="E9" s="51">
        <f>IF('07_Calendario'!$E$6=0,"",INT(ROUND(MIN('06_Secuencia_Optima'!$G$28,MAX(0,'07_Calendario'!$H$6-'06_Secuencia_Optima'!$L$28-'06_Secuencia_Optima'!$AB$28)*'06_Secuencia_Optima'!$H$28/480),6))-INT(ROUND(MIN('06_Secuencia_Optima'!$G$28,MAX(0,'07_Calendario'!$G$6-'06_Secuencia_Optima'!$L$28-'06_Secuencia_Optima'!$AB$28)*'06_Secuencia_Optima'!$H$28/480),6)))</f>
        <v>577</v>
      </c>
      <c r="F9" s="51">
        <f>IF('07_Calendario'!$E$7=0,"",INT(ROUND(MIN('06_Secuencia_Optima'!$G$28,MAX(0,'07_Calendario'!$H$7-'06_Secuencia_Optima'!$L$28-'06_Secuencia_Optima'!$AB$28)*'06_Secuencia_Optima'!$H$28/480),6))-INT(ROUND(MIN('06_Secuencia_Optima'!$G$28,MAX(0,'07_Calendario'!$G$7-'06_Secuencia_Optima'!$L$28-'06_Secuencia_Optima'!$AB$28)*'06_Secuencia_Optima'!$H$28/480),6)))</f>
        <v>0</v>
      </c>
      <c r="G9" s="51">
        <f>IF('07_Calendario'!$E$8=0,"",INT(ROUND(MIN('06_Secuencia_Optima'!$G$28,MAX(0,'07_Calendario'!$H$8-'06_Secuencia_Optima'!$L$28-'06_Secuencia_Optima'!$AB$28)*'06_Secuencia_Optima'!$H$28/480),6))-INT(ROUND(MIN('06_Secuencia_Optima'!$G$28,MAX(0,'07_Calendario'!$G$8-'06_Secuencia_Optima'!$L$28-'06_Secuencia_Optima'!$AB$28)*'06_Secuencia_Optima'!$H$28/480),6)))</f>
        <v>0</v>
      </c>
      <c r="H9" s="51">
        <f>IF('07_Calendario'!$E$9=0,"",INT(ROUND(MIN('06_Secuencia_Optima'!$G$28,MAX(0,'07_Calendario'!$H$9-'06_Secuencia_Optima'!$L$28-'06_Secuencia_Optima'!$AB$28)*'06_Secuencia_Optima'!$H$28/480),6))-INT(ROUND(MIN('06_Secuencia_Optima'!$G$28,MAX(0,'07_Calendario'!$G$9-'06_Secuencia_Optima'!$L$28-'06_Secuencia_Optima'!$AB$28)*'06_Secuencia_Optima'!$H$28/480),6)))</f>
        <v>0</v>
      </c>
      <c r="I9" s="51">
        <f>IF('07_Calendario'!$E$10=0,"",INT(ROUND(MIN('06_Secuencia_Optima'!$G$28,MAX(0,'07_Calendario'!$H$10-'06_Secuencia_Optima'!$L$28-'06_Secuencia_Optima'!$AB$28)*'06_Secuencia_Optima'!$H$28/480),6))-INT(ROUND(MIN('06_Secuencia_Optima'!$G$28,MAX(0,'07_Calendario'!$G$10-'06_Secuencia_Optima'!$L$28-'06_Secuencia_Optima'!$AB$28)*'06_Secuencia_Optima'!$H$28/480),6)))</f>
        <v>0</v>
      </c>
      <c r="J9" s="51">
        <f>IF('07_Calendario'!$E$11=0,"",INT(ROUND(MIN('06_Secuencia_Optima'!$G$28,MAX(0,'07_Calendario'!$H$11-'06_Secuencia_Optima'!$L$28-'06_Secuencia_Optima'!$AB$28)*'06_Secuencia_Optima'!$H$28/480),6))-INT(ROUND(MIN('06_Secuencia_Optima'!$G$28,MAX(0,'07_Calendario'!$G$11-'06_Secuencia_Optima'!$L$28-'06_Secuencia_Optima'!$AB$28)*'06_Secuencia_Optima'!$H$28/480),6)))</f>
        <v>0</v>
      </c>
      <c r="K9" s="51">
        <f>IF('07_Calendario'!$E$12=0,"",INT(ROUND(MIN('06_Secuencia_Optima'!$G$28,MAX(0,'07_Calendario'!$H$12-'06_Secuencia_Optima'!$L$28-'06_Secuencia_Optima'!$AB$28)*'06_Secuencia_Optima'!$H$28/480),6))-INT(ROUND(MIN('06_Secuencia_Optima'!$G$28,MAX(0,'07_Calendario'!$G$12-'06_Secuencia_Optima'!$L$28-'06_Secuencia_Optima'!$AB$28)*'06_Secuencia_Optima'!$H$28/480),6)))</f>
        <v>0</v>
      </c>
      <c r="L9" s="51">
        <f>IF('07_Calendario'!$E$13=0,"",INT(ROUND(MIN('06_Secuencia_Optima'!$G$28,MAX(0,'07_Calendario'!$H$13-'06_Secuencia_Optima'!$L$28-'06_Secuencia_Optima'!$AB$28)*'06_Secuencia_Optima'!$H$28/480),6))-INT(ROUND(MIN('06_Secuencia_Optima'!$G$28,MAX(0,'07_Calendario'!$G$13-'06_Secuencia_Optima'!$L$28-'06_Secuencia_Optima'!$AB$28)*'06_Secuencia_Optima'!$H$28/480),6)))</f>
        <v>0</v>
      </c>
      <c r="M9" s="51">
        <f>IF('07_Calendario'!$E$14=0,"",INT(ROUND(MIN('06_Secuencia_Optima'!$G$28,MAX(0,'07_Calendario'!$H$14-'06_Secuencia_Optima'!$L$28-'06_Secuencia_Optima'!$AB$28)*'06_Secuencia_Optima'!$H$28/480),6))-INT(ROUND(MIN('06_Secuencia_Optima'!$G$28,MAX(0,'07_Calendario'!$G$14-'06_Secuencia_Optima'!$L$28-'06_Secuencia_Optima'!$AB$28)*'06_Secuencia_Optima'!$H$28/480),6)))</f>
        <v>0</v>
      </c>
      <c r="N9" s="51">
        <f>IF('07_Calendario'!$E$15=0,"",INT(ROUND(MIN('06_Secuencia_Optima'!$G$28,MAX(0,'07_Calendario'!$H$15-'06_Secuencia_Optima'!$L$28-'06_Secuencia_Optima'!$AB$28)*'06_Secuencia_Optima'!$H$28/480),6))-INT(ROUND(MIN('06_Secuencia_Optima'!$G$28,MAX(0,'07_Calendario'!$G$15-'06_Secuencia_Optima'!$L$28-'06_Secuencia_Optima'!$AB$28)*'06_Secuencia_Optima'!$H$28/480),6)))</f>
        <v>0</v>
      </c>
      <c r="O9" s="51">
        <f>IF('07_Calendario'!$E$16=0,"",INT(ROUND(MIN('06_Secuencia_Optima'!$G$28,MAX(0,'07_Calendario'!$H$16-'06_Secuencia_Optima'!$L$28-'06_Secuencia_Optima'!$AB$28)*'06_Secuencia_Optima'!$H$28/480),6))-INT(ROUND(MIN('06_Secuencia_Optima'!$G$28,MAX(0,'07_Calendario'!$G$16-'06_Secuencia_Optima'!$L$28-'06_Secuencia_Optima'!$AB$28)*'06_Secuencia_Optima'!$H$28/480),6)))</f>
        <v>0</v>
      </c>
      <c r="P9" s="51">
        <f>IF('07_Calendario'!$E$17=0,"",INT(ROUND(MIN('06_Secuencia_Optima'!$G$28,MAX(0,'07_Calendario'!$H$17-'06_Secuencia_Optima'!$L$28-'06_Secuencia_Optima'!$AB$28)*'06_Secuencia_Optima'!$H$28/480),6))-INT(ROUND(MIN('06_Secuencia_Optima'!$G$28,MAX(0,'07_Calendario'!$G$17-'06_Secuencia_Optima'!$L$28-'06_Secuencia_Optima'!$AB$28)*'06_Secuencia_Optima'!$H$28/480),6)))</f>
        <v>0</v>
      </c>
      <c r="Q9" s="51">
        <f>IF('07_Calendario'!$E$18=0,"",INT(ROUND(MIN('06_Secuencia_Optima'!$G$28,MAX(0,'07_Calendario'!$H$18-'06_Secuencia_Optima'!$L$28-'06_Secuencia_Optima'!$AB$28)*'06_Secuencia_Optima'!$H$28/480),6))-INT(ROUND(MIN('06_Secuencia_Optima'!$G$28,MAX(0,'07_Calendario'!$G$18-'06_Secuencia_Optima'!$L$28-'06_Secuencia_Optima'!$AB$28)*'06_Secuencia_Optima'!$H$28/480),6)))</f>
        <v>0</v>
      </c>
      <c r="R9" s="51" t="str">
        <f>IF('07_Calendario'!$E$19=0,"",INT(ROUND(MIN('06_Secuencia_Optima'!$G$28,MAX(0,'07_Calendario'!$H$19-'06_Secuencia_Optima'!$L$28-'06_Secuencia_Optima'!$AB$28)*'06_Secuencia_Optima'!$H$28/480),6))-INT(ROUND(MIN('06_Secuencia_Optima'!$G$28,MAX(0,'07_Calendario'!$G$19-'06_Secuencia_Optima'!$L$28-'06_Secuencia_Optima'!$AB$28)*'06_Secuencia_Optima'!$H$28/480),6)))</f>
        <v/>
      </c>
      <c r="S9" s="51">
        <f>IF('07_Calendario'!$E$20=0,"",INT(ROUND(MIN('06_Secuencia_Optima'!$G$28,MAX(0,'07_Calendario'!$H$20-'06_Secuencia_Optima'!$L$28-'06_Secuencia_Optima'!$AB$28)*'06_Secuencia_Optima'!$H$28/480),6))-INT(ROUND(MIN('06_Secuencia_Optima'!$G$28,MAX(0,'07_Calendario'!$G$20-'06_Secuencia_Optima'!$L$28-'06_Secuencia_Optima'!$AB$28)*'06_Secuencia_Optima'!$H$28/480),6)))</f>
        <v>0</v>
      </c>
      <c r="T9" s="51">
        <f>IF('07_Calendario'!$E$21=0,"",INT(ROUND(MIN('06_Secuencia_Optima'!$G$28,MAX(0,'07_Calendario'!$H$21-'06_Secuencia_Optima'!$L$28-'06_Secuencia_Optima'!$AB$28)*'06_Secuencia_Optima'!$H$28/480),6))-INT(ROUND(MIN('06_Secuencia_Optima'!$G$28,MAX(0,'07_Calendario'!$G$21-'06_Secuencia_Optima'!$L$28-'06_Secuencia_Optima'!$AB$28)*'06_Secuencia_Optima'!$H$28/480),6)))</f>
        <v>0</v>
      </c>
      <c r="U9" s="51">
        <f>IF('07_Calendario'!$E$22=0,"",INT(ROUND(MIN('06_Secuencia_Optima'!$G$28,MAX(0,'07_Calendario'!$H$22-'06_Secuencia_Optima'!$L$28-'06_Secuencia_Optima'!$AB$28)*'06_Secuencia_Optima'!$H$28/480),6))-INT(ROUND(MIN('06_Secuencia_Optima'!$G$28,MAX(0,'07_Calendario'!$G$22-'06_Secuencia_Optima'!$L$28-'06_Secuencia_Optima'!$AB$28)*'06_Secuencia_Optima'!$H$28/480),6)))</f>
        <v>0</v>
      </c>
      <c r="V9" s="51">
        <f>IF('07_Calendario'!$E$23=0,"",INT(ROUND(MIN('06_Secuencia_Optima'!$G$28,MAX(0,'07_Calendario'!$H$23-'06_Secuencia_Optima'!$L$28-'06_Secuencia_Optima'!$AB$28)*'06_Secuencia_Optima'!$H$28/480),6))-INT(ROUND(MIN('06_Secuencia_Optima'!$G$28,MAX(0,'07_Calendario'!$G$23-'06_Secuencia_Optima'!$L$28-'06_Secuencia_Optima'!$AB$28)*'06_Secuencia_Optima'!$H$28/480),6)))</f>
        <v>0</v>
      </c>
      <c r="W9" s="51">
        <f>IF('07_Calendario'!$E$24=0,"",INT(ROUND(MIN('06_Secuencia_Optima'!$G$28,MAX(0,'07_Calendario'!$H$24-'06_Secuencia_Optima'!$L$28-'06_Secuencia_Optima'!$AB$28)*'06_Secuencia_Optima'!$H$28/480),6))-INT(ROUND(MIN('06_Secuencia_Optima'!$G$28,MAX(0,'07_Calendario'!$G$24-'06_Secuencia_Optima'!$L$28-'06_Secuencia_Optima'!$AB$28)*'06_Secuencia_Optima'!$H$28/480),6)))</f>
        <v>0</v>
      </c>
      <c r="X9" s="51">
        <f>IF('07_Calendario'!$E$25=0,"",INT(ROUND(MIN('06_Secuencia_Optima'!$G$28,MAX(0,'07_Calendario'!$H$25-'06_Secuencia_Optima'!$L$28-'06_Secuencia_Optima'!$AB$28)*'06_Secuencia_Optima'!$H$28/480),6))-INT(ROUND(MIN('06_Secuencia_Optima'!$G$28,MAX(0,'07_Calendario'!$G$25-'06_Secuencia_Optima'!$L$28-'06_Secuencia_Optima'!$AB$28)*'06_Secuencia_Optima'!$H$28/480),6)))</f>
        <v>0</v>
      </c>
      <c r="Y9" s="51">
        <f>IF('07_Calendario'!$E$26=0,"",INT(ROUND(MIN('06_Secuencia_Optima'!$G$28,MAX(0,'07_Calendario'!$H$26-'06_Secuencia_Optima'!$L$28-'06_Secuencia_Optima'!$AB$28)*'06_Secuencia_Optima'!$H$28/480),6))-INT(ROUND(MIN('06_Secuencia_Optima'!$G$28,MAX(0,'07_Calendario'!$G$26-'06_Secuencia_Optima'!$L$28-'06_Secuencia_Optima'!$AB$28)*'06_Secuencia_Optima'!$H$28/480),6)))</f>
        <v>0</v>
      </c>
      <c r="Z9" s="51">
        <f>IF('07_Calendario'!$E$27=0,"",INT(ROUND(MIN('06_Secuencia_Optima'!$G$28,MAX(0,'07_Calendario'!$H$27-'06_Secuencia_Optima'!$L$28-'06_Secuencia_Optima'!$AB$28)*'06_Secuencia_Optima'!$H$28/480),6))-INT(ROUND(MIN('06_Secuencia_Optima'!$G$28,MAX(0,'07_Calendario'!$G$27-'06_Secuencia_Optima'!$L$28-'06_Secuencia_Optima'!$AB$28)*'06_Secuencia_Optima'!$H$28/480),6)))</f>
        <v>0</v>
      </c>
      <c r="AA9" s="51">
        <f>IF('07_Calendario'!$E$28=0,"",INT(ROUND(MIN('06_Secuencia_Optima'!$G$28,MAX(0,'07_Calendario'!$H$28-'06_Secuencia_Optima'!$L$28-'06_Secuencia_Optima'!$AB$28)*'06_Secuencia_Optima'!$H$28/480),6))-INT(ROUND(MIN('06_Secuencia_Optima'!$G$28,MAX(0,'07_Calendario'!$G$28-'06_Secuencia_Optima'!$L$28-'06_Secuencia_Optima'!$AB$28)*'06_Secuencia_Optima'!$H$28/480),6)))</f>
        <v>0</v>
      </c>
      <c r="AB9" s="51">
        <f>IF('07_Calendario'!$E$29=0,"",INT(ROUND(MIN('06_Secuencia_Optima'!$G$28,MAX(0,'07_Calendario'!$H$29-'06_Secuencia_Optima'!$L$28-'06_Secuencia_Optima'!$AB$28)*'06_Secuencia_Optima'!$H$28/480),6))-INT(ROUND(MIN('06_Secuencia_Optima'!$G$28,MAX(0,'07_Calendario'!$G$29-'06_Secuencia_Optima'!$L$28-'06_Secuencia_Optima'!$AB$28)*'06_Secuencia_Optima'!$H$28/480),6)))</f>
        <v>0</v>
      </c>
      <c r="AC9" s="51">
        <f>IF('07_Calendario'!$E$30=0,"",INT(ROUND(MIN('06_Secuencia_Optima'!$G$28,MAX(0,'07_Calendario'!$H$30-'06_Secuencia_Optima'!$L$28-'06_Secuencia_Optima'!$AB$28)*'06_Secuencia_Optima'!$H$28/480),6))-INT(ROUND(MIN('06_Secuencia_Optima'!$G$28,MAX(0,'07_Calendario'!$G$30-'06_Secuencia_Optima'!$L$28-'06_Secuencia_Optima'!$AB$28)*'06_Secuencia_Optima'!$H$28/480),6)))</f>
        <v>0</v>
      </c>
      <c r="AD9" s="51">
        <f>IF('07_Calendario'!$E$31=0,"",INT(ROUND(MIN('06_Secuencia_Optima'!$G$28,MAX(0,'07_Calendario'!$H$31-'06_Secuencia_Optima'!$L$28-'06_Secuencia_Optima'!$AB$28)*'06_Secuencia_Optima'!$H$28/480),6))-INT(ROUND(MIN('06_Secuencia_Optima'!$G$28,MAX(0,'07_Calendario'!$G$31-'06_Secuencia_Optima'!$L$28-'06_Secuencia_Optima'!$AB$28)*'06_Secuencia_Optima'!$H$28/480),6)))</f>
        <v>0</v>
      </c>
      <c r="AE9" s="51">
        <f>IF('07_Calendario'!$E$32=0,"",INT(ROUND(MIN('06_Secuencia_Optima'!$G$28,MAX(0,'07_Calendario'!$H$32-'06_Secuencia_Optima'!$L$28-'06_Secuencia_Optima'!$AB$28)*'06_Secuencia_Optima'!$H$28/480),6))-INT(ROUND(MIN('06_Secuencia_Optima'!$G$28,MAX(0,'07_Calendario'!$G$32-'06_Secuencia_Optima'!$L$28-'06_Secuencia_Optima'!$AB$28)*'06_Secuencia_Optima'!$H$28/480),6)))</f>
        <v>0</v>
      </c>
      <c r="AF9" s="51">
        <f>IF('07_Calendario'!$E$33=0,"",INT(ROUND(MIN('06_Secuencia_Optima'!$G$28,MAX(0,'07_Calendario'!$H$33-'06_Secuencia_Optima'!$L$28-'06_Secuencia_Optima'!$AB$28)*'06_Secuencia_Optima'!$H$28/480),6))-INT(ROUND(MIN('06_Secuencia_Optima'!$G$28,MAX(0,'07_Calendario'!$G$33-'06_Secuencia_Optima'!$L$28-'06_Secuencia_Optima'!$AB$28)*'06_Secuencia_Optima'!$H$28/480),6)))</f>
        <v>0</v>
      </c>
      <c r="AG9" s="51">
        <f>IF('07_Calendario'!$E$34=0,"",INT(ROUND(MIN('06_Secuencia_Optima'!$G$28,MAX(0,'07_Calendario'!$H$34-'06_Secuencia_Optima'!$L$28-'06_Secuencia_Optima'!$AB$28)*'06_Secuencia_Optima'!$H$28/480),6))-INT(ROUND(MIN('06_Secuencia_Optima'!$G$28,MAX(0,'07_Calendario'!$G$34-'06_Secuencia_Optima'!$L$28-'06_Secuencia_Optima'!$AB$28)*'06_Secuencia_Optima'!$H$28/480),6)))</f>
        <v>0</v>
      </c>
      <c r="AH9" s="51">
        <f>IF('07_Calendario'!$E$35=0,"",INT(ROUND(MIN('06_Secuencia_Optima'!$G$28,MAX(0,'07_Calendario'!$H$35-'06_Secuencia_Optima'!$L$28-'06_Secuencia_Optima'!$AB$28)*'06_Secuencia_Optima'!$H$28/480),6))-INT(ROUND(MIN('06_Secuencia_Optima'!$G$28,MAX(0,'07_Calendario'!$G$35-'06_Secuencia_Optima'!$L$28-'06_Secuencia_Optima'!$AB$28)*'06_Secuencia_Optima'!$H$28/480),6)))</f>
        <v>0</v>
      </c>
      <c r="AI9" s="51">
        <f>IF('07_Calendario'!$E$36=0,"",INT(ROUND(MIN('06_Secuencia_Optima'!$G$28,MAX(0,'07_Calendario'!$H$36-'06_Secuencia_Optima'!$L$28-'06_Secuencia_Optima'!$AB$28)*'06_Secuencia_Optima'!$H$28/480),6))-INT(ROUND(MIN('06_Secuencia_Optima'!$G$28,MAX(0,'07_Calendario'!$G$36-'06_Secuencia_Optima'!$L$28-'06_Secuencia_Optima'!$AB$28)*'06_Secuencia_Optima'!$H$28/480),6)))</f>
        <v>0</v>
      </c>
      <c r="AJ9" s="51" t="str">
        <f>IF('07_Calendario'!$E$37=0,"",INT(ROUND(MIN('06_Secuencia_Optima'!$G$28,MAX(0,'07_Calendario'!$H$37-'06_Secuencia_Optima'!$L$28-'06_Secuencia_Optima'!$AB$28)*'06_Secuencia_Optima'!$H$28/480),6))-INT(ROUND(MIN('06_Secuencia_Optima'!$G$28,MAX(0,'07_Calendario'!$G$37-'06_Secuencia_Optima'!$L$28-'06_Secuencia_Optima'!$AB$28)*'06_Secuencia_Optima'!$H$28/480),6)))</f>
        <v/>
      </c>
      <c r="AK9" s="51">
        <f>IF('07_Calendario'!$E$38=0,"",INT(ROUND(MIN('06_Secuencia_Optima'!$G$28,MAX(0,'07_Calendario'!$H$38-'06_Secuencia_Optima'!$L$28-'06_Secuencia_Optima'!$AB$28)*'06_Secuencia_Optima'!$H$28/480),6))-INT(ROUND(MIN('06_Secuencia_Optima'!$G$28,MAX(0,'07_Calendario'!$G$38-'06_Secuencia_Optima'!$L$28-'06_Secuencia_Optima'!$AB$28)*'06_Secuencia_Optima'!$H$28/480),6)))</f>
        <v>0</v>
      </c>
      <c r="AL9" s="51">
        <f>IF('07_Calendario'!$E$39=0,"",INT(ROUND(MIN('06_Secuencia_Optima'!$G$28,MAX(0,'07_Calendario'!$H$39-'06_Secuencia_Optima'!$L$28-'06_Secuencia_Optima'!$AB$28)*'06_Secuencia_Optima'!$H$28/480),6))-INT(ROUND(MIN('06_Secuencia_Optima'!$G$28,MAX(0,'07_Calendario'!$G$39-'06_Secuencia_Optima'!$L$28-'06_Secuencia_Optima'!$AB$28)*'06_Secuencia_Optima'!$H$28/480),6)))</f>
        <v>0</v>
      </c>
      <c r="AM9" s="51">
        <f>IF('07_Calendario'!$E$40=0,"",INT(ROUND(MIN('06_Secuencia_Optima'!$G$28,MAX(0,'07_Calendario'!$H$40-'06_Secuencia_Optima'!$L$28-'06_Secuencia_Optima'!$AB$28)*'06_Secuencia_Optima'!$H$28/480),6))-INT(ROUND(MIN('06_Secuencia_Optima'!$G$28,MAX(0,'07_Calendario'!$G$40-'06_Secuencia_Optima'!$L$28-'06_Secuencia_Optima'!$AB$28)*'06_Secuencia_Optima'!$H$28/480),6)))</f>
        <v>0</v>
      </c>
      <c r="AN9" s="51">
        <f>IF('07_Calendario'!$E$41=0,"",INT(ROUND(MIN('06_Secuencia_Optima'!$G$28,MAX(0,'07_Calendario'!$H$41-'06_Secuencia_Optima'!$L$28-'06_Secuencia_Optima'!$AB$28)*'06_Secuencia_Optima'!$H$28/480),6))-INT(ROUND(MIN('06_Secuencia_Optima'!$G$28,MAX(0,'07_Calendario'!$G$41-'06_Secuencia_Optima'!$L$28-'06_Secuencia_Optima'!$AB$28)*'06_Secuencia_Optima'!$H$28/480),6)))</f>
        <v>0</v>
      </c>
      <c r="AO9" s="51">
        <f>IF('07_Calendario'!$E$42=0,"",INT(ROUND(MIN('06_Secuencia_Optima'!$G$28,MAX(0,'07_Calendario'!$H$42-'06_Secuencia_Optima'!$L$28-'06_Secuencia_Optima'!$AB$28)*'06_Secuencia_Optima'!$H$28/480),6))-INT(ROUND(MIN('06_Secuencia_Optima'!$G$28,MAX(0,'07_Calendario'!$G$42-'06_Secuencia_Optima'!$L$28-'06_Secuencia_Optima'!$AB$28)*'06_Secuencia_Optima'!$H$28/480),6)))</f>
        <v>0</v>
      </c>
      <c r="AP9" s="51">
        <f>IF('07_Calendario'!$E$43=0,"",INT(ROUND(MIN('06_Secuencia_Optima'!$G$28,MAX(0,'07_Calendario'!$H$43-'06_Secuencia_Optima'!$L$28-'06_Secuencia_Optima'!$AB$28)*'06_Secuencia_Optima'!$H$28/480),6))-INT(ROUND(MIN('06_Secuencia_Optima'!$G$28,MAX(0,'07_Calendario'!$G$43-'06_Secuencia_Optima'!$L$28-'06_Secuencia_Optima'!$AB$28)*'06_Secuencia_Optima'!$H$28/480),6)))</f>
        <v>0</v>
      </c>
      <c r="AQ9" s="51">
        <f>IF('07_Calendario'!$E$44=0,"",INT(ROUND(MIN('06_Secuencia_Optima'!$G$28,MAX(0,'07_Calendario'!$H$44-'06_Secuencia_Optima'!$L$28-'06_Secuencia_Optima'!$AB$28)*'06_Secuencia_Optima'!$H$28/480),6))-INT(ROUND(MIN('06_Secuencia_Optima'!$G$28,MAX(0,'07_Calendario'!$G$44-'06_Secuencia_Optima'!$L$28-'06_Secuencia_Optima'!$AB$28)*'06_Secuencia_Optima'!$H$28/480),6)))</f>
        <v>0</v>
      </c>
      <c r="AR9" s="51">
        <f>IF('07_Calendario'!$E$45=0,"",INT(ROUND(MIN('06_Secuencia_Optima'!$G$28,MAX(0,'07_Calendario'!$H$45-'06_Secuencia_Optima'!$L$28-'06_Secuencia_Optima'!$AB$28)*'06_Secuencia_Optima'!$H$28/480),6))-INT(ROUND(MIN('06_Secuencia_Optima'!$G$28,MAX(0,'07_Calendario'!$G$45-'06_Secuencia_Optima'!$L$28-'06_Secuencia_Optima'!$AB$28)*'06_Secuencia_Optima'!$H$28/480),6)))</f>
        <v>0</v>
      </c>
      <c r="AS9" s="51">
        <f>IF('07_Calendario'!$E$46=0,"",INT(ROUND(MIN('06_Secuencia_Optima'!$G$28,MAX(0,'07_Calendario'!$H$46-'06_Secuencia_Optima'!$L$28-'06_Secuencia_Optima'!$AB$28)*'06_Secuencia_Optima'!$H$28/480),6))-INT(ROUND(MIN('06_Secuencia_Optima'!$G$28,MAX(0,'07_Calendario'!$G$46-'06_Secuencia_Optima'!$L$28-'06_Secuencia_Optima'!$AB$28)*'06_Secuencia_Optima'!$H$28/480),6)))</f>
        <v>0</v>
      </c>
      <c r="AT9" s="51">
        <f>IF('07_Calendario'!$E$47=0,"",INT(ROUND(MIN('06_Secuencia_Optima'!$G$28,MAX(0,'07_Calendario'!$H$47-'06_Secuencia_Optima'!$L$28-'06_Secuencia_Optima'!$AB$28)*'06_Secuencia_Optima'!$H$28/480),6))-INT(ROUND(MIN('06_Secuencia_Optima'!$G$28,MAX(0,'07_Calendario'!$G$47-'06_Secuencia_Optima'!$L$28-'06_Secuencia_Optima'!$AB$28)*'06_Secuencia_Optima'!$H$28/480),6)))</f>
        <v>0</v>
      </c>
      <c r="AU9" s="51">
        <f>IF('07_Calendario'!$E$48=0,"",INT(ROUND(MIN('06_Secuencia_Optima'!$G$28,MAX(0,'07_Calendario'!$H$48-'06_Secuencia_Optima'!$L$28-'06_Secuencia_Optima'!$AB$28)*'06_Secuencia_Optima'!$H$28/480),6))-INT(ROUND(MIN('06_Secuencia_Optima'!$G$28,MAX(0,'07_Calendario'!$G$48-'06_Secuencia_Optima'!$L$28-'06_Secuencia_Optima'!$AB$28)*'06_Secuencia_Optima'!$H$28/480),6)))</f>
        <v>0</v>
      </c>
      <c r="AV9" s="51">
        <f>IF('07_Calendario'!$E$49=0,"",INT(ROUND(MIN('06_Secuencia_Optima'!$G$28,MAX(0,'07_Calendario'!$H$49-'06_Secuencia_Optima'!$L$28-'06_Secuencia_Optima'!$AB$28)*'06_Secuencia_Optima'!$H$28/480),6))-INT(ROUND(MIN('06_Secuencia_Optima'!$G$28,MAX(0,'07_Calendario'!$G$49-'06_Secuencia_Optima'!$L$28-'06_Secuencia_Optima'!$AB$28)*'06_Secuencia_Optima'!$H$28/480),6)))</f>
        <v>0</v>
      </c>
      <c r="AW9" s="51">
        <f>IF('07_Calendario'!$E$50=0,"",INT(ROUND(MIN('06_Secuencia_Optima'!$G$28,MAX(0,'07_Calendario'!$H$50-'06_Secuencia_Optima'!$L$28-'06_Secuencia_Optima'!$AB$28)*'06_Secuencia_Optima'!$H$28/480),6))-INT(ROUND(MIN('06_Secuencia_Optima'!$G$28,MAX(0,'07_Calendario'!$G$50-'06_Secuencia_Optima'!$L$28-'06_Secuencia_Optima'!$AB$28)*'06_Secuencia_Optima'!$H$28/480),6)))</f>
        <v>0</v>
      </c>
      <c r="AX9" s="51">
        <f>IF('07_Calendario'!$E$51=0,"",INT(ROUND(MIN('06_Secuencia_Optima'!$G$28,MAX(0,'07_Calendario'!$H$51-'06_Secuencia_Optima'!$L$28-'06_Secuencia_Optima'!$AB$28)*'06_Secuencia_Optima'!$H$28/480),6))-INT(ROUND(MIN('06_Secuencia_Optima'!$G$28,MAX(0,'07_Calendario'!$G$51-'06_Secuencia_Optima'!$L$28-'06_Secuencia_Optima'!$AB$28)*'06_Secuencia_Optima'!$H$28/480),6)))</f>
        <v>0</v>
      </c>
      <c r="AY9" s="51">
        <f>IF('07_Calendario'!$E$52=0,"",INT(ROUND(MIN('06_Secuencia_Optima'!$G$28,MAX(0,'07_Calendario'!$H$52-'06_Secuencia_Optima'!$L$28-'06_Secuencia_Optima'!$AB$28)*'06_Secuencia_Optima'!$H$28/480),6))-INT(ROUND(MIN('06_Secuencia_Optima'!$G$28,MAX(0,'07_Calendario'!$G$52-'06_Secuencia_Optima'!$L$28-'06_Secuencia_Optima'!$AB$28)*'06_Secuencia_Optima'!$H$28/480),6)))</f>
        <v>0</v>
      </c>
      <c r="AZ9" s="51">
        <f>IF('07_Calendario'!$E$53=0,"",INT(ROUND(MIN('06_Secuencia_Optima'!$G$28,MAX(0,'07_Calendario'!$H$53-'06_Secuencia_Optima'!$L$28-'06_Secuencia_Optima'!$AB$28)*'06_Secuencia_Optima'!$H$28/480),6))-INT(ROUND(MIN('06_Secuencia_Optima'!$G$28,MAX(0,'07_Calendario'!$G$53-'06_Secuencia_Optima'!$L$28-'06_Secuencia_Optima'!$AB$28)*'06_Secuencia_Optima'!$H$28/480),6)))</f>
        <v>0</v>
      </c>
      <c r="BA9" s="51">
        <f>IF('07_Calendario'!$E$54=0,"",INT(ROUND(MIN('06_Secuencia_Optima'!$G$28,MAX(0,'07_Calendario'!$H$54-'06_Secuencia_Optima'!$L$28-'06_Secuencia_Optima'!$AB$28)*'06_Secuencia_Optima'!$H$28/480),6))-INT(ROUND(MIN('06_Secuencia_Optima'!$G$28,MAX(0,'07_Calendario'!$G$54-'06_Secuencia_Optima'!$L$28-'06_Secuencia_Optima'!$AB$28)*'06_Secuencia_Optima'!$H$28/480),6)))</f>
        <v>0</v>
      </c>
      <c r="BB9" s="51" t="str">
        <f>IF('07_Calendario'!$E$55=0,"",INT(ROUND(MIN('06_Secuencia_Optima'!$G$28,MAX(0,'07_Calendario'!$H$55-'06_Secuencia_Optima'!$L$28-'06_Secuencia_Optima'!$AB$28)*'06_Secuencia_Optima'!$H$28/480),6))-INT(ROUND(MIN('06_Secuencia_Optima'!$G$28,MAX(0,'07_Calendario'!$G$55-'06_Secuencia_Optima'!$L$28-'06_Secuencia_Optima'!$AB$28)*'06_Secuencia_Optima'!$H$28/480),6)))</f>
        <v/>
      </c>
      <c r="BC9" s="51">
        <f>IF('07_Calendario'!$E$56=0,"",INT(ROUND(MIN('06_Secuencia_Optima'!$G$28,MAX(0,'07_Calendario'!$H$56-'06_Secuencia_Optima'!$L$28-'06_Secuencia_Optima'!$AB$28)*'06_Secuencia_Optima'!$H$28/480),6))-INT(ROUND(MIN('06_Secuencia_Optima'!$G$28,MAX(0,'07_Calendario'!$G$56-'06_Secuencia_Optima'!$L$28-'06_Secuencia_Optima'!$AB$28)*'06_Secuencia_Optima'!$H$28/480),6)))</f>
        <v>0</v>
      </c>
      <c r="BD9" s="51">
        <f>IF('07_Calendario'!$E$57=0,"",INT(ROUND(MIN('06_Secuencia_Optima'!$G$28,MAX(0,'07_Calendario'!$H$57-'06_Secuencia_Optima'!$L$28-'06_Secuencia_Optima'!$AB$28)*'06_Secuencia_Optima'!$H$28/480),6))-INT(ROUND(MIN('06_Secuencia_Optima'!$G$28,MAX(0,'07_Calendario'!$G$57-'06_Secuencia_Optima'!$L$28-'06_Secuencia_Optima'!$AB$28)*'06_Secuencia_Optima'!$H$28/480),6)))</f>
        <v>0</v>
      </c>
      <c r="BE9" s="51">
        <f>IF('07_Calendario'!$E$58=0,"",INT(ROUND(MIN('06_Secuencia_Optima'!$G$28,MAX(0,'07_Calendario'!$H$58-'06_Secuencia_Optima'!$L$28-'06_Secuencia_Optima'!$AB$28)*'06_Secuencia_Optima'!$H$28/480),6))-INT(ROUND(MIN('06_Secuencia_Optima'!$G$28,MAX(0,'07_Calendario'!$G$58-'06_Secuencia_Optima'!$L$28-'06_Secuencia_Optima'!$AB$28)*'06_Secuencia_Optima'!$H$28/480),6)))</f>
        <v>0</v>
      </c>
      <c r="BF9" s="51">
        <f>IF('07_Calendario'!$E$59=0,"",INT(ROUND(MIN('06_Secuencia_Optima'!$G$28,MAX(0,'07_Calendario'!$H$59-'06_Secuencia_Optima'!$L$28-'06_Secuencia_Optima'!$AB$28)*'06_Secuencia_Optima'!$H$28/480),6))-INT(ROUND(MIN('06_Secuencia_Optima'!$G$28,MAX(0,'07_Calendario'!$G$59-'06_Secuencia_Optima'!$L$28-'06_Secuencia_Optima'!$AB$28)*'06_Secuencia_Optima'!$H$28/480),6)))</f>
        <v>0</v>
      </c>
      <c r="BG9" s="51">
        <f>IF('07_Calendario'!$E$60=0,"",INT(ROUND(MIN('06_Secuencia_Optima'!$G$28,MAX(0,'07_Calendario'!$H$60-'06_Secuencia_Optima'!$L$28-'06_Secuencia_Optima'!$AB$28)*'06_Secuencia_Optima'!$H$28/480),6))-INT(ROUND(MIN('06_Secuencia_Optima'!$G$28,MAX(0,'07_Calendario'!$G$60-'06_Secuencia_Optima'!$L$28-'06_Secuencia_Optima'!$AB$28)*'06_Secuencia_Optima'!$H$28/480),6)))</f>
        <v>0</v>
      </c>
      <c r="BH9" s="51">
        <f>IF('07_Calendario'!$E$61=0,"",INT(ROUND(MIN('06_Secuencia_Optima'!$G$28,MAX(0,'07_Calendario'!$H$61-'06_Secuencia_Optima'!$L$28-'06_Secuencia_Optima'!$AB$28)*'06_Secuencia_Optima'!$H$28/480),6))-INT(ROUND(MIN('06_Secuencia_Optima'!$G$28,MAX(0,'07_Calendario'!$G$61-'06_Secuencia_Optima'!$L$28-'06_Secuencia_Optima'!$AB$28)*'06_Secuencia_Optima'!$H$28/480),6)))</f>
        <v>0</v>
      </c>
      <c r="BI9" s="51">
        <f>IF('07_Calendario'!$E$62=0,"",INT(ROUND(MIN('06_Secuencia_Optima'!$G$28,MAX(0,'07_Calendario'!$H$62-'06_Secuencia_Optima'!$L$28-'06_Secuencia_Optima'!$AB$28)*'06_Secuencia_Optima'!$H$28/480),6))-INT(ROUND(MIN('06_Secuencia_Optima'!$G$28,MAX(0,'07_Calendario'!$G$62-'06_Secuencia_Optima'!$L$28-'06_Secuencia_Optima'!$AB$28)*'06_Secuencia_Optima'!$H$28/480),6)))</f>
        <v>0</v>
      </c>
      <c r="BJ9" s="51">
        <f>IF('07_Calendario'!$E$63=0,"",INT(ROUND(MIN('06_Secuencia_Optima'!$G$28,MAX(0,'07_Calendario'!$H$63-'06_Secuencia_Optima'!$L$28-'06_Secuencia_Optima'!$AB$28)*'06_Secuencia_Optima'!$H$28/480),6))-INT(ROUND(MIN('06_Secuencia_Optima'!$G$28,MAX(0,'07_Calendario'!$G$63-'06_Secuencia_Optima'!$L$28-'06_Secuencia_Optima'!$AB$28)*'06_Secuencia_Optima'!$H$28/480),6)))</f>
        <v>0</v>
      </c>
      <c r="BK9" s="51">
        <f>IF('07_Calendario'!$E$64=0,"",INT(ROUND(MIN('06_Secuencia_Optima'!$G$28,MAX(0,'07_Calendario'!$H$64-'06_Secuencia_Optima'!$L$28-'06_Secuencia_Optima'!$AB$28)*'06_Secuencia_Optima'!$H$28/480),6))-INT(ROUND(MIN('06_Secuencia_Optima'!$G$28,MAX(0,'07_Calendario'!$G$64-'06_Secuencia_Optima'!$L$28-'06_Secuencia_Optima'!$AB$28)*'06_Secuencia_Optima'!$H$28/480),6)))</f>
        <v>0</v>
      </c>
      <c r="BL9" s="51">
        <f>IF('07_Calendario'!$E$65=0,"",INT(ROUND(MIN('06_Secuencia_Optima'!$G$28,MAX(0,'07_Calendario'!$H$65-'06_Secuencia_Optima'!$L$28-'06_Secuencia_Optima'!$AB$28)*'06_Secuencia_Optima'!$H$28/480),6))-INT(ROUND(MIN('06_Secuencia_Optima'!$G$28,MAX(0,'07_Calendario'!$G$65-'06_Secuencia_Optima'!$L$28-'06_Secuencia_Optima'!$AB$28)*'06_Secuencia_Optima'!$H$28/480),6)))</f>
        <v>0</v>
      </c>
      <c r="BM9" s="51">
        <f>IF('07_Calendario'!$E$66=0,"",INT(ROUND(MIN('06_Secuencia_Optima'!$G$28,MAX(0,'07_Calendario'!$H$66-'06_Secuencia_Optima'!$L$28-'06_Secuencia_Optima'!$AB$28)*'06_Secuencia_Optima'!$H$28/480),6))-INT(ROUND(MIN('06_Secuencia_Optima'!$G$28,MAX(0,'07_Calendario'!$G$66-'06_Secuencia_Optima'!$L$28-'06_Secuencia_Optima'!$AB$28)*'06_Secuencia_Optima'!$H$28/480),6)))</f>
        <v>0</v>
      </c>
      <c r="BN9" s="51">
        <f>IF('07_Calendario'!$E$67=0,"",INT(ROUND(MIN('06_Secuencia_Optima'!$G$28,MAX(0,'07_Calendario'!$H$67-'06_Secuencia_Optima'!$L$28-'06_Secuencia_Optima'!$AB$28)*'06_Secuencia_Optima'!$H$28/480),6))-INT(ROUND(MIN('06_Secuencia_Optima'!$G$28,MAX(0,'07_Calendario'!$G$67-'06_Secuencia_Optima'!$L$28-'06_Secuencia_Optima'!$AB$28)*'06_Secuencia_Optima'!$H$28/480),6)))</f>
        <v>0</v>
      </c>
      <c r="BO9" s="51">
        <f>IF('07_Calendario'!$E$68=0,"",INT(ROUND(MIN('06_Secuencia_Optima'!$G$28,MAX(0,'07_Calendario'!$H$68-'06_Secuencia_Optima'!$L$28-'06_Secuencia_Optima'!$AB$28)*'06_Secuencia_Optima'!$H$28/480),6))-INT(ROUND(MIN('06_Secuencia_Optima'!$G$28,MAX(0,'07_Calendario'!$G$68-'06_Secuencia_Optima'!$L$28-'06_Secuencia_Optima'!$AB$28)*'06_Secuencia_Optima'!$H$28/480),6)))</f>
        <v>0</v>
      </c>
      <c r="BP9" s="51">
        <f>IF('07_Calendario'!$E$69=0,"",INT(ROUND(MIN('06_Secuencia_Optima'!$G$28,MAX(0,'07_Calendario'!$H$69-'06_Secuencia_Optima'!$L$28-'06_Secuencia_Optima'!$AB$28)*'06_Secuencia_Optima'!$H$28/480),6))-INT(ROUND(MIN('06_Secuencia_Optima'!$G$28,MAX(0,'07_Calendario'!$G$69-'06_Secuencia_Optima'!$L$28-'06_Secuencia_Optima'!$AB$28)*'06_Secuencia_Optima'!$H$28/480),6)))</f>
        <v>0</v>
      </c>
      <c r="BQ9" s="51">
        <f>IF('07_Calendario'!$E$70=0,"",INT(ROUND(MIN('06_Secuencia_Optima'!$G$28,MAX(0,'07_Calendario'!$H$70-'06_Secuencia_Optima'!$L$28-'06_Secuencia_Optima'!$AB$28)*'06_Secuencia_Optima'!$H$28/480),6))-INT(ROUND(MIN('06_Secuencia_Optima'!$G$28,MAX(0,'07_Calendario'!$G$70-'06_Secuencia_Optima'!$L$28-'06_Secuencia_Optima'!$AB$28)*'06_Secuencia_Optima'!$H$28/480),6)))</f>
        <v>0</v>
      </c>
      <c r="BR9" s="51">
        <f>IF('07_Calendario'!$E$71=0,"",INT(ROUND(MIN('06_Secuencia_Optima'!$G$28,MAX(0,'07_Calendario'!$H$71-'06_Secuencia_Optima'!$L$28-'06_Secuencia_Optima'!$AB$28)*'06_Secuencia_Optima'!$H$28/480),6))-INT(ROUND(MIN('06_Secuencia_Optima'!$G$28,MAX(0,'07_Calendario'!$G$71-'06_Secuencia_Optima'!$L$28-'06_Secuencia_Optima'!$AB$28)*'06_Secuencia_Optima'!$H$28/480),6)))</f>
        <v>0</v>
      </c>
      <c r="BS9" s="51">
        <f>IF('07_Calendario'!$E$72=0,"",INT(ROUND(MIN('06_Secuencia_Optima'!$G$28,MAX(0,'07_Calendario'!$H$72-'06_Secuencia_Optima'!$L$28-'06_Secuencia_Optima'!$AB$28)*'06_Secuencia_Optima'!$H$28/480),6))-INT(ROUND(MIN('06_Secuencia_Optima'!$G$28,MAX(0,'07_Calendario'!$G$72-'06_Secuencia_Optima'!$L$28-'06_Secuencia_Optima'!$AB$28)*'06_Secuencia_Optima'!$H$28/480),6)))</f>
        <v>0</v>
      </c>
      <c r="BT9" s="51" t="str">
        <f>IF('07_Calendario'!$E$73=0,"",INT(ROUND(MIN('06_Secuencia_Optima'!$G$28,MAX(0,'07_Calendario'!$H$73-'06_Secuencia_Optima'!$L$28-'06_Secuencia_Optima'!$AB$28)*'06_Secuencia_Optima'!$H$28/480),6))-INT(ROUND(MIN('06_Secuencia_Optima'!$G$28,MAX(0,'07_Calendario'!$G$73-'06_Secuencia_Optima'!$L$28-'06_Secuencia_Optima'!$AB$28)*'06_Secuencia_Optima'!$H$28/480),6)))</f>
        <v/>
      </c>
      <c r="BU9" s="51">
        <f>IF('07_Calendario'!$E$74=0,"",INT(ROUND(MIN('06_Secuencia_Optima'!$G$28,MAX(0,'07_Calendario'!$H$74-'06_Secuencia_Optima'!$L$28-'06_Secuencia_Optima'!$AB$28)*'06_Secuencia_Optima'!$H$28/480),6))-INT(ROUND(MIN('06_Secuencia_Optima'!$G$28,MAX(0,'07_Calendario'!$G$74-'06_Secuencia_Optima'!$L$28-'06_Secuencia_Optima'!$AB$28)*'06_Secuencia_Optima'!$H$28/480),6)))</f>
        <v>0</v>
      </c>
      <c r="BV9" s="51">
        <f>IF('07_Calendario'!$E$75=0,"",INT(ROUND(MIN('06_Secuencia_Optima'!$G$28,MAX(0,'07_Calendario'!$H$75-'06_Secuencia_Optima'!$L$28-'06_Secuencia_Optima'!$AB$28)*'06_Secuencia_Optima'!$H$28/480),6))-INT(ROUND(MIN('06_Secuencia_Optima'!$G$28,MAX(0,'07_Calendario'!$G$75-'06_Secuencia_Optima'!$L$28-'06_Secuencia_Optima'!$AB$28)*'06_Secuencia_Optima'!$H$28/480),6)))</f>
        <v>0</v>
      </c>
      <c r="BW9" s="51">
        <f>IF('07_Calendario'!$E$76=0,"",INT(ROUND(MIN('06_Secuencia_Optima'!$G$28,MAX(0,'07_Calendario'!$H$76-'06_Secuencia_Optima'!$L$28-'06_Secuencia_Optima'!$AB$28)*'06_Secuencia_Optima'!$H$28/480),6))-INT(ROUND(MIN('06_Secuencia_Optima'!$G$28,MAX(0,'07_Calendario'!$G$76-'06_Secuencia_Optima'!$L$28-'06_Secuencia_Optima'!$AB$28)*'06_Secuencia_Optima'!$H$28/480),6)))</f>
        <v>0</v>
      </c>
      <c r="BX9" s="51">
        <f>IF('07_Calendario'!$E$77=0,"",INT(ROUND(MIN('06_Secuencia_Optima'!$G$28,MAX(0,'07_Calendario'!$H$77-'06_Secuencia_Optima'!$L$28-'06_Secuencia_Optima'!$AB$28)*'06_Secuencia_Optima'!$H$28/480),6))-INT(ROUND(MIN('06_Secuencia_Optima'!$G$28,MAX(0,'07_Calendario'!$G$77-'06_Secuencia_Optima'!$L$28-'06_Secuencia_Optima'!$AB$28)*'06_Secuencia_Optima'!$H$28/480),6)))</f>
        <v>0</v>
      </c>
      <c r="BY9" s="51">
        <f>IF('07_Calendario'!$E$78=0,"",INT(ROUND(MIN('06_Secuencia_Optima'!$G$28,MAX(0,'07_Calendario'!$H$78-'06_Secuencia_Optima'!$L$28-'06_Secuencia_Optima'!$AB$28)*'06_Secuencia_Optima'!$H$28/480),6))-INT(ROUND(MIN('06_Secuencia_Optima'!$G$28,MAX(0,'07_Calendario'!$G$78-'06_Secuencia_Optima'!$L$28-'06_Secuencia_Optima'!$AB$28)*'06_Secuencia_Optima'!$H$28/480),6)))</f>
        <v>0</v>
      </c>
      <c r="BZ9" s="51">
        <f>IF('07_Calendario'!$E$79=0,"",INT(ROUND(MIN('06_Secuencia_Optima'!$G$28,MAX(0,'07_Calendario'!$H$79-'06_Secuencia_Optima'!$L$28-'06_Secuencia_Optima'!$AB$28)*'06_Secuencia_Optima'!$H$28/480),6))-INT(ROUND(MIN('06_Secuencia_Optima'!$G$28,MAX(0,'07_Calendario'!$G$79-'06_Secuencia_Optima'!$L$28-'06_Secuencia_Optima'!$AB$28)*'06_Secuencia_Optima'!$H$28/480),6)))</f>
        <v>0</v>
      </c>
      <c r="CA9" s="51">
        <f>IF('07_Calendario'!$E$80=0,"",INT(ROUND(MIN('06_Secuencia_Optima'!$G$28,MAX(0,'07_Calendario'!$H$80-'06_Secuencia_Optima'!$L$28-'06_Secuencia_Optima'!$AB$28)*'06_Secuencia_Optima'!$H$28/480),6))-INT(ROUND(MIN('06_Secuencia_Optima'!$G$28,MAX(0,'07_Calendario'!$G$80-'06_Secuencia_Optima'!$L$28-'06_Secuencia_Optima'!$AB$28)*'06_Secuencia_Optima'!$H$28/480),6)))</f>
        <v>0</v>
      </c>
      <c r="CB9" s="51">
        <f>IF('07_Calendario'!$E$81=0,"",INT(ROUND(MIN('06_Secuencia_Optima'!$G$28,MAX(0,'07_Calendario'!$H$81-'06_Secuencia_Optima'!$L$28-'06_Secuencia_Optima'!$AB$28)*'06_Secuencia_Optima'!$H$28/480),6))-INT(ROUND(MIN('06_Secuencia_Optima'!$G$28,MAX(0,'07_Calendario'!$G$81-'06_Secuencia_Optima'!$L$28-'06_Secuencia_Optima'!$AB$28)*'06_Secuencia_Optima'!$H$28/480),6)))</f>
        <v>0</v>
      </c>
      <c r="CC9" s="51">
        <f>IF('07_Calendario'!$E$82=0,"",INT(ROUND(MIN('06_Secuencia_Optima'!$G$28,MAX(0,'07_Calendario'!$H$82-'06_Secuencia_Optima'!$L$28-'06_Secuencia_Optima'!$AB$28)*'06_Secuencia_Optima'!$H$28/480),6))-INT(ROUND(MIN('06_Secuencia_Optima'!$G$28,MAX(0,'07_Calendario'!$G$82-'06_Secuencia_Optima'!$L$28-'06_Secuencia_Optima'!$AB$28)*'06_Secuencia_Optima'!$H$28/480),6)))</f>
        <v>0</v>
      </c>
      <c r="CD9" s="18">
        <f t="shared" si="0"/>
        <v>1840</v>
      </c>
      <c r="CE9" s="19">
        <f>'06_Secuencia_Optima'!$G$28</f>
        <v>1840</v>
      </c>
      <c r="CF9" s="10" t="str">
        <f t="shared" si="1"/>
        <v>OK</v>
      </c>
    </row>
    <row r="10" spans="1:84" x14ac:dyDescent="0.2">
      <c r="A10" s="10">
        <f>'06_Secuencia_Optima'!$B$29</f>
        <v>5998</v>
      </c>
      <c r="B10" s="13" t="str">
        <f>'06_Secuencia_Optima'!$C$29</f>
        <v>SALSA DE TOMATE ZEV (20DP/1/500g)</v>
      </c>
      <c r="C10" s="14">
        <f>'06_Secuencia_Optima'!$D$29</f>
        <v>5998</v>
      </c>
      <c r="D10" s="51">
        <f>IF('07_Calendario'!$E$5=0,"",INT(ROUND(MIN('06_Secuencia_Optima'!$G$29,MAX(0,'07_Calendario'!$H$5-'06_Secuencia_Optima'!$L$29-'06_Secuencia_Optima'!$AB$29)*'06_Secuencia_Optima'!$H$29/480),6))-INT(ROUND(MIN('06_Secuencia_Optima'!$G$29,MAX(0,'07_Calendario'!$G$5-'06_Secuencia_Optima'!$L$29-'06_Secuencia_Optima'!$AB$29)*'06_Secuencia_Optima'!$H$29/480),6)))</f>
        <v>1107</v>
      </c>
      <c r="E10" s="51">
        <f>IF('07_Calendario'!$E$6=0,"",INT(ROUND(MIN('06_Secuencia_Optima'!$G$29,MAX(0,'07_Calendario'!$H$6-'06_Secuencia_Optima'!$L$29-'06_Secuencia_Optima'!$AB$29)*'06_Secuencia_Optima'!$H$29/480),6))-INT(ROUND(MIN('06_Secuencia_Optima'!$G$29,MAX(0,'07_Calendario'!$G$6-'06_Secuencia_Optima'!$L$29-'06_Secuencia_Optima'!$AB$29)*'06_Secuencia_Optima'!$H$29/480),6)))</f>
        <v>1476</v>
      </c>
      <c r="F10" s="51">
        <f>IF('07_Calendario'!$E$7=0,"",INT(ROUND(MIN('06_Secuencia_Optima'!$G$29,MAX(0,'07_Calendario'!$H$7-'06_Secuencia_Optima'!$L$29-'06_Secuencia_Optima'!$AB$29)*'06_Secuencia_Optima'!$H$29/480),6))-INT(ROUND(MIN('06_Secuencia_Optima'!$G$29,MAX(0,'07_Calendario'!$G$7-'06_Secuencia_Optima'!$L$29-'06_Secuencia_Optima'!$AB$29)*'06_Secuencia_Optima'!$H$29/480),6)))</f>
        <v>1476</v>
      </c>
      <c r="G10" s="51">
        <f>IF('07_Calendario'!$E$8=0,"",INT(ROUND(MIN('06_Secuencia_Optima'!$G$29,MAX(0,'07_Calendario'!$H$8-'06_Secuencia_Optima'!$L$29-'06_Secuencia_Optima'!$AB$29)*'06_Secuencia_Optima'!$H$29/480),6))-INT(ROUND(MIN('06_Secuencia_Optima'!$G$29,MAX(0,'07_Calendario'!$G$8-'06_Secuencia_Optima'!$L$29-'06_Secuencia_Optima'!$AB$29)*'06_Secuencia_Optima'!$H$29/480),6)))</f>
        <v>1476</v>
      </c>
      <c r="H10" s="51">
        <f>IF('07_Calendario'!$E$9=0,"",INT(ROUND(MIN('06_Secuencia_Optima'!$G$29,MAX(0,'07_Calendario'!$H$9-'06_Secuencia_Optima'!$L$29-'06_Secuencia_Optima'!$AB$29)*'06_Secuencia_Optima'!$H$29/480),6))-INT(ROUND(MIN('06_Secuencia_Optima'!$G$29,MAX(0,'07_Calendario'!$G$9-'06_Secuencia_Optima'!$L$29-'06_Secuencia_Optima'!$AB$29)*'06_Secuencia_Optima'!$H$29/480),6)))</f>
        <v>1476</v>
      </c>
      <c r="I10" s="51">
        <f>IF('07_Calendario'!$E$10=0,"",INT(ROUND(MIN('06_Secuencia_Optima'!$G$29,MAX(0,'07_Calendario'!$H$10-'06_Secuencia_Optima'!$L$29-'06_Secuencia_Optima'!$AB$29)*'06_Secuencia_Optima'!$H$29/480),6))-INT(ROUND(MIN('06_Secuencia_Optima'!$G$29,MAX(0,'07_Calendario'!$G$10-'06_Secuencia_Optima'!$L$29-'06_Secuencia_Optima'!$AB$29)*'06_Secuencia_Optima'!$H$29/480),6)))</f>
        <v>1476</v>
      </c>
      <c r="J10" s="51">
        <f>IF('07_Calendario'!$E$11=0,"",INT(ROUND(MIN('06_Secuencia_Optima'!$G$29,MAX(0,'07_Calendario'!$H$11-'06_Secuencia_Optima'!$L$29-'06_Secuencia_Optima'!$AB$29)*'06_Secuencia_Optima'!$H$29/480),6))-INT(ROUND(MIN('06_Secuencia_Optima'!$G$29,MAX(0,'07_Calendario'!$G$11-'06_Secuencia_Optima'!$L$29-'06_Secuencia_Optima'!$AB$29)*'06_Secuencia_Optima'!$H$29/480),6)))</f>
        <v>1476</v>
      </c>
      <c r="K10" s="51">
        <f>IF('07_Calendario'!$E$12=0,"",INT(ROUND(MIN('06_Secuencia_Optima'!$G$29,MAX(0,'07_Calendario'!$H$12-'06_Secuencia_Optima'!$L$29-'06_Secuencia_Optima'!$AB$29)*'06_Secuencia_Optima'!$H$29/480),6))-INT(ROUND(MIN('06_Secuencia_Optima'!$G$29,MAX(0,'07_Calendario'!$G$12-'06_Secuencia_Optima'!$L$29-'06_Secuencia_Optima'!$AB$29)*'06_Secuencia_Optima'!$H$29/480),6)))</f>
        <v>1476</v>
      </c>
      <c r="L10" s="51">
        <f>IF('07_Calendario'!$E$13=0,"",INT(ROUND(MIN('06_Secuencia_Optima'!$G$29,MAX(0,'07_Calendario'!$H$13-'06_Secuencia_Optima'!$L$29-'06_Secuencia_Optima'!$AB$29)*'06_Secuencia_Optima'!$H$29/480),6))-INT(ROUND(MIN('06_Secuencia_Optima'!$G$29,MAX(0,'07_Calendario'!$G$13-'06_Secuencia_Optima'!$L$29-'06_Secuencia_Optima'!$AB$29)*'06_Secuencia_Optima'!$H$29/480),6)))</f>
        <v>1476</v>
      </c>
      <c r="M10" s="51">
        <f>IF('07_Calendario'!$E$14=0,"",INT(ROUND(MIN('06_Secuencia_Optima'!$G$29,MAX(0,'07_Calendario'!$H$14-'06_Secuencia_Optima'!$L$29-'06_Secuencia_Optima'!$AB$29)*'06_Secuencia_Optima'!$H$29/480),6))-INT(ROUND(MIN('06_Secuencia_Optima'!$G$29,MAX(0,'07_Calendario'!$G$14-'06_Secuencia_Optima'!$L$29-'06_Secuencia_Optima'!$AB$29)*'06_Secuencia_Optima'!$H$29/480),6)))</f>
        <v>1476</v>
      </c>
      <c r="N10" s="51">
        <f>IF('07_Calendario'!$E$15=0,"",INT(ROUND(MIN('06_Secuencia_Optima'!$G$29,MAX(0,'07_Calendario'!$H$15-'06_Secuencia_Optima'!$L$29-'06_Secuencia_Optima'!$AB$29)*'06_Secuencia_Optima'!$H$29/480),6))-INT(ROUND(MIN('06_Secuencia_Optima'!$G$29,MAX(0,'07_Calendario'!$G$15-'06_Secuencia_Optima'!$L$29-'06_Secuencia_Optima'!$AB$29)*'06_Secuencia_Optima'!$H$29/480),6)))</f>
        <v>1476</v>
      </c>
      <c r="O10" s="51">
        <f>IF('07_Calendario'!$E$16=0,"",INT(ROUND(MIN('06_Secuencia_Optima'!$G$29,MAX(0,'07_Calendario'!$H$16-'06_Secuencia_Optima'!$L$29-'06_Secuencia_Optima'!$AB$29)*'06_Secuencia_Optima'!$H$29/480),6))-INT(ROUND(MIN('06_Secuencia_Optima'!$G$29,MAX(0,'07_Calendario'!$G$16-'06_Secuencia_Optima'!$L$29-'06_Secuencia_Optima'!$AB$29)*'06_Secuencia_Optima'!$H$29/480),6)))</f>
        <v>1476</v>
      </c>
      <c r="P10" s="51">
        <f>IF('07_Calendario'!$E$17=0,"",INT(ROUND(MIN('06_Secuencia_Optima'!$G$29,MAX(0,'07_Calendario'!$H$17-'06_Secuencia_Optima'!$L$29-'06_Secuencia_Optima'!$AB$29)*'06_Secuencia_Optima'!$H$29/480),6))-INT(ROUND(MIN('06_Secuencia_Optima'!$G$29,MAX(0,'07_Calendario'!$G$17-'06_Secuencia_Optima'!$L$29-'06_Secuencia_Optima'!$AB$29)*'06_Secuencia_Optima'!$H$29/480),6)))</f>
        <v>1476</v>
      </c>
      <c r="Q10" s="51">
        <f>IF('07_Calendario'!$E$18=0,"",INT(ROUND(MIN('06_Secuencia_Optima'!$G$29,MAX(0,'07_Calendario'!$H$18-'06_Secuencia_Optima'!$L$29-'06_Secuencia_Optima'!$AB$29)*'06_Secuencia_Optima'!$H$29/480),6))-INT(ROUND(MIN('06_Secuencia_Optima'!$G$29,MAX(0,'07_Calendario'!$G$18-'06_Secuencia_Optima'!$L$29-'06_Secuencia_Optima'!$AB$29)*'06_Secuencia_Optima'!$H$29/480),6)))</f>
        <v>1467</v>
      </c>
      <c r="R10" s="51" t="str">
        <f>IF('07_Calendario'!$E$19=0,"",INT(ROUND(MIN('06_Secuencia_Optima'!$G$29,MAX(0,'07_Calendario'!$H$19-'06_Secuencia_Optima'!$L$29-'06_Secuencia_Optima'!$AB$29)*'06_Secuencia_Optima'!$H$29/480),6))-INT(ROUND(MIN('06_Secuencia_Optima'!$G$29,MAX(0,'07_Calendario'!$G$19-'06_Secuencia_Optima'!$L$29-'06_Secuencia_Optima'!$AB$29)*'06_Secuencia_Optima'!$H$29/480),6)))</f>
        <v/>
      </c>
      <c r="S10" s="51">
        <f>IF('07_Calendario'!$E$20=0,"",INT(ROUND(MIN('06_Secuencia_Optima'!$G$29,MAX(0,'07_Calendario'!$H$20-'06_Secuencia_Optima'!$L$29-'06_Secuencia_Optima'!$AB$29)*'06_Secuencia_Optima'!$H$29/480),6))-INT(ROUND(MIN('06_Secuencia_Optima'!$G$29,MAX(0,'07_Calendario'!$G$20-'06_Secuencia_Optima'!$L$29-'06_Secuencia_Optima'!$AB$29)*'06_Secuencia_Optima'!$H$29/480),6)))</f>
        <v>0</v>
      </c>
      <c r="T10" s="51">
        <f>IF('07_Calendario'!$E$21=0,"",INT(ROUND(MIN('06_Secuencia_Optima'!$G$29,MAX(0,'07_Calendario'!$H$21-'06_Secuencia_Optima'!$L$29-'06_Secuencia_Optima'!$AB$29)*'06_Secuencia_Optima'!$H$29/480),6))-INT(ROUND(MIN('06_Secuencia_Optima'!$G$29,MAX(0,'07_Calendario'!$G$21-'06_Secuencia_Optima'!$L$29-'06_Secuencia_Optima'!$AB$29)*'06_Secuencia_Optima'!$H$29/480),6)))</f>
        <v>0</v>
      </c>
      <c r="U10" s="51">
        <f>IF('07_Calendario'!$E$22=0,"",INT(ROUND(MIN('06_Secuencia_Optima'!$G$29,MAX(0,'07_Calendario'!$H$22-'06_Secuencia_Optima'!$L$29-'06_Secuencia_Optima'!$AB$29)*'06_Secuencia_Optima'!$H$29/480),6))-INT(ROUND(MIN('06_Secuencia_Optima'!$G$29,MAX(0,'07_Calendario'!$G$22-'06_Secuencia_Optima'!$L$29-'06_Secuencia_Optima'!$AB$29)*'06_Secuencia_Optima'!$H$29/480),6)))</f>
        <v>0</v>
      </c>
      <c r="V10" s="51">
        <f>IF('07_Calendario'!$E$23=0,"",INT(ROUND(MIN('06_Secuencia_Optima'!$G$29,MAX(0,'07_Calendario'!$H$23-'06_Secuencia_Optima'!$L$29-'06_Secuencia_Optima'!$AB$29)*'06_Secuencia_Optima'!$H$29/480),6))-INT(ROUND(MIN('06_Secuencia_Optima'!$G$29,MAX(0,'07_Calendario'!$G$23-'06_Secuencia_Optima'!$L$29-'06_Secuencia_Optima'!$AB$29)*'06_Secuencia_Optima'!$H$29/480),6)))</f>
        <v>0</v>
      </c>
      <c r="W10" s="51">
        <f>IF('07_Calendario'!$E$24=0,"",INT(ROUND(MIN('06_Secuencia_Optima'!$G$29,MAX(0,'07_Calendario'!$H$24-'06_Secuencia_Optima'!$L$29-'06_Secuencia_Optima'!$AB$29)*'06_Secuencia_Optima'!$H$29/480),6))-INT(ROUND(MIN('06_Secuencia_Optima'!$G$29,MAX(0,'07_Calendario'!$G$24-'06_Secuencia_Optima'!$L$29-'06_Secuencia_Optima'!$AB$29)*'06_Secuencia_Optima'!$H$29/480),6)))</f>
        <v>0</v>
      </c>
      <c r="X10" s="51">
        <f>IF('07_Calendario'!$E$25=0,"",INT(ROUND(MIN('06_Secuencia_Optima'!$G$29,MAX(0,'07_Calendario'!$H$25-'06_Secuencia_Optima'!$L$29-'06_Secuencia_Optima'!$AB$29)*'06_Secuencia_Optima'!$H$29/480),6))-INT(ROUND(MIN('06_Secuencia_Optima'!$G$29,MAX(0,'07_Calendario'!$G$25-'06_Secuencia_Optima'!$L$29-'06_Secuencia_Optima'!$AB$29)*'06_Secuencia_Optima'!$H$29/480),6)))</f>
        <v>0</v>
      </c>
      <c r="Y10" s="51">
        <f>IF('07_Calendario'!$E$26=0,"",INT(ROUND(MIN('06_Secuencia_Optima'!$G$29,MAX(0,'07_Calendario'!$H$26-'06_Secuencia_Optima'!$L$29-'06_Secuencia_Optima'!$AB$29)*'06_Secuencia_Optima'!$H$29/480),6))-INT(ROUND(MIN('06_Secuencia_Optima'!$G$29,MAX(0,'07_Calendario'!$G$26-'06_Secuencia_Optima'!$L$29-'06_Secuencia_Optima'!$AB$29)*'06_Secuencia_Optima'!$H$29/480),6)))</f>
        <v>0</v>
      </c>
      <c r="Z10" s="51">
        <f>IF('07_Calendario'!$E$27=0,"",INT(ROUND(MIN('06_Secuencia_Optima'!$G$29,MAX(0,'07_Calendario'!$H$27-'06_Secuencia_Optima'!$L$29-'06_Secuencia_Optima'!$AB$29)*'06_Secuencia_Optima'!$H$29/480),6))-INT(ROUND(MIN('06_Secuencia_Optima'!$G$29,MAX(0,'07_Calendario'!$G$27-'06_Secuencia_Optima'!$L$29-'06_Secuencia_Optima'!$AB$29)*'06_Secuencia_Optima'!$H$29/480),6)))</f>
        <v>0</v>
      </c>
      <c r="AA10" s="51">
        <f>IF('07_Calendario'!$E$28=0,"",INT(ROUND(MIN('06_Secuencia_Optima'!$G$29,MAX(0,'07_Calendario'!$H$28-'06_Secuencia_Optima'!$L$29-'06_Secuencia_Optima'!$AB$29)*'06_Secuencia_Optima'!$H$29/480),6))-INT(ROUND(MIN('06_Secuencia_Optima'!$G$29,MAX(0,'07_Calendario'!$G$28-'06_Secuencia_Optima'!$L$29-'06_Secuencia_Optima'!$AB$29)*'06_Secuencia_Optima'!$H$29/480),6)))</f>
        <v>0</v>
      </c>
      <c r="AB10" s="51">
        <f>IF('07_Calendario'!$E$29=0,"",INT(ROUND(MIN('06_Secuencia_Optima'!$G$29,MAX(0,'07_Calendario'!$H$29-'06_Secuencia_Optima'!$L$29-'06_Secuencia_Optima'!$AB$29)*'06_Secuencia_Optima'!$H$29/480),6))-INT(ROUND(MIN('06_Secuencia_Optima'!$G$29,MAX(0,'07_Calendario'!$G$29-'06_Secuencia_Optima'!$L$29-'06_Secuencia_Optima'!$AB$29)*'06_Secuencia_Optima'!$H$29/480),6)))</f>
        <v>0</v>
      </c>
      <c r="AC10" s="51">
        <f>IF('07_Calendario'!$E$30=0,"",INT(ROUND(MIN('06_Secuencia_Optima'!$G$29,MAX(0,'07_Calendario'!$H$30-'06_Secuencia_Optima'!$L$29-'06_Secuencia_Optima'!$AB$29)*'06_Secuencia_Optima'!$H$29/480),6))-INT(ROUND(MIN('06_Secuencia_Optima'!$G$29,MAX(0,'07_Calendario'!$G$30-'06_Secuencia_Optima'!$L$29-'06_Secuencia_Optima'!$AB$29)*'06_Secuencia_Optima'!$H$29/480),6)))</f>
        <v>0</v>
      </c>
      <c r="AD10" s="51">
        <f>IF('07_Calendario'!$E$31=0,"",INT(ROUND(MIN('06_Secuencia_Optima'!$G$29,MAX(0,'07_Calendario'!$H$31-'06_Secuencia_Optima'!$L$29-'06_Secuencia_Optima'!$AB$29)*'06_Secuencia_Optima'!$H$29/480),6))-INT(ROUND(MIN('06_Secuencia_Optima'!$G$29,MAX(0,'07_Calendario'!$G$31-'06_Secuencia_Optima'!$L$29-'06_Secuencia_Optima'!$AB$29)*'06_Secuencia_Optima'!$H$29/480),6)))</f>
        <v>0</v>
      </c>
      <c r="AE10" s="51">
        <f>IF('07_Calendario'!$E$32=0,"",INT(ROUND(MIN('06_Secuencia_Optima'!$G$29,MAX(0,'07_Calendario'!$H$32-'06_Secuencia_Optima'!$L$29-'06_Secuencia_Optima'!$AB$29)*'06_Secuencia_Optima'!$H$29/480),6))-INT(ROUND(MIN('06_Secuencia_Optima'!$G$29,MAX(0,'07_Calendario'!$G$32-'06_Secuencia_Optima'!$L$29-'06_Secuencia_Optima'!$AB$29)*'06_Secuencia_Optima'!$H$29/480),6)))</f>
        <v>0</v>
      </c>
      <c r="AF10" s="51">
        <f>IF('07_Calendario'!$E$33=0,"",INT(ROUND(MIN('06_Secuencia_Optima'!$G$29,MAX(0,'07_Calendario'!$H$33-'06_Secuencia_Optima'!$L$29-'06_Secuencia_Optima'!$AB$29)*'06_Secuencia_Optima'!$H$29/480),6))-INT(ROUND(MIN('06_Secuencia_Optima'!$G$29,MAX(0,'07_Calendario'!$G$33-'06_Secuencia_Optima'!$L$29-'06_Secuencia_Optima'!$AB$29)*'06_Secuencia_Optima'!$H$29/480),6)))</f>
        <v>0</v>
      </c>
      <c r="AG10" s="51">
        <f>IF('07_Calendario'!$E$34=0,"",INT(ROUND(MIN('06_Secuencia_Optima'!$G$29,MAX(0,'07_Calendario'!$H$34-'06_Secuencia_Optima'!$L$29-'06_Secuencia_Optima'!$AB$29)*'06_Secuencia_Optima'!$H$29/480),6))-INT(ROUND(MIN('06_Secuencia_Optima'!$G$29,MAX(0,'07_Calendario'!$G$34-'06_Secuencia_Optima'!$L$29-'06_Secuencia_Optima'!$AB$29)*'06_Secuencia_Optima'!$H$29/480),6)))</f>
        <v>0</v>
      </c>
      <c r="AH10" s="51">
        <f>IF('07_Calendario'!$E$35=0,"",INT(ROUND(MIN('06_Secuencia_Optima'!$G$29,MAX(0,'07_Calendario'!$H$35-'06_Secuencia_Optima'!$L$29-'06_Secuencia_Optima'!$AB$29)*'06_Secuencia_Optima'!$H$29/480),6))-INT(ROUND(MIN('06_Secuencia_Optima'!$G$29,MAX(0,'07_Calendario'!$G$35-'06_Secuencia_Optima'!$L$29-'06_Secuencia_Optima'!$AB$29)*'06_Secuencia_Optima'!$H$29/480),6)))</f>
        <v>0</v>
      </c>
      <c r="AI10" s="51">
        <f>IF('07_Calendario'!$E$36=0,"",INT(ROUND(MIN('06_Secuencia_Optima'!$G$29,MAX(0,'07_Calendario'!$H$36-'06_Secuencia_Optima'!$L$29-'06_Secuencia_Optima'!$AB$29)*'06_Secuencia_Optima'!$H$29/480),6))-INT(ROUND(MIN('06_Secuencia_Optima'!$G$29,MAX(0,'07_Calendario'!$G$36-'06_Secuencia_Optima'!$L$29-'06_Secuencia_Optima'!$AB$29)*'06_Secuencia_Optima'!$H$29/480),6)))</f>
        <v>0</v>
      </c>
      <c r="AJ10" s="51" t="str">
        <f>IF('07_Calendario'!$E$37=0,"",INT(ROUND(MIN('06_Secuencia_Optima'!$G$29,MAX(0,'07_Calendario'!$H$37-'06_Secuencia_Optima'!$L$29-'06_Secuencia_Optima'!$AB$29)*'06_Secuencia_Optima'!$H$29/480),6))-INT(ROUND(MIN('06_Secuencia_Optima'!$G$29,MAX(0,'07_Calendario'!$G$37-'06_Secuencia_Optima'!$L$29-'06_Secuencia_Optima'!$AB$29)*'06_Secuencia_Optima'!$H$29/480),6)))</f>
        <v/>
      </c>
      <c r="AK10" s="51">
        <f>IF('07_Calendario'!$E$38=0,"",INT(ROUND(MIN('06_Secuencia_Optima'!$G$29,MAX(0,'07_Calendario'!$H$38-'06_Secuencia_Optima'!$L$29-'06_Secuencia_Optima'!$AB$29)*'06_Secuencia_Optima'!$H$29/480),6))-INT(ROUND(MIN('06_Secuencia_Optima'!$G$29,MAX(0,'07_Calendario'!$G$38-'06_Secuencia_Optima'!$L$29-'06_Secuencia_Optima'!$AB$29)*'06_Secuencia_Optima'!$H$29/480),6)))</f>
        <v>0</v>
      </c>
      <c r="AL10" s="51">
        <f>IF('07_Calendario'!$E$39=0,"",INT(ROUND(MIN('06_Secuencia_Optima'!$G$29,MAX(0,'07_Calendario'!$H$39-'06_Secuencia_Optima'!$L$29-'06_Secuencia_Optima'!$AB$29)*'06_Secuencia_Optima'!$H$29/480),6))-INT(ROUND(MIN('06_Secuencia_Optima'!$G$29,MAX(0,'07_Calendario'!$G$39-'06_Secuencia_Optima'!$L$29-'06_Secuencia_Optima'!$AB$29)*'06_Secuencia_Optima'!$H$29/480),6)))</f>
        <v>0</v>
      </c>
      <c r="AM10" s="51">
        <f>IF('07_Calendario'!$E$40=0,"",INT(ROUND(MIN('06_Secuencia_Optima'!$G$29,MAX(0,'07_Calendario'!$H$40-'06_Secuencia_Optima'!$L$29-'06_Secuencia_Optima'!$AB$29)*'06_Secuencia_Optima'!$H$29/480),6))-INT(ROUND(MIN('06_Secuencia_Optima'!$G$29,MAX(0,'07_Calendario'!$G$40-'06_Secuencia_Optima'!$L$29-'06_Secuencia_Optima'!$AB$29)*'06_Secuencia_Optima'!$H$29/480),6)))</f>
        <v>0</v>
      </c>
      <c r="AN10" s="51">
        <f>IF('07_Calendario'!$E$41=0,"",INT(ROUND(MIN('06_Secuencia_Optima'!$G$29,MAX(0,'07_Calendario'!$H$41-'06_Secuencia_Optima'!$L$29-'06_Secuencia_Optima'!$AB$29)*'06_Secuencia_Optima'!$H$29/480),6))-INT(ROUND(MIN('06_Secuencia_Optima'!$G$29,MAX(0,'07_Calendario'!$G$41-'06_Secuencia_Optima'!$L$29-'06_Secuencia_Optima'!$AB$29)*'06_Secuencia_Optima'!$H$29/480),6)))</f>
        <v>0</v>
      </c>
      <c r="AO10" s="51">
        <f>IF('07_Calendario'!$E$42=0,"",INT(ROUND(MIN('06_Secuencia_Optima'!$G$29,MAX(0,'07_Calendario'!$H$42-'06_Secuencia_Optima'!$L$29-'06_Secuencia_Optima'!$AB$29)*'06_Secuencia_Optima'!$H$29/480),6))-INT(ROUND(MIN('06_Secuencia_Optima'!$G$29,MAX(0,'07_Calendario'!$G$42-'06_Secuencia_Optima'!$L$29-'06_Secuencia_Optima'!$AB$29)*'06_Secuencia_Optima'!$H$29/480),6)))</f>
        <v>0</v>
      </c>
      <c r="AP10" s="51">
        <f>IF('07_Calendario'!$E$43=0,"",INT(ROUND(MIN('06_Secuencia_Optima'!$G$29,MAX(0,'07_Calendario'!$H$43-'06_Secuencia_Optima'!$L$29-'06_Secuencia_Optima'!$AB$29)*'06_Secuencia_Optima'!$H$29/480),6))-INT(ROUND(MIN('06_Secuencia_Optima'!$G$29,MAX(0,'07_Calendario'!$G$43-'06_Secuencia_Optima'!$L$29-'06_Secuencia_Optima'!$AB$29)*'06_Secuencia_Optima'!$H$29/480),6)))</f>
        <v>0</v>
      </c>
      <c r="AQ10" s="51">
        <f>IF('07_Calendario'!$E$44=0,"",INT(ROUND(MIN('06_Secuencia_Optima'!$G$29,MAX(0,'07_Calendario'!$H$44-'06_Secuencia_Optima'!$L$29-'06_Secuencia_Optima'!$AB$29)*'06_Secuencia_Optima'!$H$29/480),6))-INT(ROUND(MIN('06_Secuencia_Optima'!$G$29,MAX(0,'07_Calendario'!$G$44-'06_Secuencia_Optima'!$L$29-'06_Secuencia_Optima'!$AB$29)*'06_Secuencia_Optima'!$H$29/480),6)))</f>
        <v>0</v>
      </c>
      <c r="AR10" s="51">
        <f>IF('07_Calendario'!$E$45=0,"",INT(ROUND(MIN('06_Secuencia_Optima'!$G$29,MAX(0,'07_Calendario'!$H$45-'06_Secuencia_Optima'!$L$29-'06_Secuencia_Optima'!$AB$29)*'06_Secuencia_Optima'!$H$29/480),6))-INT(ROUND(MIN('06_Secuencia_Optima'!$G$29,MAX(0,'07_Calendario'!$G$45-'06_Secuencia_Optima'!$L$29-'06_Secuencia_Optima'!$AB$29)*'06_Secuencia_Optima'!$H$29/480),6)))</f>
        <v>0</v>
      </c>
      <c r="AS10" s="51">
        <f>IF('07_Calendario'!$E$46=0,"",INT(ROUND(MIN('06_Secuencia_Optima'!$G$29,MAX(0,'07_Calendario'!$H$46-'06_Secuencia_Optima'!$L$29-'06_Secuencia_Optima'!$AB$29)*'06_Secuencia_Optima'!$H$29/480),6))-INT(ROUND(MIN('06_Secuencia_Optima'!$G$29,MAX(0,'07_Calendario'!$G$46-'06_Secuencia_Optima'!$L$29-'06_Secuencia_Optima'!$AB$29)*'06_Secuencia_Optima'!$H$29/480),6)))</f>
        <v>0</v>
      </c>
      <c r="AT10" s="51">
        <f>IF('07_Calendario'!$E$47=0,"",INT(ROUND(MIN('06_Secuencia_Optima'!$G$29,MAX(0,'07_Calendario'!$H$47-'06_Secuencia_Optima'!$L$29-'06_Secuencia_Optima'!$AB$29)*'06_Secuencia_Optima'!$H$29/480),6))-INT(ROUND(MIN('06_Secuencia_Optima'!$G$29,MAX(0,'07_Calendario'!$G$47-'06_Secuencia_Optima'!$L$29-'06_Secuencia_Optima'!$AB$29)*'06_Secuencia_Optima'!$H$29/480),6)))</f>
        <v>0</v>
      </c>
      <c r="AU10" s="51">
        <f>IF('07_Calendario'!$E$48=0,"",INT(ROUND(MIN('06_Secuencia_Optima'!$G$29,MAX(0,'07_Calendario'!$H$48-'06_Secuencia_Optima'!$L$29-'06_Secuencia_Optima'!$AB$29)*'06_Secuencia_Optima'!$H$29/480),6))-INT(ROUND(MIN('06_Secuencia_Optima'!$G$29,MAX(0,'07_Calendario'!$G$48-'06_Secuencia_Optima'!$L$29-'06_Secuencia_Optima'!$AB$29)*'06_Secuencia_Optima'!$H$29/480),6)))</f>
        <v>0</v>
      </c>
      <c r="AV10" s="51">
        <f>IF('07_Calendario'!$E$49=0,"",INT(ROUND(MIN('06_Secuencia_Optima'!$G$29,MAX(0,'07_Calendario'!$H$49-'06_Secuencia_Optima'!$L$29-'06_Secuencia_Optima'!$AB$29)*'06_Secuencia_Optima'!$H$29/480),6))-INT(ROUND(MIN('06_Secuencia_Optima'!$G$29,MAX(0,'07_Calendario'!$G$49-'06_Secuencia_Optima'!$L$29-'06_Secuencia_Optima'!$AB$29)*'06_Secuencia_Optima'!$H$29/480),6)))</f>
        <v>0</v>
      </c>
      <c r="AW10" s="51">
        <f>IF('07_Calendario'!$E$50=0,"",INT(ROUND(MIN('06_Secuencia_Optima'!$G$29,MAX(0,'07_Calendario'!$H$50-'06_Secuencia_Optima'!$L$29-'06_Secuencia_Optima'!$AB$29)*'06_Secuencia_Optima'!$H$29/480),6))-INT(ROUND(MIN('06_Secuencia_Optima'!$G$29,MAX(0,'07_Calendario'!$G$50-'06_Secuencia_Optima'!$L$29-'06_Secuencia_Optima'!$AB$29)*'06_Secuencia_Optima'!$H$29/480),6)))</f>
        <v>0</v>
      </c>
      <c r="AX10" s="51">
        <f>IF('07_Calendario'!$E$51=0,"",INT(ROUND(MIN('06_Secuencia_Optima'!$G$29,MAX(0,'07_Calendario'!$H$51-'06_Secuencia_Optima'!$L$29-'06_Secuencia_Optima'!$AB$29)*'06_Secuencia_Optima'!$H$29/480),6))-INT(ROUND(MIN('06_Secuencia_Optima'!$G$29,MAX(0,'07_Calendario'!$G$51-'06_Secuencia_Optima'!$L$29-'06_Secuencia_Optima'!$AB$29)*'06_Secuencia_Optima'!$H$29/480),6)))</f>
        <v>0</v>
      </c>
      <c r="AY10" s="51">
        <f>IF('07_Calendario'!$E$52=0,"",INT(ROUND(MIN('06_Secuencia_Optima'!$G$29,MAX(0,'07_Calendario'!$H$52-'06_Secuencia_Optima'!$L$29-'06_Secuencia_Optima'!$AB$29)*'06_Secuencia_Optima'!$H$29/480),6))-INT(ROUND(MIN('06_Secuencia_Optima'!$G$29,MAX(0,'07_Calendario'!$G$52-'06_Secuencia_Optima'!$L$29-'06_Secuencia_Optima'!$AB$29)*'06_Secuencia_Optima'!$H$29/480),6)))</f>
        <v>0</v>
      </c>
      <c r="AZ10" s="51">
        <f>IF('07_Calendario'!$E$53=0,"",INT(ROUND(MIN('06_Secuencia_Optima'!$G$29,MAX(0,'07_Calendario'!$H$53-'06_Secuencia_Optima'!$L$29-'06_Secuencia_Optima'!$AB$29)*'06_Secuencia_Optima'!$H$29/480),6))-INT(ROUND(MIN('06_Secuencia_Optima'!$G$29,MAX(0,'07_Calendario'!$G$53-'06_Secuencia_Optima'!$L$29-'06_Secuencia_Optima'!$AB$29)*'06_Secuencia_Optima'!$H$29/480),6)))</f>
        <v>0</v>
      </c>
      <c r="BA10" s="51">
        <f>IF('07_Calendario'!$E$54=0,"",INT(ROUND(MIN('06_Secuencia_Optima'!$G$29,MAX(0,'07_Calendario'!$H$54-'06_Secuencia_Optima'!$L$29-'06_Secuencia_Optima'!$AB$29)*'06_Secuencia_Optima'!$H$29/480),6))-INT(ROUND(MIN('06_Secuencia_Optima'!$G$29,MAX(0,'07_Calendario'!$G$54-'06_Secuencia_Optima'!$L$29-'06_Secuencia_Optima'!$AB$29)*'06_Secuencia_Optima'!$H$29/480),6)))</f>
        <v>0</v>
      </c>
      <c r="BB10" s="51" t="str">
        <f>IF('07_Calendario'!$E$55=0,"",INT(ROUND(MIN('06_Secuencia_Optima'!$G$29,MAX(0,'07_Calendario'!$H$55-'06_Secuencia_Optima'!$L$29-'06_Secuencia_Optima'!$AB$29)*'06_Secuencia_Optima'!$H$29/480),6))-INT(ROUND(MIN('06_Secuencia_Optima'!$G$29,MAX(0,'07_Calendario'!$G$55-'06_Secuencia_Optima'!$L$29-'06_Secuencia_Optima'!$AB$29)*'06_Secuencia_Optima'!$H$29/480),6)))</f>
        <v/>
      </c>
      <c r="BC10" s="51">
        <f>IF('07_Calendario'!$E$56=0,"",INT(ROUND(MIN('06_Secuencia_Optima'!$G$29,MAX(0,'07_Calendario'!$H$56-'06_Secuencia_Optima'!$L$29-'06_Secuencia_Optima'!$AB$29)*'06_Secuencia_Optima'!$H$29/480),6))-INT(ROUND(MIN('06_Secuencia_Optima'!$G$29,MAX(0,'07_Calendario'!$G$56-'06_Secuencia_Optima'!$L$29-'06_Secuencia_Optima'!$AB$29)*'06_Secuencia_Optima'!$H$29/480),6)))</f>
        <v>0</v>
      </c>
      <c r="BD10" s="51">
        <f>IF('07_Calendario'!$E$57=0,"",INT(ROUND(MIN('06_Secuencia_Optima'!$G$29,MAX(0,'07_Calendario'!$H$57-'06_Secuencia_Optima'!$L$29-'06_Secuencia_Optima'!$AB$29)*'06_Secuencia_Optima'!$H$29/480),6))-INT(ROUND(MIN('06_Secuencia_Optima'!$G$29,MAX(0,'07_Calendario'!$G$57-'06_Secuencia_Optima'!$L$29-'06_Secuencia_Optima'!$AB$29)*'06_Secuencia_Optima'!$H$29/480),6)))</f>
        <v>0</v>
      </c>
      <c r="BE10" s="51">
        <f>IF('07_Calendario'!$E$58=0,"",INT(ROUND(MIN('06_Secuencia_Optima'!$G$29,MAX(0,'07_Calendario'!$H$58-'06_Secuencia_Optima'!$L$29-'06_Secuencia_Optima'!$AB$29)*'06_Secuencia_Optima'!$H$29/480),6))-INT(ROUND(MIN('06_Secuencia_Optima'!$G$29,MAX(0,'07_Calendario'!$G$58-'06_Secuencia_Optima'!$L$29-'06_Secuencia_Optima'!$AB$29)*'06_Secuencia_Optima'!$H$29/480),6)))</f>
        <v>0</v>
      </c>
      <c r="BF10" s="51">
        <f>IF('07_Calendario'!$E$59=0,"",INT(ROUND(MIN('06_Secuencia_Optima'!$G$29,MAX(0,'07_Calendario'!$H$59-'06_Secuencia_Optima'!$L$29-'06_Secuencia_Optima'!$AB$29)*'06_Secuencia_Optima'!$H$29/480),6))-INT(ROUND(MIN('06_Secuencia_Optima'!$G$29,MAX(0,'07_Calendario'!$G$59-'06_Secuencia_Optima'!$L$29-'06_Secuencia_Optima'!$AB$29)*'06_Secuencia_Optima'!$H$29/480),6)))</f>
        <v>0</v>
      </c>
      <c r="BG10" s="51">
        <f>IF('07_Calendario'!$E$60=0,"",INT(ROUND(MIN('06_Secuencia_Optima'!$G$29,MAX(0,'07_Calendario'!$H$60-'06_Secuencia_Optima'!$L$29-'06_Secuencia_Optima'!$AB$29)*'06_Secuencia_Optima'!$H$29/480),6))-INT(ROUND(MIN('06_Secuencia_Optima'!$G$29,MAX(0,'07_Calendario'!$G$60-'06_Secuencia_Optima'!$L$29-'06_Secuencia_Optima'!$AB$29)*'06_Secuencia_Optima'!$H$29/480),6)))</f>
        <v>0</v>
      </c>
      <c r="BH10" s="51">
        <f>IF('07_Calendario'!$E$61=0,"",INT(ROUND(MIN('06_Secuencia_Optima'!$G$29,MAX(0,'07_Calendario'!$H$61-'06_Secuencia_Optima'!$L$29-'06_Secuencia_Optima'!$AB$29)*'06_Secuencia_Optima'!$H$29/480),6))-INT(ROUND(MIN('06_Secuencia_Optima'!$G$29,MAX(0,'07_Calendario'!$G$61-'06_Secuencia_Optima'!$L$29-'06_Secuencia_Optima'!$AB$29)*'06_Secuencia_Optima'!$H$29/480),6)))</f>
        <v>0</v>
      </c>
      <c r="BI10" s="51">
        <f>IF('07_Calendario'!$E$62=0,"",INT(ROUND(MIN('06_Secuencia_Optima'!$G$29,MAX(0,'07_Calendario'!$H$62-'06_Secuencia_Optima'!$L$29-'06_Secuencia_Optima'!$AB$29)*'06_Secuencia_Optima'!$H$29/480),6))-INT(ROUND(MIN('06_Secuencia_Optima'!$G$29,MAX(0,'07_Calendario'!$G$62-'06_Secuencia_Optima'!$L$29-'06_Secuencia_Optima'!$AB$29)*'06_Secuencia_Optima'!$H$29/480),6)))</f>
        <v>0</v>
      </c>
      <c r="BJ10" s="51">
        <f>IF('07_Calendario'!$E$63=0,"",INT(ROUND(MIN('06_Secuencia_Optima'!$G$29,MAX(0,'07_Calendario'!$H$63-'06_Secuencia_Optima'!$L$29-'06_Secuencia_Optima'!$AB$29)*'06_Secuencia_Optima'!$H$29/480),6))-INT(ROUND(MIN('06_Secuencia_Optima'!$G$29,MAX(0,'07_Calendario'!$G$63-'06_Secuencia_Optima'!$L$29-'06_Secuencia_Optima'!$AB$29)*'06_Secuencia_Optima'!$H$29/480),6)))</f>
        <v>0</v>
      </c>
      <c r="BK10" s="51">
        <f>IF('07_Calendario'!$E$64=0,"",INT(ROUND(MIN('06_Secuencia_Optima'!$G$29,MAX(0,'07_Calendario'!$H$64-'06_Secuencia_Optima'!$L$29-'06_Secuencia_Optima'!$AB$29)*'06_Secuencia_Optima'!$H$29/480),6))-INT(ROUND(MIN('06_Secuencia_Optima'!$G$29,MAX(0,'07_Calendario'!$G$64-'06_Secuencia_Optima'!$L$29-'06_Secuencia_Optima'!$AB$29)*'06_Secuencia_Optima'!$H$29/480),6)))</f>
        <v>0</v>
      </c>
      <c r="BL10" s="51">
        <f>IF('07_Calendario'!$E$65=0,"",INT(ROUND(MIN('06_Secuencia_Optima'!$G$29,MAX(0,'07_Calendario'!$H$65-'06_Secuencia_Optima'!$L$29-'06_Secuencia_Optima'!$AB$29)*'06_Secuencia_Optima'!$H$29/480),6))-INT(ROUND(MIN('06_Secuencia_Optima'!$G$29,MAX(0,'07_Calendario'!$G$65-'06_Secuencia_Optima'!$L$29-'06_Secuencia_Optima'!$AB$29)*'06_Secuencia_Optima'!$H$29/480),6)))</f>
        <v>0</v>
      </c>
      <c r="BM10" s="51">
        <f>IF('07_Calendario'!$E$66=0,"",INT(ROUND(MIN('06_Secuencia_Optima'!$G$29,MAX(0,'07_Calendario'!$H$66-'06_Secuencia_Optima'!$L$29-'06_Secuencia_Optima'!$AB$29)*'06_Secuencia_Optima'!$H$29/480),6))-INT(ROUND(MIN('06_Secuencia_Optima'!$G$29,MAX(0,'07_Calendario'!$G$66-'06_Secuencia_Optima'!$L$29-'06_Secuencia_Optima'!$AB$29)*'06_Secuencia_Optima'!$H$29/480),6)))</f>
        <v>0</v>
      </c>
      <c r="BN10" s="51">
        <f>IF('07_Calendario'!$E$67=0,"",INT(ROUND(MIN('06_Secuencia_Optima'!$G$29,MAX(0,'07_Calendario'!$H$67-'06_Secuencia_Optima'!$L$29-'06_Secuencia_Optima'!$AB$29)*'06_Secuencia_Optima'!$H$29/480),6))-INT(ROUND(MIN('06_Secuencia_Optima'!$G$29,MAX(0,'07_Calendario'!$G$67-'06_Secuencia_Optima'!$L$29-'06_Secuencia_Optima'!$AB$29)*'06_Secuencia_Optima'!$H$29/480),6)))</f>
        <v>0</v>
      </c>
      <c r="BO10" s="51">
        <f>IF('07_Calendario'!$E$68=0,"",INT(ROUND(MIN('06_Secuencia_Optima'!$G$29,MAX(0,'07_Calendario'!$H$68-'06_Secuencia_Optima'!$L$29-'06_Secuencia_Optima'!$AB$29)*'06_Secuencia_Optima'!$H$29/480),6))-INT(ROUND(MIN('06_Secuencia_Optima'!$G$29,MAX(0,'07_Calendario'!$G$68-'06_Secuencia_Optima'!$L$29-'06_Secuencia_Optima'!$AB$29)*'06_Secuencia_Optima'!$H$29/480),6)))</f>
        <v>0</v>
      </c>
      <c r="BP10" s="51">
        <f>IF('07_Calendario'!$E$69=0,"",INT(ROUND(MIN('06_Secuencia_Optima'!$G$29,MAX(0,'07_Calendario'!$H$69-'06_Secuencia_Optima'!$L$29-'06_Secuencia_Optima'!$AB$29)*'06_Secuencia_Optima'!$H$29/480),6))-INT(ROUND(MIN('06_Secuencia_Optima'!$G$29,MAX(0,'07_Calendario'!$G$69-'06_Secuencia_Optima'!$L$29-'06_Secuencia_Optima'!$AB$29)*'06_Secuencia_Optima'!$H$29/480),6)))</f>
        <v>0</v>
      </c>
      <c r="BQ10" s="51">
        <f>IF('07_Calendario'!$E$70=0,"",INT(ROUND(MIN('06_Secuencia_Optima'!$G$29,MAX(0,'07_Calendario'!$H$70-'06_Secuencia_Optima'!$L$29-'06_Secuencia_Optima'!$AB$29)*'06_Secuencia_Optima'!$H$29/480),6))-INT(ROUND(MIN('06_Secuencia_Optima'!$G$29,MAX(0,'07_Calendario'!$G$70-'06_Secuencia_Optima'!$L$29-'06_Secuencia_Optima'!$AB$29)*'06_Secuencia_Optima'!$H$29/480),6)))</f>
        <v>0</v>
      </c>
      <c r="BR10" s="51">
        <f>IF('07_Calendario'!$E$71=0,"",INT(ROUND(MIN('06_Secuencia_Optima'!$G$29,MAX(0,'07_Calendario'!$H$71-'06_Secuencia_Optima'!$L$29-'06_Secuencia_Optima'!$AB$29)*'06_Secuencia_Optima'!$H$29/480),6))-INT(ROUND(MIN('06_Secuencia_Optima'!$G$29,MAX(0,'07_Calendario'!$G$71-'06_Secuencia_Optima'!$L$29-'06_Secuencia_Optima'!$AB$29)*'06_Secuencia_Optima'!$H$29/480),6)))</f>
        <v>0</v>
      </c>
      <c r="BS10" s="51">
        <f>IF('07_Calendario'!$E$72=0,"",INT(ROUND(MIN('06_Secuencia_Optima'!$G$29,MAX(0,'07_Calendario'!$H$72-'06_Secuencia_Optima'!$L$29-'06_Secuencia_Optima'!$AB$29)*'06_Secuencia_Optima'!$H$29/480),6))-INT(ROUND(MIN('06_Secuencia_Optima'!$G$29,MAX(0,'07_Calendario'!$G$72-'06_Secuencia_Optima'!$L$29-'06_Secuencia_Optima'!$AB$29)*'06_Secuencia_Optima'!$H$29/480),6)))</f>
        <v>0</v>
      </c>
      <c r="BT10" s="51" t="str">
        <f>IF('07_Calendario'!$E$73=0,"",INT(ROUND(MIN('06_Secuencia_Optima'!$G$29,MAX(0,'07_Calendario'!$H$73-'06_Secuencia_Optima'!$L$29-'06_Secuencia_Optima'!$AB$29)*'06_Secuencia_Optima'!$H$29/480),6))-INT(ROUND(MIN('06_Secuencia_Optima'!$G$29,MAX(0,'07_Calendario'!$G$73-'06_Secuencia_Optima'!$L$29-'06_Secuencia_Optima'!$AB$29)*'06_Secuencia_Optima'!$H$29/480),6)))</f>
        <v/>
      </c>
      <c r="BU10" s="51">
        <f>IF('07_Calendario'!$E$74=0,"",INT(ROUND(MIN('06_Secuencia_Optima'!$G$29,MAX(0,'07_Calendario'!$H$74-'06_Secuencia_Optima'!$L$29-'06_Secuencia_Optima'!$AB$29)*'06_Secuencia_Optima'!$H$29/480),6))-INT(ROUND(MIN('06_Secuencia_Optima'!$G$29,MAX(0,'07_Calendario'!$G$74-'06_Secuencia_Optima'!$L$29-'06_Secuencia_Optima'!$AB$29)*'06_Secuencia_Optima'!$H$29/480),6)))</f>
        <v>0</v>
      </c>
      <c r="BV10" s="51">
        <f>IF('07_Calendario'!$E$75=0,"",INT(ROUND(MIN('06_Secuencia_Optima'!$G$29,MAX(0,'07_Calendario'!$H$75-'06_Secuencia_Optima'!$L$29-'06_Secuencia_Optima'!$AB$29)*'06_Secuencia_Optima'!$H$29/480),6))-INT(ROUND(MIN('06_Secuencia_Optima'!$G$29,MAX(0,'07_Calendario'!$G$75-'06_Secuencia_Optima'!$L$29-'06_Secuencia_Optima'!$AB$29)*'06_Secuencia_Optima'!$H$29/480),6)))</f>
        <v>0</v>
      </c>
      <c r="BW10" s="51">
        <f>IF('07_Calendario'!$E$76=0,"",INT(ROUND(MIN('06_Secuencia_Optima'!$G$29,MAX(0,'07_Calendario'!$H$76-'06_Secuencia_Optima'!$L$29-'06_Secuencia_Optima'!$AB$29)*'06_Secuencia_Optima'!$H$29/480),6))-INT(ROUND(MIN('06_Secuencia_Optima'!$G$29,MAX(0,'07_Calendario'!$G$76-'06_Secuencia_Optima'!$L$29-'06_Secuencia_Optima'!$AB$29)*'06_Secuencia_Optima'!$H$29/480),6)))</f>
        <v>0</v>
      </c>
      <c r="BX10" s="51">
        <f>IF('07_Calendario'!$E$77=0,"",INT(ROUND(MIN('06_Secuencia_Optima'!$G$29,MAX(0,'07_Calendario'!$H$77-'06_Secuencia_Optima'!$L$29-'06_Secuencia_Optima'!$AB$29)*'06_Secuencia_Optima'!$H$29/480),6))-INT(ROUND(MIN('06_Secuencia_Optima'!$G$29,MAX(0,'07_Calendario'!$G$77-'06_Secuencia_Optima'!$L$29-'06_Secuencia_Optima'!$AB$29)*'06_Secuencia_Optima'!$H$29/480),6)))</f>
        <v>0</v>
      </c>
      <c r="BY10" s="51">
        <f>IF('07_Calendario'!$E$78=0,"",INT(ROUND(MIN('06_Secuencia_Optima'!$G$29,MAX(0,'07_Calendario'!$H$78-'06_Secuencia_Optima'!$L$29-'06_Secuencia_Optima'!$AB$29)*'06_Secuencia_Optima'!$H$29/480),6))-INT(ROUND(MIN('06_Secuencia_Optima'!$G$29,MAX(0,'07_Calendario'!$G$78-'06_Secuencia_Optima'!$L$29-'06_Secuencia_Optima'!$AB$29)*'06_Secuencia_Optima'!$H$29/480),6)))</f>
        <v>0</v>
      </c>
      <c r="BZ10" s="51">
        <f>IF('07_Calendario'!$E$79=0,"",INT(ROUND(MIN('06_Secuencia_Optima'!$G$29,MAX(0,'07_Calendario'!$H$79-'06_Secuencia_Optima'!$L$29-'06_Secuencia_Optima'!$AB$29)*'06_Secuencia_Optima'!$H$29/480),6))-INT(ROUND(MIN('06_Secuencia_Optima'!$G$29,MAX(0,'07_Calendario'!$G$79-'06_Secuencia_Optima'!$L$29-'06_Secuencia_Optima'!$AB$29)*'06_Secuencia_Optima'!$H$29/480),6)))</f>
        <v>0</v>
      </c>
      <c r="CA10" s="51">
        <f>IF('07_Calendario'!$E$80=0,"",INT(ROUND(MIN('06_Secuencia_Optima'!$G$29,MAX(0,'07_Calendario'!$H$80-'06_Secuencia_Optima'!$L$29-'06_Secuencia_Optima'!$AB$29)*'06_Secuencia_Optima'!$H$29/480),6))-INT(ROUND(MIN('06_Secuencia_Optima'!$G$29,MAX(0,'07_Calendario'!$G$80-'06_Secuencia_Optima'!$L$29-'06_Secuencia_Optima'!$AB$29)*'06_Secuencia_Optima'!$H$29/480),6)))</f>
        <v>0</v>
      </c>
      <c r="CB10" s="51">
        <f>IF('07_Calendario'!$E$81=0,"",INT(ROUND(MIN('06_Secuencia_Optima'!$G$29,MAX(0,'07_Calendario'!$H$81-'06_Secuencia_Optima'!$L$29-'06_Secuencia_Optima'!$AB$29)*'06_Secuencia_Optima'!$H$29/480),6))-INT(ROUND(MIN('06_Secuencia_Optima'!$G$29,MAX(0,'07_Calendario'!$G$81-'06_Secuencia_Optima'!$L$29-'06_Secuencia_Optima'!$AB$29)*'06_Secuencia_Optima'!$H$29/480),6)))</f>
        <v>0</v>
      </c>
      <c r="CC10" s="51">
        <f>IF('07_Calendario'!$E$82=0,"",INT(ROUND(MIN('06_Secuencia_Optima'!$G$29,MAX(0,'07_Calendario'!$H$82-'06_Secuencia_Optima'!$L$29-'06_Secuencia_Optima'!$AB$29)*'06_Secuencia_Optima'!$H$29/480),6))-INT(ROUND(MIN('06_Secuencia_Optima'!$G$29,MAX(0,'07_Calendario'!$G$82-'06_Secuencia_Optima'!$L$29-'06_Secuencia_Optima'!$AB$29)*'06_Secuencia_Optima'!$H$29/480),6)))</f>
        <v>0</v>
      </c>
      <c r="CD10" s="18">
        <f t="shared" si="0"/>
        <v>20286</v>
      </c>
      <c r="CE10" s="19">
        <f>'06_Secuencia_Optima'!$G$29</f>
        <v>20286</v>
      </c>
      <c r="CF10" s="10" t="str">
        <f t="shared" si="1"/>
        <v>OK</v>
      </c>
    </row>
    <row r="11" spans="1:84" x14ac:dyDescent="0.2">
      <c r="A11" s="10">
        <f>'06_Secuencia_Optima'!$B$30</f>
        <v>15881</v>
      </c>
      <c r="B11" s="13" t="str">
        <f>'06_Secuencia_Optima'!$C$30</f>
        <v>SALSA DE TOMATE SAVORIA (12DP/1/500g)</v>
      </c>
      <c r="C11" s="14">
        <f>'06_Secuencia_Optima'!$D$30</f>
        <v>5998</v>
      </c>
      <c r="D11" s="51">
        <f>IF('07_Calendario'!$E$5=0,"",INT(ROUND(MIN('06_Secuencia_Optima'!$G$30,MAX(0,'07_Calendario'!$H$5-'06_Secuencia_Optima'!$L$30-'06_Secuencia_Optima'!$AB$30)*'06_Secuencia_Optima'!$H$30/480),6))-INT(ROUND(MIN('06_Secuencia_Optima'!$G$30,MAX(0,'07_Calendario'!$G$5-'06_Secuencia_Optima'!$L$30-'06_Secuencia_Optima'!$AB$30)*'06_Secuencia_Optima'!$H$30/480),6)))</f>
        <v>1476</v>
      </c>
      <c r="E11" s="51">
        <f>IF('07_Calendario'!$E$6=0,"",INT(ROUND(MIN('06_Secuencia_Optima'!$G$30,MAX(0,'07_Calendario'!$H$6-'06_Secuencia_Optima'!$L$30-'06_Secuencia_Optima'!$AB$30)*'06_Secuencia_Optima'!$H$30/480),6))-INT(ROUND(MIN('06_Secuencia_Optima'!$G$30,MAX(0,'07_Calendario'!$G$6-'06_Secuencia_Optima'!$L$30-'06_Secuencia_Optima'!$AB$30)*'06_Secuencia_Optima'!$H$30/480),6)))</f>
        <v>1476</v>
      </c>
      <c r="F11" s="51">
        <f>IF('07_Calendario'!$E$7=0,"",INT(ROUND(MIN('06_Secuencia_Optima'!$G$30,MAX(0,'07_Calendario'!$H$7-'06_Secuencia_Optima'!$L$30-'06_Secuencia_Optima'!$AB$30)*'06_Secuencia_Optima'!$H$30/480),6))-INT(ROUND(MIN('06_Secuencia_Optima'!$G$30,MAX(0,'07_Calendario'!$G$7-'06_Secuencia_Optima'!$L$30-'06_Secuencia_Optima'!$AB$30)*'06_Secuencia_Optima'!$H$30/480),6)))</f>
        <v>588</v>
      </c>
      <c r="G11" s="51">
        <f>IF('07_Calendario'!$E$8=0,"",INT(ROUND(MIN('06_Secuencia_Optima'!$G$30,MAX(0,'07_Calendario'!$H$8-'06_Secuencia_Optima'!$L$30-'06_Secuencia_Optima'!$AB$30)*'06_Secuencia_Optima'!$H$30/480),6))-INT(ROUND(MIN('06_Secuencia_Optima'!$G$30,MAX(0,'07_Calendario'!$G$8-'06_Secuencia_Optima'!$L$30-'06_Secuencia_Optima'!$AB$30)*'06_Secuencia_Optima'!$H$30/480),6)))</f>
        <v>0</v>
      </c>
      <c r="H11" s="51">
        <f>IF('07_Calendario'!$E$9=0,"",INT(ROUND(MIN('06_Secuencia_Optima'!$G$30,MAX(0,'07_Calendario'!$H$9-'06_Secuencia_Optima'!$L$30-'06_Secuencia_Optima'!$AB$30)*'06_Secuencia_Optima'!$H$30/480),6))-INT(ROUND(MIN('06_Secuencia_Optima'!$G$30,MAX(0,'07_Calendario'!$G$9-'06_Secuencia_Optima'!$L$30-'06_Secuencia_Optima'!$AB$30)*'06_Secuencia_Optima'!$H$30/480),6)))</f>
        <v>0</v>
      </c>
      <c r="I11" s="51">
        <f>IF('07_Calendario'!$E$10=0,"",INT(ROUND(MIN('06_Secuencia_Optima'!$G$30,MAX(0,'07_Calendario'!$H$10-'06_Secuencia_Optima'!$L$30-'06_Secuencia_Optima'!$AB$30)*'06_Secuencia_Optima'!$H$30/480),6))-INT(ROUND(MIN('06_Secuencia_Optima'!$G$30,MAX(0,'07_Calendario'!$G$10-'06_Secuencia_Optima'!$L$30-'06_Secuencia_Optima'!$AB$30)*'06_Secuencia_Optima'!$H$30/480),6)))</f>
        <v>0</v>
      </c>
      <c r="J11" s="51">
        <f>IF('07_Calendario'!$E$11=0,"",INT(ROUND(MIN('06_Secuencia_Optima'!$G$30,MAX(0,'07_Calendario'!$H$11-'06_Secuencia_Optima'!$L$30-'06_Secuencia_Optima'!$AB$30)*'06_Secuencia_Optima'!$H$30/480),6))-INT(ROUND(MIN('06_Secuencia_Optima'!$G$30,MAX(0,'07_Calendario'!$G$11-'06_Secuencia_Optima'!$L$30-'06_Secuencia_Optima'!$AB$30)*'06_Secuencia_Optima'!$H$30/480),6)))</f>
        <v>0</v>
      </c>
      <c r="K11" s="51">
        <f>IF('07_Calendario'!$E$12=0,"",INT(ROUND(MIN('06_Secuencia_Optima'!$G$30,MAX(0,'07_Calendario'!$H$12-'06_Secuencia_Optima'!$L$30-'06_Secuencia_Optima'!$AB$30)*'06_Secuencia_Optima'!$H$30/480),6))-INT(ROUND(MIN('06_Secuencia_Optima'!$G$30,MAX(0,'07_Calendario'!$G$12-'06_Secuencia_Optima'!$L$30-'06_Secuencia_Optima'!$AB$30)*'06_Secuencia_Optima'!$H$30/480),6)))</f>
        <v>0</v>
      </c>
      <c r="L11" s="51">
        <f>IF('07_Calendario'!$E$13=0,"",INT(ROUND(MIN('06_Secuencia_Optima'!$G$30,MAX(0,'07_Calendario'!$H$13-'06_Secuencia_Optima'!$L$30-'06_Secuencia_Optima'!$AB$30)*'06_Secuencia_Optima'!$H$30/480),6))-INT(ROUND(MIN('06_Secuencia_Optima'!$G$30,MAX(0,'07_Calendario'!$G$13-'06_Secuencia_Optima'!$L$30-'06_Secuencia_Optima'!$AB$30)*'06_Secuencia_Optima'!$H$30/480),6)))</f>
        <v>0</v>
      </c>
      <c r="M11" s="51">
        <f>IF('07_Calendario'!$E$14=0,"",INT(ROUND(MIN('06_Secuencia_Optima'!$G$30,MAX(0,'07_Calendario'!$H$14-'06_Secuencia_Optima'!$L$30-'06_Secuencia_Optima'!$AB$30)*'06_Secuencia_Optima'!$H$30/480),6))-INT(ROUND(MIN('06_Secuencia_Optima'!$G$30,MAX(0,'07_Calendario'!$G$14-'06_Secuencia_Optima'!$L$30-'06_Secuencia_Optima'!$AB$30)*'06_Secuencia_Optima'!$H$30/480),6)))</f>
        <v>0</v>
      </c>
      <c r="N11" s="51">
        <f>IF('07_Calendario'!$E$15=0,"",INT(ROUND(MIN('06_Secuencia_Optima'!$G$30,MAX(0,'07_Calendario'!$H$15-'06_Secuencia_Optima'!$L$30-'06_Secuencia_Optima'!$AB$30)*'06_Secuencia_Optima'!$H$30/480),6))-INT(ROUND(MIN('06_Secuencia_Optima'!$G$30,MAX(0,'07_Calendario'!$G$15-'06_Secuencia_Optima'!$L$30-'06_Secuencia_Optima'!$AB$30)*'06_Secuencia_Optima'!$H$30/480),6)))</f>
        <v>0</v>
      </c>
      <c r="O11" s="51">
        <f>IF('07_Calendario'!$E$16=0,"",INT(ROUND(MIN('06_Secuencia_Optima'!$G$30,MAX(0,'07_Calendario'!$H$16-'06_Secuencia_Optima'!$L$30-'06_Secuencia_Optima'!$AB$30)*'06_Secuencia_Optima'!$H$30/480),6))-INT(ROUND(MIN('06_Secuencia_Optima'!$G$30,MAX(0,'07_Calendario'!$G$16-'06_Secuencia_Optima'!$L$30-'06_Secuencia_Optima'!$AB$30)*'06_Secuencia_Optima'!$H$30/480),6)))</f>
        <v>0</v>
      </c>
      <c r="P11" s="51">
        <f>IF('07_Calendario'!$E$17=0,"",INT(ROUND(MIN('06_Secuencia_Optima'!$G$30,MAX(0,'07_Calendario'!$H$17-'06_Secuencia_Optima'!$L$30-'06_Secuencia_Optima'!$AB$30)*'06_Secuencia_Optima'!$H$30/480),6))-INT(ROUND(MIN('06_Secuencia_Optima'!$G$30,MAX(0,'07_Calendario'!$G$17-'06_Secuencia_Optima'!$L$30-'06_Secuencia_Optima'!$AB$30)*'06_Secuencia_Optima'!$H$30/480),6)))</f>
        <v>0</v>
      </c>
      <c r="Q11" s="51">
        <f>IF('07_Calendario'!$E$18=0,"",INT(ROUND(MIN('06_Secuencia_Optima'!$G$30,MAX(0,'07_Calendario'!$H$18-'06_Secuencia_Optima'!$L$30-'06_Secuencia_Optima'!$AB$30)*'06_Secuencia_Optima'!$H$30/480),6))-INT(ROUND(MIN('06_Secuencia_Optima'!$G$30,MAX(0,'07_Calendario'!$G$18-'06_Secuencia_Optima'!$L$30-'06_Secuencia_Optima'!$AB$30)*'06_Secuencia_Optima'!$H$30/480),6)))</f>
        <v>0</v>
      </c>
      <c r="R11" s="51" t="str">
        <f>IF('07_Calendario'!$E$19=0,"",INT(ROUND(MIN('06_Secuencia_Optima'!$G$30,MAX(0,'07_Calendario'!$H$19-'06_Secuencia_Optima'!$L$30-'06_Secuencia_Optima'!$AB$30)*'06_Secuencia_Optima'!$H$30/480),6))-INT(ROUND(MIN('06_Secuencia_Optima'!$G$30,MAX(0,'07_Calendario'!$G$19-'06_Secuencia_Optima'!$L$30-'06_Secuencia_Optima'!$AB$30)*'06_Secuencia_Optima'!$H$30/480),6)))</f>
        <v/>
      </c>
      <c r="S11" s="51">
        <f>IF('07_Calendario'!$E$20=0,"",INT(ROUND(MIN('06_Secuencia_Optima'!$G$30,MAX(0,'07_Calendario'!$H$20-'06_Secuencia_Optima'!$L$30-'06_Secuencia_Optima'!$AB$30)*'06_Secuencia_Optima'!$H$30/480),6))-INT(ROUND(MIN('06_Secuencia_Optima'!$G$30,MAX(0,'07_Calendario'!$G$20-'06_Secuencia_Optima'!$L$30-'06_Secuencia_Optima'!$AB$30)*'06_Secuencia_Optima'!$H$30/480),6)))</f>
        <v>0</v>
      </c>
      <c r="T11" s="51">
        <f>IF('07_Calendario'!$E$21=0,"",INT(ROUND(MIN('06_Secuencia_Optima'!$G$30,MAX(0,'07_Calendario'!$H$21-'06_Secuencia_Optima'!$L$30-'06_Secuencia_Optima'!$AB$30)*'06_Secuencia_Optima'!$H$30/480),6))-INT(ROUND(MIN('06_Secuencia_Optima'!$G$30,MAX(0,'07_Calendario'!$G$21-'06_Secuencia_Optima'!$L$30-'06_Secuencia_Optima'!$AB$30)*'06_Secuencia_Optima'!$H$30/480),6)))</f>
        <v>0</v>
      </c>
      <c r="U11" s="51">
        <f>IF('07_Calendario'!$E$22=0,"",INT(ROUND(MIN('06_Secuencia_Optima'!$G$30,MAX(0,'07_Calendario'!$H$22-'06_Secuencia_Optima'!$L$30-'06_Secuencia_Optima'!$AB$30)*'06_Secuencia_Optima'!$H$30/480),6))-INT(ROUND(MIN('06_Secuencia_Optima'!$G$30,MAX(0,'07_Calendario'!$G$22-'06_Secuencia_Optima'!$L$30-'06_Secuencia_Optima'!$AB$30)*'06_Secuencia_Optima'!$H$30/480),6)))</f>
        <v>0</v>
      </c>
      <c r="V11" s="51">
        <f>IF('07_Calendario'!$E$23=0,"",INT(ROUND(MIN('06_Secuencia_Optima'!$G$30,MAX(0,'07_Calendario'!$H$23-'06_Secuencia_Optima'!$L$30-'06_Secuencia_Optima'!$AB$30)*'06_Secuencia_Optima'!$H$30/480),6))-INT(ROUND(MIN('06_Secuencia_Optima'!$G$30,MAX(0,'07_Calendario'!$G$23-'06_Secuencia_Optima'!$L$30-'06_Secuencia_Optima'!$AB$30)*'06_Secuencia_Optima'!$H$30/480),6)))</f>
        <v>0</v>
      </c>
      <c r="W11" s="51">
        <f>IF('07_Calendario'!$E$24=0,"",INT(ROUND(MIN('06_Secuencia_Optima'!$G$30,MAX(0,'07_Calendario'!$H$24-'06_Secuencia_Optima'!$L$30-'06_Secuencia_Optima'!$AB$30)*'06_Secuencia_Optima'!$H$30/480),6))-INT(ROUND(MIN('06_Secuencia_Optima'!$G$30,MAX(0,'07_Calendario'!$G$24-'06_Secuencia_Optima'!$L$30-'06_Secuencia_Optima'!$AB$30)*'06_Secuencia_Optima'!$H$30/480),6)))</f>
        <v>0</v>
      </c>
      <c r="X11" s="51">
        <f>IF('07_Calendario'!$E$25=0,"",INT(ROUND(MIN('06_Secuencia_Optima'!$G$30,MAX(0,'07_Calendario'!$H$25-'06_Secuencia_Optima'!$L$30-'06_Secuencia_Optima'!$AB$30)*'06_Secuencia_Optima'!$H$30/480),6))-INT(ROUND(MIN('06_Secuencia_Optima'!$G$30,MAX(0,'07_Calendario'!$G$25-'06_Secuencia_Optima'!$L$30-'06_Secuencia_Optima'!$AB$30)*'06_Secuencia_Optima'!$H$30/480),6)))</f>
        <v>0</v>
      </c>
      <c r="Y11" s="51">
        <f>IF('07_Calendario'!$E$26=0,"",INT(ROUND(MIN('06_Secuencia_Optima'!$G$30,MAX(0,'07_Calendario'!$H$26-'06_Secuencia_Optima'!$L$30-'06_Secuencia_Optima'!$AB$30)*'06_Secuencia_Optima'!$H$30/480),6))-INT(ROUND(MIN('06_Secuencia_Optima'!$G$30,MAX(0,'07_Calendario'!$G$26-'06_Secuencia_Optima'!$L$30-'06_Secuencia_Optima'!$AB$30)*'06_Secuencia_Optima'!$H$30/480),6)))</f>
        <v>0</v>
      </c>
      <c r="Z11" s="51">
        <f>IF('07_Calendario'!$E$27=0,"",INT(ROUND(MIN('06_Secuencia_Optima'!$G$30,MAX(0,'07_Calendario'!$H$27-'06_Secuencia_Optima'!$L$30-'06_Secuencia_Optima'!$AB$30)*'06_Secuencia_Optima'!$H$30/480),6))-INT(ROUND(MIN('06_Secuencia_Optima'!$G$30,MAX(0,'07_Calendario'!$G$27-'06_Secuencia_Optima'!$L$30-'06_Secuencia_Optima'!$AB$30)*'06_Secuencia_Optima'!$H$30/480),6)))</f>
        <v>0</v>
      </c>
      <c r="AA11" s="51">
        <f>IF('07_Calendario'!$E$28=0,"",INT(ROUND(MIN('06_Secuencia_Optima'!$G$30,MAX(0,'07_Calendario'!$H$28-'06_Secuencia_Optima'!$L$30-'06_Secuencia_Optima'!$AB$30)*'06_Secuencia_Optima'!$H$30/480),6))-INT(ROUND(MIN('06_Secuencia_Optima'!$G$30,MAX(0,'07_Calendario'!$G$28-'06_Secuencia_Optima'!$L$30-'06_Secuencia_Optima'!$AB$30)*'06_Secuencia_Optima'!$H$30/480),6)))</f>
        <v>0</v>
      </c>
      <c r="AB11" s="51">
        <f>IF('07_Calendario'!$E$29=0,"",INT(ROUND(MIN('06_Secuencia_Optima'!$G$30,MAX(0,'07_Calendario'!$H$29-'06_Secuencia_Optima'!$L$30-'06_Secuencia_Optima'!$AB$30)*'06_Secuencia_Optima'!$H$30/480),6))-INT(ROUND(MIN('06_Secuencia_Optima'!$G$30,MAX(0,'07_Calendario'!$G$29-'06_Secuencia_Optima'!$L$30-'06_Secuencia_Optima'!$AB$30)*'06_Secuencia_Optima'!$H$30/480),6)))</f>
        <v>0</v>
      </c>
      <c r="AC11" s="51">
        <f>IF('07_Calendario'!$E$30=0,"",INT(ROUND(MIN('06_Secuencia_Optima'!$G$30,MAX(0,'07_Calendario'!$H$30-'06_Secuencia_Optima'!$L$30-'06_Secuencia_Optima'!$AB$30)*'06_Secuencia_Optima'!$H$30/480),6))-INT(ROUND(MIN('06_Secuencia_Optima'!$G$30,MAX(0,'07_Calendario'!$G$30-'06_Secuencia_Optima'!$L$30-'06_Secuencia_Optima'!$AB$30)*'06_Secuencia_Optima'!$H$30/480),6)))</f>
        <v>0</v>
      </c>
      <c r="AD11" s="51">
        <f>IF('07_Calendario'!$E$31=0,"",INT(ROUND(MIN('06_Secuencia_Optima'!$G$30,MAX(0,'07_Calendario'!$H$31-'06_Secuencia_Optima'!$L$30-'06_Secuencia_Optima'!$AB$30)*'06_Secuencia_Optima'!$H$30/480),6))-INT(ROUND(MIN('06_Secuencia_Optima'!$G$30,MAX(0,'07_Calendario'!$G$31-'06_Secuencia_Optima'!$L$30-'06_Secuencia_Optima'!$AB$30)*'06_Secuencia_Optima'!$H$30/480),6)))</f>
        <v>0</v>
      </c>
      <c r="AE11" s="51">
        <f>IF('07_Calendario'!$E$32=0,"",INT(ROUND(MIN('06_Secuencia_Optima'!$G$30,MAX(0,'07_Calendario'!$H$32-'06_Secuencia_Optima'!$L$30-'06_Secuencia_Optima'!$AB$30)*'06_Secuencia_Optima'!$H$30/480),6))-INT(ROUND(MIN('06_Secuencia_Optima'!$G$30,MAX(0,'07_Calendario'!$G$32-'06_Secuencia_Optima'!$L$30-'06_Secuencia_Optima'!$AB$30)*'06_Secuencia_Optima'!$H$30/480),6)))</f>
        <v>0</v>
      </c>
      <c r="AF11" s="51">
        <f>IF('07_Calendario'!$E$33=0,"",INT(ROUND(MIN('06_Secuencia_Optima'!$G$30,MAX(0,'07_Calendario'!$H$33-'06_Secuencia_Optima'!$L$30-'06_Secuencia_Optima'!$AB$30)*'06_Secuencia_Optima'!$H$30/480),6))-INT(ROUND(MIN('06_Secuencia_Optima'!$G$30,MAX(0,'07_Calendario'!$G$33-'06_Secuencia_Optima'!$L$30-'06_Secuencia_Optima'!$AB$30)*'06_Secuencia_Optima'!$H$30/480),6)))</f>
        <v>0</v>
      </c>
      <c r="AG11" s="51">
        <f>IF('07_Calendario'!$E$34=0,"",INT(ROUND(MIN('06_Secuencia_Optima'!$G$30,MAX(0,'07_Calendario'!$H$34-'06_Secuencia_Optima'!$L$30-'06_Secuencia_Optima'!$AB$30)*'06_Secuencia_Optima'!$H$30/480),6))-INT(ROUND(MIN('06_Secuencia_Optima'!$G$30,MAX(0,'07_Calendario'!$G$34-'06_Secuencia_Optima'!$L$30-'06_Secuencia_Optima'!$AB$30)*'06_Secuencia_Optima'!$H$30/480),6)))</f>
        <v>0</v>
      </c>
      <c r="AH11" s="51">
        <f>IF('07_Calendario'!$E$35=0,"",INT(ROUND(MIN('06_Secuencia_Optima'!$G$30,MAX(0,'07_Calendario'!$H$35-'06_Secuencia_Optima'!$L$30-'06_Secuencia_Optima'!$AB$30)*'06_Secuencia_Optima'!$H$30/480),6))-INT(ROUND(MIN('06_Secuencia_Optima'!$G$30,MAX(0,'07_Calendario'!$G$35-'06_Secuencia_Optima'!$L$30-'06_Secuencia_Optima'!$AB$30)*'06_Secuencia_Optima'!$H$30/480),6)))</f>
        <v>0</v>
      </c>
      <c r="AI11" s="51">
        <f>IF('07_Calendario'!$E$36=0,"",INT(ROUND(MIN('06_Secuencia_Optima'!$G$30,MAX(0,'07_Calendario'!$H$36-'06_Secuencia_Optima'!$L$30-'06_Secuencia_Optima'!$AB$30)*'06_Secuencia_Optima'!$H$30/480),6))-INT(ROUND(MIN('06_Secuencia_Optima'!$G$30,MAX(0,'07_Calendario'!$G$36-'06_Secuencia_Optima'!$L$30-'06_Secuencia_Optima'!$AB$30)*'06_Secuencia_Optima'!$H$30/480),6)))</f>
        <v>0</v>
      </c>
      <c r="AJ11" s="51" t="str">
        <f>IF('07_Calendario'!$E$37=0,"",INT(ROUND(MIN('06_Secuencia_Optima'!$G$30,MAX(0,'07_Calendario'!$H$37-'06_Secuencia_Optima'!$L$30-'06_Secuencia_Optima'!$AB$30)*'06_Secuencia_Optima'!$H$30/480),6))-INT(ROUND(MIN('06_Secuencia_Optima'!$G$30,MAX(0,'07_Calendario'!$G$37-'06_Secuencia_Optima'!$L$30-'06_Secuencia_Optima'!$AB$30)*'06_Secuencia_Optima'!$H$30/480),6)))</f>
        <v/>
      </c>
      <c r="AK11" s="51">
        <f>IF('07_Calendario'!$E$38=0,"",INT(ROUND(MIN('06_Secuencia_Optima'!$G$30,MAX(0,'07_Calendario'!$H$38-'06_Secuencia_Optima'!$L$30-'06_Secuencia_Optima'!$AB$30)*'06_Secuencia_Optima'!$H$30/480),6))-INT(ROUND(MIN('06_Secuencia_Optima'!$G$30,MAX(0,'07_Calendario'!$G$38-'06_Secuencia_Optima'!$L$30-'06_Secuencia_Optima'!$AB$30)*'06_Secuencia_Optima'!$H$30/480),6)))</f>
        <v>0</v>
      </c>
      <c r="AL11" s="51">
        <f>IF('07_Calendario'!$E$39=0,"",INT(ROUND(MIN('06_Secuencia_Optima'!$G$30,MAX(0,'07_Calendario'!$H$39-'06_Secuencia_Optima'!$L$30-'06_Secuencia_Optima'!$AB$30)*'06_Secuencia_Optima'!$H$30/480),6))-INT(ROUND(MIN('06_Secuencia_Optima'!$G$30,MAX(0,'07_Calendario'!$G$39-'06_Secuencia_Optima'!$L$30-'06_Secuencia_Optima'!$AB$30)*'06_Secuencia_Optima'!$H$30/480),6)))</f>
        <v>0</v>
      </c>
      <c r="AM11" s="51">
        <f>IF('07_Calendario'!$E$40=0,"",INT(ROUND(MIN('06_Secuencia_Optima'!$G$30,MAX(0,'07_Calendario'!$H$40-'06_Secuencia_Optima'!$L$30-'06_Secuencia_Optima'!$AB$30)*'06_Secuencia_Optima'!$H$30/480),6))-INT(ROUND(MIN('06_Secuencia_Optima'!$G$30,MAX(0,'07_Calendario'!$G$40-'06_Secuencia_Optima'!$L$30-'06_Secuencia_Optima'!$AB$30)*'06_Secuencia_Optima'!$H$30/480),6)))</f>
        <v>0</v>
      </c>
      <c r="AN11" s="51">
        <f>IF('07_Calendario'!$E$41=0,"",INT(ROUND(MIN('06_Secuencia_Optima'!$G$30,MAX(0,'07_Calendario'!$H$41-'06_Secuencia_Optima'!$L$30-'06_Secuencia_Optima'!$AB$30)*'06_Secuencia_Optima'!$H$30/480),6))-INT(ROUND(MIN('06_Secuencia_Optima'!$G$30,MAX(0,'07_Calendario'!$G$41-'06_Secuencia_Optima'!$L$30-'06_Secuencia_Optima'!$AB$30)*'06_Secuencia_Optima'!$H$30/480),6)))</f>
        <v>0</v>
      </c>
      <c r="AO11" s="51">
        <f>IF('07_Calendario'!$E$42=0,"",INT(ROUND(MIN('06_Secuencia_Optima'!$G$30,MAX(0,'07_Calendario'!$H$42-'06_Secuencia_Optima'!$L$30-'06_Secuencia_Optima'!$AB$30)*'06_Secuencia_Optima'!$H$30/480),6))-INT(ROUND(MIN('06_Secuencia_Optima'!$G$30,MAX(0,'07_Calendario'!$G$42-'06_Secuencia_Optima'!$L$30-'06_Secuencia_Optima'!$AB$30)*'06_Secuencia_Optima'!$H$30/480),6)))</f>
        <v>0</v>
      </c>
      <c r="AP11" s="51">
        <f>IF('07_Calendario'!$E$43=0,"",INT(ROUND(MIN('06_Secuencia_Optima'!$G$30,MAX(0,'07_Calendario'!$H$43-'06_Secuencia_Optima'!$L$30-'06_Secuencia_Optima'!$AB$30)*'06_Secuencia_Optima'!$H$30/480),6))-INT(ROUND(MIN('06_Secuencia_Optima'!$G$30,MAX(0,'07_Calendario'!$G$43-'06_Secuencia_Optima'!$L$30-'06_Secuencia_Optima'!$AB$30)*'06_Secuencia_Optima'!$H$30/480),6)))</f>
        <v>0</v>
      </c>
      <c r="AQ11" s="51">
        <f>IF('07_Calendario'!$E$44=0,"",INT(ROUND(MIN('06_Secuencia_Optima'!$G$30,MAX(0,'07_Calendario'!$H$44-'06_Secuencia_Optima'!$L$30-'06_Secuencia_Optima'!$AB$30)*'06_Secuencia_Optima'!$H$30/480),6))-INT(ROUND(MIN('06_Secuencia_Optima'!$G$30,MAX(0,'07_Calendario'!$G$44-'06_Secuencia_Optima'!$L$30-'06_Secuencia_Optima'!$AB$30)*'06_Secuencia_Optima'!$H$30/480),6)))</f>
        <v>0</v>
      </c>
      <c r="AR11" s="51">
        <f>IF('07_Calendario'!$E$45=0,"",INT(ROUND(MIN('06_Secuencia_Optima'!$G$30,MAX(0,'07_Calendario'!$H$45-'06_Secuencia_Optima'!$L$30-'06_Secuencia_Optima'!$AB$30)*'06_Secuencia_Optima'!$H$30/480),6))-INT(ROUND(MIN('06_Secuencia_Optima'!$G$30,MAX(0,'07_Calendario'!$G$45-'06_Secuencia_Optima'!$L$30-'06_Secuencia_Optima'!$AB$30)*'06_Secuencia_Optima'!$H$30/480),6)))</f>
        <v>0</v>
      </c>
      <c r="AS11" s="51">
        <f>IF('07_Calendario'!$E$46=0,"",INT(ROUND(MIN('06_Secuencia_Optima'!$G$30,MAX(0,'07_Calendario'!$H$46-'06_Secuencia_Optima'!$L$30-'06_Secuencia_Optima'!$AB$30)*'06_Secuencia_Optima'!$H$30/480),6))-INT(ROUND(MIN('06_Secuencia_Optima'!$G$30,MAX(0,'07_Calendario'!$G$46-'06_Secuencia_Optima'!$L$30-'06_Secuencia_Optima'!$AB$30)*'06_Secuencia_Optima'!$H$30/480),6)))</f>
        <v>0</v>
      </c>
      <c r="AT11" s="51">
        <f>IF('07_Calendario'!$E$47=0,"",INT(ROUND(MIN('06_Secuencia_Optima'!$G$30,MAX(0,'07_Calendario'!$H$47-'06_Secuencia_Optima'!$L$30-'06_Secuencia_Optima'!$AB$30)*'06_Secuencia_Optima'!$H$30/480),6))-INT(ROUND(MIN('06_Secuencia_Optima'!$G$30,MAX(0,'07_Calendario'!$G$47-'06_Secuencia_Optima'!$L$30-'06_Secuencia_Optima'!$AB$30)*'06_Secuencia_Optima'!$H$30/480),6)))</f>
        <v>0</v>
      </c>
      <c r="AU11" s="51">
        <f>IF('07_Calendario'!$E$48=0,"",INT(ROUND(MIN('06_Secuencia_Optima'!$G$30,MAX(0,'07_Calendario'!$H$48-'06_Secuencia_Optima'!$L$30-'06_Secuencia_Optima'!$AB$30)*'06_Secuencia_Optima'!$H$30/480),6))-INT(ROUND(MIN('06_Secuencia_Optima'!$G$30,MAX(0,'07_Calendario'!$G$48-'06_Secuencia_Optima'!$L$30-'06_Secuencia_Optima'!$AB$30)*'06_Secuencia_Optima'!$H$30/480),6)))</f>
        <v>0</v>
      </c>
      <c r="AV11" s="51">
        <f>IF('07_Calendario'!$E$49=0,"",INT(ROUND(MIN('06_Secuencia_Optima'!$G$30,MAX(0,'07_Calendario'!$H$49-'06_Secuencia_Optima'!$L$30-'06_Secuencia_Optima'!$AB$30)*'06_Secuencia_Optima'!$H$30/480),6))-INT(ROUND(MIN('06_Secuencia_Optima'!$G$30,MAX(0,'07_Calendario'!$G$49-'06_Secuencia_Optima'!$L$30-'06_Secuencia_Optima'!$AB$30)*'06_Secuencia_Optima'!$H$30/480),6)))</f>
        <v>0</v>
      </c>
      <c r="AW11" s="51">
        <f>IF('07_Calendario'!$E$50=0,"",INT(ROUND(MIN('06_Secuencia_Optima'!$G$30,MAX(0,'07_Calendario'!$H$50-'06_Secuencia_Optima'!$L$30-'06_Secuencia_Optima'!$AB$30)*'06_Secuencia_Optima'!$H$30/480),6))-INT(ROUND(MIN('06_Secuencia_Optima'!$G$30,MAX(0,'07_Calendario'!$G$50-'06_Secuencia_Optima'!$L$30-'06_Secuencia_Optima'!$AB$30)*'06_Secuencia_Optima'!$H$30/480),6)))</f>
        <v>0</v>
      </c>
      <c r="AX11" s="51">
        <f>IF('07_Calendario'!$E$51=0,"",INT(ROUND(MIN('06_Secuencia_Optima'!$G$30,MAX(0,'07_Calendario'!$H$51-'06_Secuencia_Optima'!$L$30-'06_Secuencia_Optima'!$AB$30)*'06_Secuencia_Optima'!$H$30/480),6))-INT(ROUND(MIN('06_Secuencia_Optima'!$G$30,MAX(0,'07_Calendario'!$G$51-'06_Secuencia_Optima'!$L$30-'06_Secuencia_Optima'!$AB$30)*'06_Secuencia_Optima'!$H$30/480),6)))</f>
        <v>0</v>
      </c>
      <c r="AY11" s="51">
        <f>IF('07_Calendario'!$E$52=0,"",INT(ROUND(MIN('06_Secuencia_Optima'!$G$30,MAX(0,'07_Calendario'!$H$52-'06_Secuencia_Optima'!$L$30-'06_Secuencia_Optima'!$AB$30)*'06_Secuencia_Optima'!$H$30/480),6))-INT(ROUND(MIN('06_Secuencia_Optima'!$G$30,MAX(0,'07_Calendario'!$G$52-'06_Secuencia_Optima'!$L$30-'06_Secuencia_Optima'!$AB$30)*'06_Secuencia_Optima'!$H$30/480),6)))</f>
        <v>0</v>
      </c>
      <c r="AZ11" s="51">
        <f>IF('07_Calendario'!$E$53=0,"",INT(ROUND(MIN('06_Secuencia_Optima'!$G$30,MAX(0,'07_Calendario'!$H$53-'06_Secuencia_Optima'!$L$30-'06_Secuencia_Optima'!$AB$30)*'06_Secuencia_Optima'!$H$30/480),6))-INT(ROUND(MIN('06_Secuencia_Optima'!$G$30,MAX(0,'07_Calendario'!$G$53-'06_Secuencia_Optima'!$L$30-'06_Secuencia_Optima'!$AB$30)*'06_Secuencia_Optima'!$H$30/480),6)))</f>
        <v>0</v>
      </c>
      <c r="BA11" s="51">
        <f>IF('07_Calendario'!$E$54=0,"",INT(ROUND(MIN('06_Secuencia_Optima'!$G$30,MAX(0,'07_Calendario'!$H$54-'06_Secuencia_Optima'!$L$30-'06_Secuencia_Optima'!$AB$30)*'06_Secuencia_Optima'!$H$30/480),6))-INT(ROUND(MIN('06_Secuencia_Optima'!$G$30,MAX(0,'07_Calendario'!$G$54-'06_Secuencia_Optima'!$L$30-'06_Secuencia_Optima'!$AB$30)*'06_Secuencia_Optima'!$H$30/480),6)))</f>
        <v>0</v>
      </c>
      <c r="BB11" s="51" t="str">
        <f>IF('07_Calendario'!$E$55=0,"",INT(ROUND(MIN('06_Secuencia_Optima'!$G$30,MAX(0,'07_Calendario'!$H$55-'06_Secuencia_Optima'!$L$30-'06_Secuencia_Optima'!$AB$30)*'06_Secuencia_Optima'!$H$30/480),6))-INT(ROUND(MIN('06_Secuencia_Optima'!$G$30,MAX(0,'07_Calendario'!$G$55-'06_Secuencia_Optima'!$L$30-'06_Secuencia_Optima'!$AB$30)*'06_Secuencia_Optima'!$H$30/480),6)))</f>
        <v/>
      </c>
      <c r="BC11" s="51">
        <f>IF('07_Calendario'!$E$56=0,"",INT(ROUND(MIN('06_Secuencia_Optima'!$G$30,MAX(0,'07_Calendario'!$H$56-'06_Secuencia_Optima'!$L$30-'06_Secuencia_Optima'!$AB$30)*'06_Secuencia_Optima'!$H$30/480),6))-INT(ROUND(MIN('06_Secuencia_Optima'!$G$30,MAX(0,'07_Calendario'!$G$56-'06_Secuencia_Optima'!$L$30-'06_Secuencia_Optima'!$AB$30)*'06_Secuencia_Optima'!$H$30/480),6)))</f>
        <v>0</v>
      </c>
      <c r="BD11" s="51">
        <f>IF('07_Calendario'!$E$57=0,"",INT(ROUND(MIN('06_Secuencia_Optima'!$G$30,MAX(0,'07_Calendario'!$H$57-'06_Secuencia_Optima'!$L$30-'06_Secuencia_Optima'!$AB$30)*'06_Secuencia_Optima'!$H$30/480),6))-INT(ROUND(MIN('06_Secuencia_Optima'!$G$30,MAX(0,'07_Calendario'!$G$57-'06_Secuencia_Optima'!$L$30-'06_Secuencia_Optima'!$AB$30)*'06_Secuencia_Optima'!$H$30/480),6)))</f>
        <v>0</v>
      </c>
      <c r="BE11" s="51">
        <f>IF('07_Calendario'!$E$58=0,"",INT(ROUND(MIN('06_Secuencia_Optima'!$G$30,MAX(0,'07_Calendario'!$H$58-'06_Secuencia_Optima'!$L$30-'06_Secuencia_Optima'!$AB$30)*'06_Secuencia_Optima'!$H$30/480),6))-INT(ROUND(MIN('06_Secuencia_Optima'!$G$30,MAX(0,'07_Calendario'!$G$58-'06_Secuencia_Optima'!$L$30-'06_Secuencia_Optima'!$AB$30)*'06_Secuencia_Optima'!$H$30/480),6)))</f>
        <v>0</v>
      </c>
      <c r="BF11" s="51">
        <f>IF('07_Calendario'!$E$59=0,"",INT(ROUND(MIN('06_Secuencia_Optima'!$G$30,MAX(0,'07_Calendario'!$H$59-'06_Secuencia_Optima'!$L$30-'06_Secuencia_Optima'!$AB$30)*'06_Secuencia_Optima'!$H$30/480),6))-INT(ROUND(MIN('06_Secuencia_Optima'!$G$30,MAX(0,'07_Calendario'!$G$59-'06_Secuencia_Optima'!$L$30-'06_Secuencia_Optima'!$AB$30)*'06_Secuencia_Optima'!$H$30/480),6)))</f>
        <v>0</v>
      </c>
      <c r="BG11" s="51">
        <f>IF('07_Calendario'!$E$60=0,"",INT(ROUND(MIN('06_Secuencia_Optima'!$G$30,MAX(0,'07_Calendario'!$H$60-'06_Secuencia_Optima'!$L$30-'06_Secuencia_Optima'!$AB$30)*'06_Secuencia_Optima'!$H$30/480),6))-INT(ROUND(MIN('06_Secuencia_Optima'!$G$30,MAX(0,'07_Calendario'!$G$60-'06_Secuencia_Optima'!$L$30-'06_Secuencia_Optima'!$AB$30)*'06_Secuencia_Optima'!$H$30/480),6)))</f>
        <v>0</v>
      </c>
      <c r="BH11" s="51">
        <f>IF('07_Calendario'!$E$61=0,"",INT(ROUND(MIN('06_Secuencia_Optima'!$G$30,MAX(0,'07_Calendario'!$H$61-'06_Secuencia_Optima'!$L$30-'06_Secuencia_Optima'!$AB$30)*'06_Secuencia_Optima'!$H$30/480),6))-INT(ROUND(MIN('06_Secuencia_Optima'!$G$30,MAX(0,'07_Calendario'!$G$61-'06_Secuencia_Optima'!$L$30-'06_Secuencia_Optima'!$AB$30)*'06_Secuencia_Optima'!$H$30/480),6)))</f>
        <v>0</v>
      </c>
      <c r="BI11" s="51">
        <f>IF('07_Calendario'!$E$62=0,"",INT(ROUND(MIN('06_Secuencia_Optima'!$G$30,MAX(0,'07_Calendario'!$H$62-'06_Secuencia_Optima'!$L$30-'06_Secuencia_Optima'!$AB$30)*'06_Secuencia_Optima'!$H$30/480),6))-INT(ROUND(MIN('06_Secuencia_Optima'!$G$30,MAX(0,'07_Calendario'!$G$62-'06_Secuencia_Optima'!$L$30-'06_Secuencia_Optima'!$AB$30)*'06_Secuencia_Optima'!$H$30/480),6)))</f>
        <v>0</v>
      </c>
      <c r="BJ11" s="51">
        <f>IF('07_Calendario'!$E$63=0,"",INT(ROUND(MIN('06_Secuencia_Optima'!$G$30,MAX(0,'07_Calendario'!$H$63-'06_Secuencia_Optima'!$L$30-'06_Secuencia_Optima'!$AB$30)*'06_Secuencia_Optima'!$H$30/480),6))-INT(ROUND(MIN('06_Secuencia_Optima'!$G$30,MAX(0,'07_Calendario'!$G$63-'06_Secuencia_Optima'!$L$30-'06_Secuencia_Optima'!$AB$30)*'06_Secuencia_Optima'!$H$30/480),6)))</f>
        <v>0</v>
      </c>
      <c r="BK11" s="51">
        <f>IF('07_Calendario'!$E$64=0,"",INT(ROUND(MIN('06_Secuencia_Optima'!$G$30,MAX(0,'07_Calendario'!$H$64-'06_Secuencia_Optima'!$L$30-'06_Secuencia_Optima'!$AB$30)*'06_Secuencia_Optima'!$H$30/480),6))-INT(ROUND(MIN('06_Secuencia_Optima'!$G$30,MAX(0,'07_Calendario'!$G$64-'06_Secuencia_Optima'!$L$30-'06_Secuencia_Optima'!$AB$30)*'06_Secuencia_Optima'!$H$30/480),6)))</f>
        <v>0</v>
      </c>
      <c r="BL11" s="51">
        <f>IF('07_Calendario'!$E$65=0,"",INT(ROUND(MIN('06_Secuencia_Optima'!$G$30,MAX(0,'07_Calendario'!$H$65-'06_Secuencia_Optima'!$L$30-'06_Secuencia_Optima'!$AB$30)*'06_Secuencia_Optima'!$H$30/480),6))-INT(ROUND(MIN('06_Secuencia_Optima'!$G$30,MAX(0,'07_Calendario'!$G$65-'06_Secuencia_Optima'!$L$30-'06_Secuencia_Optima'!$AB$30)*'06_Secuencia_Optima'!$H$30/480),6)))</f>
        <v>0</v>
      </c>
      <c r="BM11" s="51">
        <f>IF('07_Calendario'!$E$66=0,"",INT(ROUND(MIN('06_Secuencia_Optima'!$G$30,MAX(0,'07_Calendario'!$H$66-'06_Secuencia_Optima'!$L$30-'06_Secuencia_Optima'!$AB$30)*'06_Secuencia_Optima'!$H$30/480),6))-INT(ROUND(MIN('06_Secuencia_Optima'!$G$30,MAX(0,'07_Calendario'!$G$66-'06_Secuencia_Optima'!$L$30-'06_Secuencia_Optima'!$AB$30)*'06_Secuencia_Optima'!$H$30/480),6)))</f>
        <v>0</v>
      </c>
      <c r="BN11" s="51">
        <f>IF('07_Calendario'!$E$67=0,"",INT(ROUND(MIN('06_Secuencia_Optima'!$G$30,MAX(0,'07_Calendario'!$H$67-'06_Secuencia_Optima'!$L$30-'06_Secuencia_Optima'!$AB$30)*'06_Secuencia_Optima'!$H$30/480),6))-INT(ROUND(MIN('06_Secuencia_Optima'!$G$30,MAX(0,'07_Calendario'!$G$67-'06_Secuencia_Optima'!$L$30-'06_Secuencia_Optima'!$AB$30)*'06_Secuencia_Optima'!$H$30/480),6)))</f>
        <v>0</v>
      </c>
      <c r="BO11" s="51">
        <f>IF('07_Calendario'!$E$68=0,"",INT(ROUND(MIN('06_Secuencia_Optima'!$G$30,MAX(0,'07_Calendario'!$H$68-'06_Secuencia_Optima'!$L$30-'06_Secuencia_Optima'!$AB$30)*'06_Secuencia_Optima'!$H$30/480),6))-INT(ROUND(MIN('06_Secuencia_Optima'!$G$30,MAX(0,'07_Calendario'!$G$68-'06_Secuencia_Optima'!$L$30-'06_Secuencia_Optima'!$AB$30)*'06_Secuencia_Optima'!$H$30/480),6)))</f>
        <v>0</v>
      </c>
      <c r="BP11" s="51">
        <f>IF('07_Calendario'!$E$69=0,"",INT(ROUND(MIN('06_Secuencia_Optima'!$G$30,MAX(0,'07_Calendario'!$H$69-'06_Secuencia_Optima'!$L$30-'06_Secuencia_Optima'!$AB$30)*'06_Secuencia_Optima'!$H$30/480),6))-INT(ROUND(MIN('06_Secuencia_Optima'!$G$30,MAX(0,'07_Calendario'!$G$69-'06_Secuencia_Optima'!$L$30-'06_Secuencia_Optima'!$AB$30)*'06_Secuencia_Optima'!$H$30/480),6)))</f>
        <v>0</v>
      </c>
      <c r="BQ11" s="51">
        <f>IF('07_Calendario'!$E$70=0,"",INT(ROUND(MIN('06_Secuencia_Optima'!$G$30,MAX(0,'07_Calendario'!$H$70-'06_Secuencia_Optima'!$L$30-'06_Secuencia_Optima'!$AB$30)*'06_Secuencia_Optima'!$H$30/480),6))-INT(ROUND(MIN('06_Secuencia_Optima'!$G$30,MAX(0,'07_Calendario'!$G$70-'06_Secuencia_Optima'!$L$30-'06_Secuencia_Optima'!$AB$30)*'06_Secuencia_Optima'!$H$30/480),6)))</f>
        <v>0</v>
      </c>
      <c r="BR11" s="51">
        <f>IF('07_Calendario'!$E$71=0,"",INT(ROUND(MIN('06_Secuencia_Optima'!$G$30,MAX(0,'07_Calendario'!$H$71-'06_Secuencia_Optima'!$L$30-'06_Secuencia_Optima'!$AB$30)*'06_Secuencia_Optima'!$H$30/480),6))-INT(ROUND(MIN('06_Secuencia_Optima'!$G$30,MAX(0,'07_Calendario'!$G$71-'06_Secuencia_Optima'!$L$30-'06_Secuencia_Optima'!$AB$30)*'06_Secuencia_Optima'!$H$30/480),6)))</f>
        <v>0</v>
      </c>
      <c r="BS11" s="51">
        <f>IF('07_Calendario'!$E$72=0,"",INT(ROUND(MIN('06_Secuencia_Optima'!$G$30,MAX(0,'07_Calendario'!$H$72-'06_Secuencia_Optima'!$L$30-'06_Secuencia_Optima'!$AB$30)*'06_Secuencia_Optima'!$H$30/480),6))-INT(ROUND(MIN('06_Secuencia_Optima'!$G$30,MAX(0,'07_Calendario'!$G$72-'06_Secuencia_Optima'!$L$30-'06_Secuencia_Optima'!$AB$30)*'06_Secuencia_Optima'!$H$30/480),6)))</f>
        <v>0</v>
      </c>
      <c r="BT11" s="51" t="str">
        <f>IF('07_Calendario'!$E$73=0,"",INT(ROUND(MIN('06_Secuencia_Optima'!$G$30,MAX(0,'07_Calendario'!$H$73-'06_Secuencia_Optima'!$L$30-'06_Secuencia_Optima'!$AB$30)*'06_Secuencia_Optima'!$H$30/480),6))-INT(ROUND(MIN('06_Secuencia_Optima'!$G$30,MAX(0,'07_Calendario'!$G$73-'06_Secuencia_Optima'!$L$30-'06_Secuencia_Optima'!$AB$30)*'06_Secuencia_Optima'!$H$30/480),6)))</f>
        <v/>
      </c>
      <c r="BU11" s="51">
        <f>IF('07_Calendario'!$E$74=0,"",INT(ROUND(MIN('06_Secuencia_Optima'!$G$30,MAX(0,'07_Calendario'!$H$74-'06_Secuencia_Optima'!$L$30-'06_Secuencia_Optima'!$AB$30)*'06_Secuencia_Optima'!$H$30/480),6))-INT(ROUND(MIN('06_Secuencia_Optima'!$G$30,MAX(0,'07_Calendario'!$G$74-'06_Secuencia_Optima'!$L$30-'06_Secuencia_Optima'!$AB$30)*'06_Secuencia_Optima'!$H$30/480),6)))</f>
        <v>0</v>
      </c>
      <c r="BV11" s="51">
        <f>IF('07_Calendario'!$E$75=0,"",INT(ROUND(MIN('06_Secuencia_Optima'!$G$30,MAX(0,'07_Calendario'!$H$75-'06_Secuencia_Optima'!$L$30-'06_Secuencia_Optima'!$AB$30)*'06_Secuencia_Optima'!$H$30/480),6))-INT(ROUND(MIN('06_Secuencia_Optima'!$G$30,MAX(0,'07_Calendario'!$G$75-'06_Secuencia_Optima'!$L$30-'06_Secuencia_Optima'!$AB$30)*'06_Secuencia_Optima'!$H$30/480),6)))</f>
        <v>0</v>
      </c>
      <c r="BW11" s="51">
        <f>IF('07_Calendario'!$E$76=0,"",INT(ROUND(MIN('06_Secuencia_Optima'!$G$30,MAX(0,'07_Calendario'!$H$76-'06_Secuencia_Optima'!$L$30-'06_Secuencia_Optima'!$AB$30)*'06_Secuencia_Optima'!$H$30/480),6))-INT(ROUND(MIN('06_Secuencia_Optima'!$G$30,MAX(0,'07_Calendario'!$G$76-'06_Secuencia_Optima'!$L$30-'06_Secuencia_Optima'!$AB$30)*'06_Secuencia_Optima'!$H$30/480),6)))</f>
        <v>0</v>
      </c>
      <c r="BX11" s="51">
        <f>IF('07_Calendario'!$E$77=0,"",INT(ROUND(MIN('06_Secuencia_Optima'!$G$30,MAX(0,'07_Calendario'!$H$77-'06_Secuencia_Optima'!$L$30-'06_Secuencia_Optima'!$AB$30)*'06_Secuencia_Optima'!$H$30/480),6))-INT(ROUND(MIN('06_Secuencia_Optima'!$G$30,MAX(0,'07_Calendario'!$G$77-'06_Secuencia_Optima'!$L$30-'06_Secuencia_Optima'!$AB$30)*'06_Secuencia_Optima'!$H$30/480),6)))</f>
        <v>0</v>
      </c>
      <c r="BY11" s="51">
        <f>IF('07_Calendario'!$E$78=0,"",INT(ROUND(MIN('06_Secuencia_Optima'!$G$30,MAX(0,'07_Calendario'!$H$78-'06_Secuencia_Optima'!$L$30-'06_Secuencia_Optima'!$AB$30)*'06_Secuencia_Optima'!$H$30/480),6))-INT(ROUND(MIN('06_Secuencia_Optima'!$G$30,MAX(0,'07_Calendario'!$G$78-'06_Secuencia_Optima'!$L$30-'06_Secuencia_Optima'!$AB$30)*'06_Secuencia_Optima'!$H$30/480),6)))</f>
        <v>0</v>
      </c>
      <c r="BZ11" s="51">
        <f>IF('07_Calendario'!$E$79=0,"",INT(ROUND(MIN('06_Secuencia_Optima'!$G$30,MAX(0,'07_Calendario'!$H$79-'06_Secuencia_Optima'!$L$30-'06_Secuencia_Optima'!$AB$30)*'06_Secuencia_Optima'!$H$30/480),6))-INT(ROUND(MIN('06_Secuencia_Optima'!$G$30,MAX(0,'07_Calendario'!$G$79-'06_Secuencia_Optima'!$L$30-'06_Secuencia_Optima'!$AB$30)*'06_Secuencia_Optima'!$H$30/480),6)))</f>
        <v>0</v>
      </c>
      <c r="CA11" s="51">
        <f>IF('07_Calendario'!$E$80=0,"",INT(ROUND(MIN('06_Secuencia_Optima'!$G$30,MAX(0,'07_Calendario'!$H$80-'06_Secuencia_Optima'!$L$30-'06_Secuencia_Optima'!$AB$30)*'06_Secuencia_Optima'!$H$30/480),6))-INT(ROUND(MIN('06_Secuencia_Optima'!$G$30,MAX(0,'07_Calendario'!$G$80-'06_Secuencia_Optima'!$L$30-'06_Secuencia_Optima'!$AB$30)*'06_Secuencia_Optima'!$H$30/480),6)))</f>
        <v>0</v>
      </c>
      <c r="CB11" s="51">
        <f>IF('07_Calendario'!$E$81=0,"",INT(ROUND(MIN('06_Secuencia_Optima'!$G$30,MAX(0,'07_Calendario'!$H$81-'06_Secuencia_Optima'!$L$30-'06_Secuencia_Optima'!$AB$30)*'06_Secuencia_Optima'!$H$30/480),6))-INT(ROUND(MIN('06_Secuencia_Optima'!$G$30,MAX(0,'07_Calendario'!$G$81-'06_Secuencia_Optima'!$L$30-'06_Secuencia_Optima'!$AB$30)*'06_Secuencia_Optima'!$H$30/480),6)))</f>
        <v>0</v>
      </c>
      <c r="CC11" s="51">
        <f>IF('07_Calendario'!$E$82=0,"",INT(ROUND(MIN('06_Secuencia_Optima'!$G$30,MAX(0,'07_Calendario'!$H$82-'06_Secuencia_Optima'!$L$30-'06_Secuencia_Optima'!$AB$30)*'06_Secuencia_Optima'!$H$30/480),6))-INT(ROUND(MIN('06_Secuencia_Optima'!$G$30,MAX(0,'07_Calendario'!$G$82-'06_Secuencia_Optima'!$L$30-'06_Secuencia_Optima'!$AB$30)*'06_Secuencia_Optima'!$H$30/480),6)))</f>
        <v>0</v>
      </c>
      <c r="CD11" s="18">
        <f t="shared" si="0"/>
        <v>3540</v>
      </c>
      <c r="CE11" s="19">
        <f>'06_Secuencia_Optima'!$G$30</f>
        <v>3540</v>
      </c>
      <c r="CF11" s="10" t="str">
        <f t="shared" si="1"/>
        <v>OK</v>
      </c>
    </row>
    <row r="12" spans="1:84" x14ac:dyDescent="0.2">
      <c r="A12" s="10">
        <f>'06_Secuencia_Optima'!$B$31</f>
        <v>16787</v>
      </c>
      <c r="B12" s="13" t="str">
        <f>'06_Secuencia_Optima'!$C$31</f>
        <v>SALSA DE TOMATE SAVORIA (12DP/1/1000g)</v>
      </c>
      <c r="C12" s="14">
        <f>'06_Secuencia_Optima'!$D$31</f>
        <v>5998</v>
      </c>
      <c r="D12" s="51">
        <f>IF('07_Calendario'!$E$5=0,"",INT(ROUND(MIN('06_Secuencia_Optima'!$G$31,MAX(0,'07_Calendario'!$H$5-'06_Secuencia_Optima'!$L$31-'06_Secuencia_Optima'!$AB$31)*'06_Secuencia_Optima'!$H$31/480),6))-INT(ROUND(MIN('06_Secuencia_Optima'!$G$31,MAX(0,'07_Calendario'!$G$5-'06_Secuencia_Optima'!$L$31-'06_Secuencia_Optima'!$AB$31)*'06_Secuencia_Optima'!$H$31/480),6)))</f>
        <v>1000</v>
      </c>
      <c r="E12" s="51">
        <f>IF('07_Calendario'!$E$6=0,"",INT(ROUND(MIN('06_Secuencia_Optima'!$G$31,MAX(0,'07_Calendario'!$H$6-'06_Secuencia_Optima'!$L$31-'06_Secuencia_Optima'!$AB$31)*'06_Secuencia_Optima'!$H$31/480),6))-INT(ROUND(MIN('06_Secuencia_Optima'!$G$31,MAX(0,'07_Calendario'!$G$6-'06_Secuencia_Optima'!$L$31-'06_Secuencia_Optima'!$AB$31)*'06_Secuencia_Optima'!$H$31/480),6)))</f>
        <v>0</v>
      </c>
      <c r="F12" s="51">
        <f>IF('07_Calendario'!$E$7=0,"",INT(ROUND(MIN('06_Secuencia_Optima'!$G$31,MAX(0,'07_Calendario'!$H$7-'06_Secuencia_Optima'!$L$31-'06_Secuencia_Optima'!$AB$31)*'06_Secuencia_Optima'!$H$31/480),6))-INT(ROUND(MIN('06_Secuencia_Optima'!$G$31,MAX(0,'07_Calendario'!$G$7-'06_Secuencia_Optima'!$L$31-'06_Secuencia_Optima'!$AB$31)*'06_Secuencia_Optima'!$H$31/480),6)))</f>
        <v>0</v>
      </c>
      <c r="G12" s="51">
        <f>IF('07_Calendario'!$E$8=0,"",INT(ROUND(MIN('06_Secuencia_Optima'!$G$31,MAX(0,'07_Calendario'!$H$8-'06_Secuencia_Optima'!$L$31-'06_Secuencia_Optima'!$AB$31)*'06_Secuencia_Optima'!$H$31/480),6))-INT(ROUND(MIN('06_Secuencia_Optima'!$G$31,MAX(0,'07_Calendario'!$G$8-'06_Secuencia_Optima'!$L$31-'06_Secuencia_Optima'!$AB$31)*'06_Secuencia_Optima'!$H$31/480),6)))</f>
        <v>0</v>
      </c>
      <c r="H12" s="51">
        <f>IF('07_Calendario'!$E$9=0,"",INT(ROUND(MIN('06_Secuencia_Optima'!$G$31,MAX(0,'07_Calendario'!$H$9-'06_Secuencia_Optima'!$L$31-'06_Secuencia_Optima'!$AB$31)*'06_Secuencia_Optima'!$H$31/480),6))-INT(ROUND(MIN('06_Secuencia_Optima'!$G$31,MAX(0,'07_Calendario'!$G$9-'06_Secuencia_Optima'!$L$31-'06_Secuencia_Optima'!$AB$31)*'06_Secuencia_Optima'!$H$31/480),6)))</f>
        <v>0</v>
      </c>
      <c r="I12" s="51">
        <f>IF('07_Calendario'!$E$10=0,"",INT(ROUND(MIN('06_Secuencia_Optima'!$G$31,MAX(0,'07_Calendario'!$H$10-'06_Secuencia_Optima'!$L$31-'06_Secuencia_Optima'!$AB$31)*'06_Secuencia_Optima'!$H$31/480),6))-INT(ROUND(MIN('06_Secuencia_Optima'!$G$31,MAX(0,'07_Calendario'!$G$10-'06_Secuencia_Optima'!$L$31-'06_Secuencia_Optima'!$AB$31)*'06_Secuencia_Optima'!$H$31/480),6)))</f>
        <v>0</v>
      </c>
      <c r="J12" s="51">
        <f>IF('07_Calendario'!$E$11=0,"",INT(ROUND(MIN('06_Secuencia_Optima'!$G$31,MAX(0,'07_Calendario'!$H$11-'06_Secuencia_Optima'!$L$31-'06_Secuencia_Optima'!$AB$31)*'06_Secuencia_Optima'!$H$31/480),6))-INT(ROUND(MIN('06_Secuencia_Optima'!$G$31,MAX(0,'07_Calendario'!$G$11-'06_Secuencia_Optima'!$L$31-'06_Secuencia_Optima'!$AB$31)*'06_Secuencia_Optima'!$H$31/480),6)))</f>
        <v>0</v>
      </c>
      <c r="K12" s="51">
        <f>IF('07_Calendario'!$E$12=0,"",INT(ROUND(MIN('06_Secuencia_Optima'!$G$31,MAX(0,'07_Calendario'!$H$12-'06_Secuencia_Optima'!$L$31-'06_Secuencia_Optima'!$AB$31)*'06_Secuencia_Optima'!$H$31/480),6))-INT(ROUND(MIN('06_Secuencia_Optima'!$G$31,MAX(0,'07_Calendario'!$G$12-'06_Secuencia_Optima'!$L$31-'06_Secuencia_Optima'!$AB$31)*'06_Secuencia_Optima'!$H$31/480),6)))</f>
        <v>0</v>
      </c>
      <c r="L12" s="51">
        <f>IF('07_Calendario'!$E$13=0,"",INT(ROUND(MIN('06_Secuencia_Optima'!$G$31,MAX(0,'07_Calendario'!$H$13-'06_Secuencia_Optima'!$L$31-'06_Secuencia_Optima'!$AB$31)*'06_Secuencia_Optima'!$H$31/480),6))-INT(ROUND(MIN('06_Secuencia_Optima'!$G$31,MAX(0,'07_Calendario'!$G$13-'06_Secuencia_Optima'!$L$31-'06_Secuencia_Optima'!$AB$31)*'06_Secuencia_Optima'!$H$31/480),6)))</f>
        <v>0</v>
      </c>
      <c r="M12" s="51">
        <f>IF('07_Calendario'!$E$14=0,"",INT(ROUND(MIN('06_Secuencia_Optima'!$G$31,MAX(0,'07_Calendario'!$H$14-'06_Secuencia_Optima'!$L$31-'06_Secuencia_Optima'!$AB$31)*'06_Secuencia_Optima'!$H$31/480),6))-INT(ROUND(MIN('06_Secuencia_Optima'!$G$31,MAX(0,'07_Calendario'!$G$14-'06_Secuencia_Optima'!$L$31-'06_Secuencia_Optima'!$AB$31)*'06_Secuencia_Optima'!$H$31/480),6)))</f>
        <v>0</v>
      </c>
      <c r="N12" s="51">
        <f>IF('07_Calendario'!$E$15=0,"",INT(ROUND(MIN('06_Secuencia_Optima'!$G$31,MAX(0,'07_Calendario'!$H$15-'06_Secuencia_Optima'!$L$31-'06_Secuencia_Optima'!$AB$31)*'06_Secuencia_Optima'!$H$31/480),6))-INT(ROUND(MIN('06_Secuencia_Optima'!$G$31,MAX(0,'07_Calendario'!$G$15-'06_Secuencia_Optima'!$L$31-'06_Secuencia_Optima'!$AB$31)*'06_Secuencia_Optima'!$H$31/480),6)))</f>
        <v>0</v>
      </c>
      <c r="O12" s="51">
        <f>IF('07_Calendario'!$E$16=0,"",INT(ROUND(MIN('06_Secuencia_Optima'!$G$31,MAX(0,'07_Calendario'!$H$16-'06_Secuencia_Optima'!$L$31-'06_Secuencia_Optima'!$AB$31)*'06_Secuencia_Optima'!$H$31/480),6))-INT(ROUND(MIN('06_Secuencia_Optima'!$G$31,MAX(0,'07_Calendario'!$G$16-'06_Secuencia_Optima'!$L$31-'06_Secuencia_Optima'!$AB$31)*'06_Secuencia_Optima'!$H$31/480),6)))</f>
        <v>0</v>
      </c>
      <c r="P12" s="51">
        <f>IF('07_Calendario'!$E$17=0,"",INT(ROUND(MIN('06_Secuencia_Optima'!$G$31,MAX(0,'07_Calendario'!$H$17-'06_Secuencia_Optima'!$L$31-'06_Secuencia_Optima'!$AB$31)*'06_Secuencia_Optima'!$H$31/480),6))-INT(ROUND(MIN('06_Secuencia_Optima'!$G$31,MAX(0,'07_Calendario'!$G$17-'06_Secuencia_Optima'!$L$31-'06_Secuencia_Optima'!$AB$31)*'06_Secuencia_Optima'!$H$31/480),6)))</f>
        <v>0</v>
      </c>
      <c r="Q12" s="51">
        <f>IF('07_Calendario'!$E$18=0,"",INT(ROUND(MIN('06_Secuencia_Optima'!$G$31,MAX(0,'07_Calendario'!$H$18-'06_Secuencia_Optima'!$L$31-'06_Secuencia_Optima'!$AB$31)*'06_Secuencia_Optima'!$H$31/480),6))-INT(ROUND(MIN('06_Secuencia_Optima'!$G$31,MAX(0,'07_Calendario'!$G$18-'06_Secuencia_Optima'!$L$31-'06_Secuencia_Optima'!$AB$31)*'06_Secuencia_Optima'!$H$31/480),6)))</f>
        <v>0</v>
      </c>
      <c r="R12" s="51" t="str">
        <f>IF('07_Calendario'!$E$19=0,"",INT(ROUND(MIN('06_Secuencia_Optima'!$G$31,MAX(0,'07_Calendario'!$H$19-'06_Secuencia_Optima'!$L$31-'06_Secuencia_Optima'!$AB$31)*'06_Secuencia_Optima'!$H$31/480),6))-INT(ROUND(MIN('06_Secuencia_Optima'!$G$31,MAX(0,'07_Calendario'!$G$19-'06_Secuencia_Optima'!$L$31-'06_Secuencia_Optima'!$AB$31)*'06_Secuencia_Optima'!$H$31/480),6)))</f>
        <v/>
      </c>
      <c r="S12" s="51">
        <f>IF('07_Calendario'!$E$20=0,"",INT(ROUND(MIN('06_Secuencia_Optima'!$G$31,MAX(0,'07_Calendario'!$H$20-'06_Secuencia_Optima'!$L$31-'06_Secuencia_Optima'!$AB$31)*'06_Secuencia_Optima'!$H$31/480),6))-INT(ROUND(MIN('06_Secuencia_Optima'!$G$31,MAX(0,'07_Calendario'!$G$20-'06_Secuencia_Optima'!$L$31-'06_Secuencia_Optima'!$AB$31)*'06_Secuencia_Optima'!$H$31/480),6)))</f>
        <v>0</v>
      </c>
      <c r="T12" s="51">
        <f>IF('07_Calendario'!$E$21=0,"",INT(ROUND(MIN('06_Secuencia_Optima'!$G$31,MAX(0,'07_Calendario'!$H$21-'06_Secuencia_Optima'!$L$31-'06_Secuencia_Optima'!$AB$31)*'06_Secuencia_Optima'!$H$31/480),6))-INT(ROUND(MIN('06_Secuencia_Optima'!$G$31,MAX(0,'07_Calendario'!$G$21-'06_Secuencia_Optima'!$L$31-'06_Secuencia_Optima'!$AB$31)*'06_Secuencia_Optima'!$H$31/480),6)))</f>
        <v>0</v>
      </c>
      <c r="U12" s="51">
        <f>IF('07_Calendario'!$E$22=0,"",INT(ROUND(MIN('06_Secuencia_Optima'!$G$31,MAX(0,'07_Calendario'!$H$22-'06_Secuencia_Optima'!$L$31-'06_Secuencia_Optima'!$AB$31)*'06_Secuencia_Optima'!$H$31/480),6))-INT(ROUND(MIN('06_Secuencia_Optima'!$G$31,MAX(0,'07_Calendario'!$G$22-'06_Secuencia_Optima'!$L$31-'06_Secuencia_Optima'!$AB$31)*'06_Secuencia_Optima'!$H$31/480),6)))</f>
        <v>0</v>
      </c>
      <c r="V12" s="51">
        <f>IF('07_Calendario'!$E$23=0,"",INT(ROUND(MIN('06_Secuencia_Optima'!$G$31,MAX(0,'07_Calendario'!$H$23-'06_Secuencia_Optima'!$L$31-'06_Secuencia_Optima'!$AB$31)*'06_Secuencia_Optima'!$H$31/480),6))-INT(ROUND(MIN('06_Secuencia_Optima'!$G$31,MAX(0,'07_Calendario'!$G$23-'06_Secuencia_Optima'!$L$31-'06_Secuencia_Optima'!$AB$31)*'06_Secuencia_Optima'!$H$31/480),6)))</f>
        <v>0</v>
      </c>
      <c r="W12" s="51">
        <f>IF('07_Calendario'!$E$24=0,"",INT(ROUND(MIN('06_Secuencia_Optima'!$G$31,MAX(0,'07_Calendario'!$H$24-'06_Secuencia_Optima'!$L$31-'06_Secuencia_Optima'!$AB$31)*'06_Secuencia_Optima'!$H$31/480),6))-INT(ROUND(MIN('06_Secuencia_Optima'!$G$31,MAX(0,'07_Calendario'!$G$24-'06_Secuencia_Optima'!$L$31-'06_Secuencia_Optima'!$AB$31)*'06_Secuencia_Optima'!$H$31/480),6)))</f>
        <v>0</v>
      </c>
      <c r="X12" s="51">
        <f>IF('07_Calendario'!$E$25=0,"",INT(ROUND(MIN('06_Secuencia_Optima'!$G$31,MAX(0,'07_Calendario'!$H$25-'06_Secuencia_Optima'!$L$31-'06_Secuencia_Optima'!$AB$31)*'06_Secuencia_Optima'!$H$31/480),6))-INT(ROUND(MIN('06_Secuencia_Optima'!$G$31,MAX(0,'07_Calendario'!$G$25-'06_Secuencia_Optima'!$L$31-'06_Secuencia_Optima'!$AB$31)*'06_Secuencia_Optima'!$H$31/480),6)))</f>
        <v>0</v>
      </c>
      <c r="Y12" s="51">
        <f>IF('07_Calendario'!$E$26=0,"",INT(ROUND(MIN('06_Secuencia_Optima'!$G$31,MAX(0,'07_Calendario'!$H$26-'06_Secuencia_Optima'!$L$31-'06_Secuencia_Optima'!$AB$31)*'06_Secuencia_Optima'!$H$31/480),6))-INT(ROUND(MIN('06_Secuencia_Optima'!$G$31,MAX(0,'07_Calendario'!$G$26-'06_Secuencia_Optima'!$L$31-'06_Secuencia_Optima'!$AB$31)*'06_Secuencia_Optima'!$H$31/480),6)))</f>
        <v>0</v>
      </c>
      <c r="Z12" s="51">
        <f>IF('07_Calendario'!$E$27=0,"",INT(ROUND(MIN('06_Secuencia_Optima'!$G$31,MAX(0,'07_Calendario'!$H$27-'06_Secuencia_Optima'!$L$31-'06_Secuencia_Optima'!$AB$31)*'06_Secuencia_Optima'!$H$31/480),6))-INT(ROUND(MIN('06_Secuencia_Optima'!$G$31,MAX(0,'07_Calendario'!$G$27-'06_Secuencia_Optima'!$L$31-'06_Secuencia_Optima'!$AB$31)*'06_Secuencia_Optima'!$H$31/480),6)))</f>
        <v>0</v>
      </c>
      <c r="AA12" s="51">
        <f>IF('07_Calendario'!$E$28=0,"",INT(ROUND(MIN('06_Secuencia_Optima'!$G$31,MAX(0,'07_Calendario'!$H$28-'06_Secuencia_Optima'!$L$31-'06_Secuencia_Optima'!$AB$31)*'06_Secuencia_Optima'!$H$31/480),6))-INT(ROUND(MIN('06_Secuencia_Optima'!$G$31,MAX(0,'07_Calendario'!$G$28-'06_Secuencia_Optima'!$L$31-'06_Secuencia_Optima'!$AB$31)*'06_Secuencia_Optima'!$H$31/480),6)))</f>
        <v>0</v>
      </c>
      <c r="AB12" s="51">
        <f>IF('07_Calendario'!$E$29=0,"",INT(ROUND(MIN('06_Secuencia_Optima'!$G$31,MAX(0,'07_Calendario'!$H$29-'06_Secuencia_Optima'!$L$31-'06_Secuencia_Optima'!$AB$31)*'06_Secuencia_Optima'!$H$31/480),6))-INT(ROUND(MIN('06_Secuencia_Optima'!$G$31,MAX(0,'07_Calendario'!$G$29-'06_Secuencia_Optima'!$L$31-'06_Secuencia_Optima'!$AB$31)*'06_Secuencia_Optima'!$H$31/480),6)))</f>
        <v>0</v>
      </c>
      <c r="AC12" s="51">
        <f>IF('07_Calendario'!$E$30=0,"",INT(ROUND(MIN('06_Secuencia_Optima'!$G$31,MAX(0,'07_Calendario'!$H$30-'06_Secuencia_Optima'!$L$31-'06_Secuencia_Optima'!$AB$31)*'06_Secuencia_Optima'!$H$31/480),6))-INT(ROUND(MIN('06_Secuencia_Optima'!$G$31,MAX(0,'07_Calendario'!$G$30-'06_Secuencia_Optima'!$L$31-'06_Secuencia_Optima'!$AB$31)*'06_Secuencia_Optima'!$H$31/480),6)))</f>
        <v>0</v>
      </c>
      <c r="AD12" s="51">
        <f>IF('07_Calendario'!$E$31=0,"",INT(ROUND(MIN('06_Secuencia_Optima'!$G$31,MAX(0,'07_Calendario'!$H$31-'06_Secuencia_Optima'!$L$31-'06_Secuencia_Optima'!$AB$31)*'06_Secuencia_Optima'!$H$31/480),6))-INT(ROUND(MIN('06_Secuencia_Optima'!$G$31,MAX(0,'07_Calendario'!$G$31-'06_Secuencia_Optima'!$L$31-'06_Secuencia_Optima'!$AB$31)*'06_Secuencia_Optima'!$H$31/480),6)))</f>
        <v>0</v>
      </c>
      <c r="AE12" s="51">
        <f>IF('07_Calendario'!$E$32=0,"",INT(ROUND(MIN('06_Secuencia_Optima'!$G$31,MAX(0,'07_Calendario'!$H$32-'06_Secuencia_Optima'!$L$31-'06_Secuencia_Optima'!$AB$31)*'06_Secuencia_Optima'!$H$31/480),6))-INT(ROUND(MIN('06_Secuencia_Optima'!$G$31,MAX(0,'07_Calendario'!$G$32-'06_Secuencia_Optima'!$L$31-'06_Secuencia_Optima'!$AB$31)*'06_Secuencia_Optima'!$H$31/480),6)))</f>
        <v>0</v>
      </c>
      <c r="AF12" s="51">
        <f>IF('07_Calendario'!$E$33=0,"",INT(ROUND(MIN('06_Secuencia_Optima'!$G$31,MAX(0,'07_Calendario'!$H$33-'06_Secuencia_Optima'!$L$31-'06_Secuencia_Optima'!$AB$31)*'06_Secuencia_Optima'!$H$31/480),6))-INT(ROUND(MIN('06_Secuencia_Optima'!$G$31,MAX(0,'07_Calendario'!$G$33-'06_Secuencia_Optima'!$L$31-'06_Secuencia_Optima'!$AB$31)*'06_Secuencia_Optima'!$H$31/480),6)))</f>
        <v>0</v>
      </c>
      <c r="AG12" s="51">
        <f>IF('07_Calendario'!$E$34=0,"",INT(ROUND(MIN('06_Secuencia_Optima'!$G$31,MAX(0,'07_Calendario'!$H$34-'06_Secuencia_Optima'!$L$31-'06_Secuencia_Optima'!$AB$31)*'06_Secuencia_Optima'!$H$31/480),6))-INT(ROUND(MIN('06_Secuencia_Optima'!$G$31,MAX(0,'07_Calendario'!$G$34-'06_Secuencia_Optima'!$L$31-'06_Secuencia_Optima'!$AB$31)*'06_Secuencia_Optima'!$H$31/480),6)))</f>
        <v>0</v>
      </c>
      <c r="AH12" s="51">
        <f>IF('07_Calendario'!$E$35=0,"",INT(ROUND(MIN('06_Secuencia_Optima'!$G$31,MAX(0,'07_Calendario'!$H$35-'06_Secuencia_Optima'!$L$31-'06_Secuencia_Optima'!$AB$31)*'06_Secuencia_Optima'!$H$31/480),6))-INT(ROUND(MIN('06_Secuencia_Optima'!$G$31,MAX(0,'07_Calendario'!$G$35-'06_Secuencia_Optima'!$L$31-'06_Secuencia_Optima'!$AB$31)*'06_Secuencia_Optima'!$H$31/480),6)))</f>
        <v>0</v>
      </c>
      <c r="AI12" s="51">
        <f>IF('07_Calendario'!$E$36=0,"",INT(ROUND(MIN('06_Secuencia_Optima'!$G$31,MAX(0,'07_Calendario'!$H$36-'06_Secuencia_Optima'!$L$31-'06_Secuencia_Optima'!$AB$31)*'06_Secuencia_Optima'!$H$31/480),6))-INT(ROUND(MIN('06_Secuencia_Optima'!$G$31,MAX(0,'07_Calendario'!$G$36-'06_Secuencia_Optima'!$L$31-'06_Secuencia_Optima'!$AB$31)*'06_Secuencia_Optima'!$H$31/480),6)))</f>
        <v>0</v>
      </c>
      <c r="AJ12" s="51" t="str">
        <f>IF('07_Calendario'!$E$37=0,"",INT(ROUND(MIN('06_Secuencia_Optima'!$G$31,MAX(0,'07_Calendario'!$H$37-'06_Secuencia_Optima'!$L$31-'06_Secuencia_Optima'!$AB$31)*'06_Secuencia_Optima'!$H$31/480),6))-INT(ROUND(MIN('06_Secuencia_Optima'!$G$31,MAX(0,'07_Calendario'!$G$37-'06_Secuencia_Optima'!$L$31-'06_Secuencia_Optima'!$AB$31)*'06_Secuencia_Optima'!$H$31/480),6)))</f>
        <v/>
      </c>
      <c r="AK12" s="51">
        <f>IF('07_Calendario'!$E$38=0,"",INT(ROUND(MIN('06_Secuencia_Optima'!$G$31,MAX(0,'07_Calendario'!$H$38-'06_Secuencia_Optima'!$L$31-'06_Secuencia_Optima'!$AB$31)*'06_Secuencia_Optima'!$H$31/480),6))-INT(ROUND(MIN('06_Secuencia_Optima'!$G$31,MAX(0,'07_Calendario'!$G$38-'06_Secuencia_Optima'!$L$31-'06_Secuencia_Optima'!$AB$31)*'06_Secuencia_Optima'!$H$31/480),6)))</f>
        <v>0</v>
      </c>
      <c r="AL12" s="51">
        <f>IF('07_Calendario'!$E$39=0,"",INT(ROUND(MIN('06_Secuencia_Optima'!$G$31,MAX(0,'07_Calendario'!$H$39-'06_Secuencia_Optima'!$L$31-'06_Secuencia_Optima'!$AB$31)*'06_Secuencia_Optima'!$H$31/480),6))-INT(ROUND(MIN('06_Secuencia_Optima'!$G$31,MAX(0,'07_Calendario'!$G$39-'06_Secuencia_Optima'!$L$31-'06_Secuencia_Optima'!$AB$31)*'06_Secuencia_Optima'!$H$31/480),6)))</f>
        <v>0</v>
      </c>
      <c r="AM12" s="51">
        <f>IF('07_Calendario'!$E$40=0,"",INT(ROUND(MIN('06_Secuencia_Optima'!$G$31,MAX(0,'07_Calendario'!$H$40-'06_Secuencia_Optima'!$L$31-'06_Secuencia_Optima'!$AB$31)*'06_Secuencia_Optima'!$H$31/480),6))-INT(ROUND(MIN('06_Secuencia_Optima'!$G$31,MAX(0,'07_Calendario'!$G$40-'06_Secuencia_Optima'!$L$31-'06_Secuencia_Optima'!$AB$31)*'06_Secuencia_Optima'!$H$31/480),6)))</f>
        <v>0</v>
      </c>
      <c r="AN12" s="51">
        <f>IF('07_Calendario'!$E$41=0,"",INT(ROUND(MIN('06_Secuencia_Optima'!$G$31,MAX(0,'07_Calendario'!$H$41-'06_Secuencia_Optima'!$L$31-'06_Secuencia_Optima'!$AB$31)*'06_Secuencia_Optima'!$H$31/480),6))-INT(ROUND(MIN('06_Secuencia_Optima'!$G$31,MAX(0,'07_Calendario'!$G$41-'06_Secuencia_Optima'!$L$31-'06_Secuencia_Optima'!$AB$31)*'06_Secuencia_Optima'!$H$31/480),6)))</f>
        <v>0</v>
      </c>
      <c r="AO12" s="51">
        <f>IF('07_Calendario'!$E$42=0,"",INT(ROUND(MIN('06_Secuencia_Optima'!$G$31,MAX(0,'07_Calendario'!$H$42-'06_Secuencia_Optima'!$L$31-'06_Secuencia_Optima'!$AB$31)*'06_Secuencia_Optima'!$H$31/480),6))-INT(ROUND(MIN('06_Secuencia_Optima'!$G$31,MAX(0,'07_Calendario'!$G$42-'06_Secuencia_Optima'!$L$31-'06_Secuencia_Optima'!$AB$31)*'06_Secuencia_Optima'!$H$31/480),6)))</f>
        <v>0</v>
      </c>
      <c r="AP12" s="51">
        <f>IF('07_Calendario'!$E$43=0,"",INT(ROUND(MIN('06_Secuencia_Optima'!$G$31,MAX(0,'07_Calendario'!$H$43-'06_Secuencia_Optima'!$L$31-'06_Secuencia_Optima'!$AB$31)*'06_Secuencia_Optima'!$H$31/480),6))-INT(ROUND(MIN('06_Secuencia_Optima'!$G$31,MAX(0,'07_Calendario'!$G$43-'06_Secuencia_Optima'!$L$31-'06_Secuencia_Optima'!$AB$31)*'06_Secuencia_Optima'!$H$31/480),6)))</f>
        <v>0</v>
      </c>
      <c r="AQ12" s="51">
        <f>IF('07_Calendario'!$E$44=0,"",INT(ROUND(MIN('06_Secuencia_Optima'!$G$31,MAX(0,'07_Calendario'!$H$44-'06_Secuencia_Optima'!$L$31-'06_Secuencia_Optima'!$AB$31)*'06_Secuencia_Optima'!$H$31/480),6))-INT(ROUND(MIN('06_Secuencia_Optima'!$G$31,MAX(0,'07_Calendario'!$G$44-'06_Secuencia_Optima'!$L$31-'06_Secuencia_Optima'!$AB$31)*'06_Secuencia_Optima'!$H$31/480),6)))</f>
        <v>0</v>
      </c>
      <c r="AR12" s="51">
        <f>IF('07_Calendario'!$E$45=0,"",INT(ROUND(MIN('06_Secuencia_Optima'!$G$31,MAX(0,'07_Calendario'!$H$45-'06_Secuencia_Optima'!$L$31-'06_Secuencia_Optima'!$AB$31)*'06_Secuencia_Optima'!$H$31/480),6))-INT(ROUND(MIN('06_Secuencia_Optima'!$G$31,MAX(0,'07_Calendario'!$G$45-'06_Secuencia_Optima'!$L$31-'06_Secuencia_Optima'!$AB$31)*'06_Secuencia_Optima'!$H$31/480),6)))</f>
        <v>0</v>
      </c>
      <c r="AS12" s="51">
        <f>IF('07_Calendario'!$E$46=0,"",INT(ROUND(MIN('06_Secuencia_Optima'!$G$31,MAX(0,'07_Calendario'!$H$46-'06_Secuencia_Optima'!$L$31-'06_Secuencia_Optima'!$AB$31)*'06_Secuencia_Optima'!$H$31/480),6))-INT(ROUND(MIN('06_Secuencia_Optima'!$G$31,MAX(0,'07_Calendario'!$G$46-'06_Secuencia_Optima'!$L$31-'06_Secuencia_Optima'!$AB$31)*'06_Secuencia_Optima'!$H$31/480),6)))</f>
        <v>0</v>
      </c>
      <c r="AT12" s="51">
        <f>IF('07_Calendario'!$E$47=0,"",INT(ROUND(MIN('06_Secuencia_Optima'!$G$31,MAX(0,'07_Calendario'!$H$47-'06_Secuencia_Optima'!$L$31-'06_Secuencia_Optima'!$AB$31)*'06_Secuencia_Optima'!$H$31/480),6))-INT(ROUND(MIN('06_Secuencia_Optima'!$G$31,MAX(0,'07_Calendario'!$G$47-'06_Secuencia_Optima'!$L$31-'06_Secuencia_Optima'!$AB$31)*'06_Secuencia_Optima'!$H$31/480),6)))</f>
        <v>0</v>
      </c>
      <c r="AU12" s="51">
        <f>IF('07_Calendario'!$E$48=0,"",INT(ROUND(MIN('06_Secuencia_Optima'!$G$31,MAX(0,'07_Calendario'!$H$48-'06_Secuencia_Optima'!$L$31-'06_Secuencia_Optima'!$AB$31)*'06_Secuencia_Optima'!$H$31/480),6))-INT(ROUND(MIN('06_Secuencia_Optima'!$G$31,MAX(0,'07_Calendario'!$G$48-'06_Secuencia_Optima'!$L$31-'06_Secuencia_Optima'!$AB$31)*'06_Secuencia_Optima'!$H$31/480),6)))</f>
        <v>0</v>
      </c>
      <c r="AV12" s="51">
        <f>IF('07_Calendario'!$E$49=0,"",INT(ROUND(MIN('06_Secuencia_Optima'!$G$31,MAX(0,'07_Calendario'!$H$49-'06_Secuencia_Optima'!$L$31-'06_Secuencia_Optima'!$AB$31)*'06_Secuencia_Optima'!$H$31/480),6))-INT(ROUND(MIN('06_Secuencia_Optima'!$G$31,MAX(0,'07_Calendario'!$G$49-'06_Secuencia_Optima'!$L$31-'06_Secuencia_Optima'!$AB$31)*'06_Secuencia_Optima'!$H$31/480),6)))</f>
        <v>0</v>
      </c>
      <c r="AW12" s="51">
        <f>IF('07_Calendario'!$E$50=0,"",INT(ROUND(MIN('06_Secuencia_Optima'!$G$31,MAX(0,'07_Calendario'!$H$50-'06_Secuencia_Optima'!$L$31-'06_Secuencia_Optima'!$AB$31)*'06_Secuencia_Optima'!$H$31/480),6))-INT(ROUND(MIN('06_Secuencia_Optima'!$G$31,MAX(0,'07_Calendario'!$G$50-'06_Secuencia_Optima'!$L$31-'06_Secuencia_Optima'!$AB$31)*'06_Secuencia_Optima'!$H$31/480),6)))</f>
        <v>0</v>
      </c>
      <c r="AX12" s="51">
        <f>IF('07_Calendario'!$E$51=0,"",INT(ROUND(MIN('06_Secuencia_Optima'!$G$31,MAX(0,'07_Calendario'!$H$51-'06_Secuencia_Optima'!$L$31-'06_Secuencia_Optima'!$AB$31)*'06_Secuencia_Optima'!$H$31/480),6))-INT(ROUND(MIN('06_Secuencia_Optima'!$G$31,MAX(0,'07_Calendario'!$G$51-'06_Secuencia_Optima'!$L$31-'06_Secuencia_Optima'!$AB$31)*'06_Secuencia_Optima'!$H$31/480),6)))</f>
        <v>0</v>
      </c>
      <c r="AY12" s="51">
        <f>IF('07_Calendario'!$E$52=0,"",INT(ROUND(MIN('06_Secuencia_Optima'!$G$31,MAX(0,'07_Calendario'!$H$52-'06_Secuencia_Optima'!$L$31-'06_Secuencia_Optima'!$AB$31)*'06_Secuencia_Optima'!$H$31/480),6))-INT(ROUND(MIN('06_Secuencia_Optima'!$G$31,MAX(0,'07_Calendario'!$G$52-'06_Secuencia_Optima'!$L$31-'06_Secuencia_Optima'!$AB$31)*'06_Secuencia_Optima'!$H$31/480),6)))</f>
        <v>0</v>
      </c>
      <c r="AZ12" s="51">
        <f>IF('07_Calendario'!$E$53=0,"",INT(ROUND(MIN('06_Secuencia_Optima'!$G$31,MAX(0,'07_Calendario'!$H$53-'06_Secuencia_Optima'!$L$31-'06_Secuencia_Optima'!$AB$31)*'06_Secuencia_Optima'!$H$31/480),6))-INT(ROUND(MIN('06_Secuencia_Optima'!$G$31,MAX(0,'07_Calendario'!$G$53-'06_Secuencia_Optima'!$L$31-'06_Secuencia_Optima'!$AB$31)*'06_Secuencia_Optima'!$H$31/480),6)))</f>
        <v>0</v>
      </c>
      <c r="BA12" s="51">
        <f>IF('07_Calendario'!$E$54=0,"",INT(ROUND(MIN('06_Secuencia_Optima'!$G$31,MAX(0,'07_Calendario'!$H$54-'06_Secuencia_Optima'!$L$31-'06_Secuencia_Optima'!$AB$31)*'06_Secuencia_Optima'!$H$31/480),6))-INT(ROUND(MIN('06_Secuencia_Optima'!$G$31,MAX(0,'07_Calendario'!$G$54-'06_Secuencia_Optima'!$L$31-'06_Secuencia_Optima'!$AB$31)*'06_Secuencia_Optima'!$H$31/480),6)))</f>
        <v>0</v>
      </c>
      <c r="BB12" s="51" t="str">
        <f>IF('07_Calendario'!$E$55=0,"",INT(ROUND(MIN('06_Secuencia_Optima'!$G$31,MAX(0,'07_Calendario'!$H$55-'06_Secuencia_Optima'!$L$31-'06_Secuencia_Optima'!$AB$31)*'06_Secuencia_Optima'!$H$31/480),6))-INT(ROUND(MIN('06_Secuencia_Optima'!$G$31,MAX(0,'07_Calendario'!$G$55-'06_Secuencia_Optima'!$L$31-'06_Secuencia_Optima'!$AB$31)*'06_Secuencia_Optima'!$H$31/480),6)))</f>
        <v/>
      </c>
      <c r="BC12" s="51">
        <f>IF('07_Calendario'!$E$56=0,"",INT(ROUND(MIN('06_Secuencia_Optima'!$G$31,MAX(0,'07_Calendario'!$H$56-'06_Secuencia_Optima'!$L$31-'06_Secuencia_Optima'!$AB$31)*'06_Secuencia_Optima'!$H$31/480),6))-INT(ROUND(MIN('06_Secuencia_Optima'!$G$31,MAX(0,'07_Calendario'!$G$56-'06_Secuencia_Optima'!$L$31-'06_Secuencia_Optima'!$AB$31)*'06_Secuencia_Optima'!$H$31/480),6)))</f>
        <v>0</v>
      </c>
      <c r="BD12" s="51">
        <f>IF('07_Calendario'!$E$57=0,"",INT(ROUND(MIN('06_Secuencia_Optima'!$G$31,MAX(0,'07_Calendario'!$H$57-'06_Secuencia_Optima'!$L$31-'06_Secuencia_Optima'!$AB$31)*'06_Secuencia_Optima'!$H$31/480),6))-INT(ROUND(MIN('06_Secuencia_Optima'!$G$31,MAX(0,'07_Calendario'!$G$57-'06_Secuencia_Optima'!$L$31-'06_Secuencia_Optima'!$AB$31)*'06_Secuencia_Optima'!$H$31/480),6)))</f>
        <v>0</v>
      </c>
      <c r="BE12" s="51">
        <f>IF('07_Calendario'!$E$58=0,"",INT(ROUND(MIN('06_Secuencia_Optima'!$G$31,MAX(0,'07_Calendario'!$H$58-'06_Secuencia_Optima'!$L$31-'06_Secuencia_Optima'!$AB$31)*'06_Secuencia_Optima'!$H$31/480),6))-INT(ROUND(MIN('06_Secuencia_Optima'!$G$31,MAX(0,'07_Calendario'!$G$58-'06_Secuencia_Optima'!$L$31-'06_Secuencia_Optima'!$AB$31)*'06_Secuencia_Optima'!$H$31/480),6)))</f>
        <v>0</v>
      </c>
      <c r="BF12" s="51">
        <f>IF('07_Calendario'!$E$59=0,"",INT(ROUND(MIN('06_Secuencia_Optima'!$G$31,MAX(0,'07_Calendario'!$H$59-'06_Secuencia_Optima'!$L$31-'06_Secuencia_Optima'!$AB$31)*'06_Secuencia_Optima'!$H$31/480),6))-INT(ROUND(MIN('06_Secuencia_Optima'!$G$31,MAX(0,'07_Calendario'!$G$59-'06_Secuencia_Optima'!$L$31-'06_Secuencia_Optima'!$AB$31)*'06_Secuencia_Optima'!$H$31/480),6)))</f>
        <v>0</v>
      </c>
      <c r="BG12" s="51">
        <f>IF('07_Calendario'!$E$60=0,"",INT(ROUND(MIN('06_Secuencia_Optima'!$G$31,MAX(0,'07_Calendario'!$H$60-'06_Secuencia_Optima'!$L$31-'06_Secuencia_Optima'!$AB$31)*'06_Secuencia_Optima'!$H$31/480),6))-INT(ROUND(MIN('06_Secuencia_Optima'!$G$31,MAX(0,'07_Calendario'!$G$60-'06_Secuencia_Optima'!$L$31-'06_Secuencia_Optima'!$AB$31)*'06_Secuencia_Optima'!$H$31/480),6)))</f>
        <v>0</v>
      </c>
      <c r="BH12" s="51">
        <f>IF('07_Calendario'!$E$61=0,"",INT(ROUND(MIN('06_Secuencia_Optima'!$G$31,MAX(0,'07_Calendario'!$H$61-'06_Secuencia_Optima'!$L$31-'06_Secuencia_Optima'!$AB$31)*'06_Secuencia_Optima'!$H$31/480),6))-INT(ROUND(MIN('06_Secuencia_Optima'!$G$31,MAX(0,'07_Calendario'!$G$61-'06_Secuencia_Optima'!$L$31-'06_Secuencia_Optima'!$AB$31)*'06_Secuencia_Optima'!$H$31/480),6)))</f>
        <v>0</v>
      </c>
      <c r="BI12" s="51">
        <f>IF('07_Calendario'!$E$62=0,"",INT(ROUND(MIN('06_Secuencia_Optima'!$G$31,MAX(0,'07_Calendario'!$H$62-'06_Secuencia_Optima'!$L$31-'06_Secuencia_Optima'!$AB$31)*'06_Secuencia_Optima'!$H$31/480),6))-INT(ROUND(MIN('06_Secuencia_Optima'!$G$31,MAX(0,'07_Calendario'!$G$62-'06_Secuencia_Optima'!$L$31-'06_Secuencia_Optima'!$AB$31)*'06_Secuencia_Optima'!$H$31/480),6)))</f>
        <v>0</v>
      </c>
      <c r="BJ12" s="51">
        <f>IF('07_Calendario'!$E$63=0,"",INT(ROUND(MIN('06_Secuencia_Optima'!$G$31,MAX(0,'07_Calendario'!$H$63-'06_Secuencia_Optima'!$L$31-'06_Secuencia_Optima'!$AB$31)*'06_Secuencia_Optima'!$H$31/480),6))-INT(ROUND(MIN('06_Secuencia_Optima'!$G$31,MAX(0,'07_Calendario'!$G$63-'06_Secuencia_Optima'!$L$31-'06_Secuencia_Optima'!$AB$31)*'06_Secuencia_Optima'!$H$31/480),6)))</f>
        <v>0</v>
      </c>
      <c r="BK12" s="51">
        <f>IF('07_Calendario'!$E$64=0,"",INT(ROUND(MIN('06_Secuencia_Optima'!$G$31,MAX(0,'07_Calendario'!$H$64-'06_Secuencia_Optima'!$L$31-'06_Secuencia_Optima'!$AB$31)*'06_Secuencia_Optima'!$H$31/480),6))-INT(ROUND(MIN('06_Secuencia_Optima'!$G$31,MAX(0,'07_Calendario'!$G$64-'06_Secuencia_Optima'!$L$31-'06_Secuencia_Optima'!$AB$31)*'06_Secuencia_Optima'!$H$31/480),6)))</f>
        <v>0</v>
      </c>
      <c r="BL12" s="51">
        <f>IF('07_Calendario'!$E$65=0,"",INT(ROUND(MIN('06_Secuencia_Optima'!$G$31,MAX(0,'07_Calendario'!$H$65-'06_Secuencia_Optima'!$L$31-'06_Secuencia_Optima'!$AB$31)*'06_Secuencia_Optima'!$H$31/480),6))-INT(ROUND(MIN('06_Secuencia_Optima'!$G$31,MAX(0,'07_Calendario'!$G$65-'06_Secuencia_Optima'!$L$31-'06_Secuencia_Optima'!$AB$31)*'06_Secuencia_Optima'!$H$31/480),6)))</f>
        <v>0</v>
      </c>
      <c r="BM12" s="51">
        <f>IF('07_Calendario'!$E$66=0,"",INT(ROUND(MIN('06_Secuencia_Optima'!$G$31,MAX(0,'07_Calendario'!$H$66-'06_Secuencia_Optima'!$L$31-'06_Secuencia_Optima'!$AB$31)*'06_Secuencia_Optima'!$H$31/480),6))-INT(ROUND(MIN('06_Secuencia_Optima'!$G$31,MAX(0,'07_Calendario'!$G$66-'06_Secuencia_Optima'!$L$31-'06_Secuencia_Optima'!$AB$31)*'06_Secuencia_Optima'!$H$31/480),6)))</f>
        <v>0</v>
      </c>
      <c r="BN12" s="51">
        <f>IF('07_Calendario'!$E$67=0,"",INT(ROUND(MIN('06_Secuencia_Optima'!$G$31,MAX(0,'07_Calendario'!$H$67-'06_Secuencia_Optima'!$L$31-'06_Secuencia_Optima'!$AB$31)*'06_Secuencia_Optima'!$H$31/480),6))-INT(ROUND(MIN('06_Secuencia_Optima'!$G$31,MAX(0,'07_Calendario'!$G$67-'06_Secuencia_Optima'!$L$31-'06_Secuencia_Optima'!$AB$31)*'06_Secuencia_Optima'!$H$31/480),6)))</f>
        <v>0</v>
      </c>
      <c r="BO12" s="51">
        <f>IF('07_Calendario'!$E$68=0,"",INT(ROUND(MIN('06_Secuencia_Optima'!$G$31,MAX(0,'07_Calendario'!$H$68-'06_Secuencia_Optima'!$L$31-'06_Secuencia_Optima'!$AB$31)*'06_Secuencia_Optima'!$H$31/480),6))-INT(ROUND(MIN('06_Secuencia_Optima'!$G$31,MAX(0,'07_Calendario'!$G$68-'06_Secuencia_Optima'!$L$31-'06_Secuencia_Optima'!$AB$31)*'06_Secuencia_Optima'!$H$31/480),6)))</f>
        <v>0</v>
      </c>
      <c r="BP12" s="51">
        <f>IF('07_Calendario'!$E$69=0,"",INT(ROUND(MIN('06_Secuencia_Optima'!$G$31,MAX(0,'07_Calendario'!$H$69-'06_Secuencia_Optima'!$L$31-'06_Secuencia_Optima'!$AB$31)*'06_Secuencia_Optima'!$H$31/480),6))-INT(ROUND(MIN('06_Secuencia_Optima'!$G$31,MAX(0,'07_Calendario'!$G$69-'06_Secuencia_Optima'!$L$31-'06_Secuencia_Optima'!$AB$31)*'06_Secuencia_Optima'!$H$31/480),6)))</f>
        <v>0</v>
      </c>
      <c r="BQ12" s="51">
        <f>IF('07_Calendario'!$E$70=0,"",INT(ROUND(MIN('06_Secuencia_Optima'!$G$31,MAX(0,'07_Calendario'!$H$70-'06_Secuencia_Optima'!$L$31-'06_Secuencia_Optima'!$AB$31)*'06_Secuencia_Optima'!$H$31/480),6))-INT(ROUND(MIN('06_Secuencia_Optima'!$G$31,MAX(0,'07_Calendario'!$G$70-'06_Secuencia_Optima'!$L$31-'06_Secuencia_Optima'!$AB$31)*'06_Secuencia_Optima'!$H$31/480),6)))</f>
        <v>0</v>
      </c>
      <c r="BR12" s="51">
        <f>IF('07_Calendario'!$E$71=0,"",INT(ROUND(MIN('06_Secuencia_Optima'!$G$31,MAX(0,'07_Calendario'!$H$71-'06_Secuencia_Optima'!$L$31-'06_Secuencia_Optima'!$AB$31)*'06_Secuencia_Optima'!$H$31/480),6))-INT(ROUND(MIN('06_Secuencia_Optima'!$G$31,MAX(0,'07_Calendario'!$G$71-'06_Secuencia_Optima'!$L$31-'06_Secuencia_Optima'!$AB$31)*'06_Secuencia_Optima'!$H$31/480),6)))</f>
        <v>0</v>
      </c>
      <c r="BS12" s="51">
        <f>IF('07_Calendario'!$E$72=0,"",INT(ROUND(MIN('06_Secuencia_Optima'!$G$31,MAX(0,'07_Calendario'!$H$72-'06_Secuencia_Optima'!$L$31-'06_Secuencia_Optima'!$AB$31)*'06_Secuencia_Optima'!$H$31/480),6))-INT(ROUND(MIN('06_Secuencia_Optima'!$G$31,MAX(0,'07_Calendario'!$G$72-'06_Secuencia_Optima'!$L$31-'06_Secuencia_Optima'!$AB$31)*'06_Secuencia_Optima'!$H$31/480),6)))</f>
        <v>0</v>
      </c>
      <c r="BT12" s="51" t="str">
        <f>IF('07_Calendario'!$E$73=0,"",INT(ROUND(MIN('06_Secuencia_Optima'!$G$31,MAX(0,'07_Calendario'!$H$73-'06_Secuencia_Optima'!$L$31-'06_Secuencia_Optima'!$AB$31)*'06_Secuencia_Optima'!$H$31/480),6))-INT(ROUND(MIN('06_Secuencia_Optima'!$G$31,MAX(0,'07_Calendario'!$G$73-'06_Secuencia_Optima'!$L$31-'06_Secuencia_Optima'!$AB$31)*'06_Secuencia_Optima'!$H$31/480),6)))</f>
        <v/>
      </c>
      <c r="BU12" s="51">
        <f>IF('07_Calendario'!$E$74=0,"",INT(ROUND(MIN('06_Secuencia_Optima'!$G$31,MAX(0,'07_Calendario'!$H$74-'06_Secuencia_Optima'!$L$31-'06_Secuencia_Optima'!$AB$31)*'06_Secuencia_Optima'!$H$31/480),6))-INT(ROUND(MIN('06_Secuencia_Optima'!$G$31,MAX(0,'07_Calendario'!$G$74-'06_Secuencia_Optima'!$L$31-'06_Secuencia_Optima'!$AB$31)*'06_Secuencia_Optima'!$H$31/480),6)))</f>
        <v>0</v>
      </c>
      <c r="BV12" s="51">
        <f>IF('07_Calendario'!$E$75=0,"",INT(ROUND(MIN('06_Secuencia_Optima'!$G$31,MAX(0,'07_Calendario'!$H$75-'06_Secuencia_Optima'!$L$31-'06_Secuencia_Optima'!$AB$31)*'06_Secuencia_Optima'!$H$31/480),6))-INT(ROUND(MIN('06_Secuencia_Optima'!$G$31,MAX(0,'07_Calendario'!$G$75-'06_Secuencia_Optima'!$L$31-'06_Secuencia_Optima'!$AB$31)*'06_Secuencia_Optima'!$H$31/480),6)))</f>
        <v>0</v>
      </c>
      <c r="BW12" s="51">
        <f>IF('07_Calendario'!$E$76=0,"",INT(ROUND(MIN('06_Secuencia_Optima'!$G$31,MAX(0,'07_Calendario'!$H$76-'06_Secuencia_Optima'!$L$31-'06_Secuencia_Optima'!$AB$31)*'06_Secuencia_Optima'!$H$31/480),6))-INT(ROUND(MIN('06_Secuencia_Optima'!$G$31,MAX(0,'07_Calendario'!$G$76-'06_Secuencia_Optima'!$L$31-'06_Secuencia_Optima'!$AB$31)*'06_Secuencia_Optima'!$H$31/480),6)))</f>
        <v>0</v>
      </c>
      <c r="BX12" s="51">
        <f>IF('07_Calendario'!$E$77=0,"",INT(ROUND(MIN('06_Secuencia_Optima'!$G$31,MAX(0,'07_Calendario'!$H$77-'06_Secuencia_Optima'!$L$31-'06_Secuencia_Optima'!$AB$31)*'06_Secuencia_Optima'!$H$31/480),6))-INT(ROUND(MIN('06_Secuencia_Optima'!$G$31,MAX(0,'07_Calendario'!$G$77-'06_Secuencia_Optima'!$L$31-'06_Secuencia_Optima'!$AB$31)*'06_Secuencia_Optima'!$H$31/480),6)))</f>
        <v>0</v>
      </c>
      <c r="BY12" s="51">
        <f>IF('07_Calendario'!$E$78=0,"",INT(ROUND(MIN('06_Secuencia_Optima'!$G$31,MAX(0,'07_Calendario'!$H$78-'06_Secuencia_Optima'!$L$31-'06_Secuencia_Optima'!$AB$31)*'06_Secuencia_Optima'!$H$31/480),6))-INT(ROUND(MIN('06_Secuencia_Optima'!$G$31,MAX(0,'07_Calendario'!$G$78-'06_Secuencia_Optima'!$L$31-'06_Secuencia_Optima'!$AB$31)*'06_Secuencia_Optima'!$H$31/480),6)))</f>
        <v>0</v>
      </c>
      <c r="BZ12" s="51">
        <f>IF('07_Calendario'!$E$79=0,"",INT(ROUND(MIN('06_Secuencia_Optima'!$G$31,MAX(0,'07_Calendario'!$H$79-'06_Secuencia_Optima'!$L$31-'06_Secuencia_Optima'!$AB$31)*'06_Secuencia_Optima'!$H$31/480),6))-INT(ROUND(MIN('06_Secuencia_Optima'!$G$31,MAX(0,'07_Calendario'!$G$79-'06_Secuencia_Optima'!$L$31-'06_Secuencia_Optima'!$AB$31)*'06_Secuencia_Optima'!$H$31/480),6)))</f>
        <v>0</v>
      </c>
      <c r="CA12" s="51">
        <f>IF('07_Calendario'!$E$80=0,"",INT(ROUND(MIN('06_Secuencia_Optima'!$G$31,MAX(0,'07_Calendario'!$H$80-'06_Secuencia_Optima'!$L$31-'06_Secuencia_Optima'!$AB$31)*'06_Secuencia_Optima'!$H$31/480),6))-INT(ROUND(MIN('06_Secuencia_Optima'!$G$31,MAX(0,'07_Calendario'!$G$80-'06_Secuencia_Optima'!$L$31-'06_Secuencia_Optima'!$AB$31)*'06_Secuencia_Optima'!$H$31/480),6)))</f>
        <v>0</v>
      </c>
      <c r="CB12" s="51">
        <f>IF('07_Calendario'!$E$81=0,"",INT(ROUND(MIN('06_Secuencia_Optima'!$G$31,MAX(0,'07_Calendario'!$H$81-'06_Secuencia_Optima'!$L$31-'06_Secuencia_Optima'!$AB$31)*'06_Secuencia_Optima'!$H$31/480),6))-INT(ROUND(MIN('06_Secuencia_Optima'!$G$31,MAX(0,'07_Calendario'!$G$81-'06_Secuencia_Optima'!$L$31-'06_Secuencia_Optima'!$AB$31)*'06_Secuencia_Optima'!$H$31/480),6)))</f>
        <v>0</v>
      </c>
      <c r="CC12" s="51">
        <f>IF('07_Calendario'!$E$82=0,"",INT(ROUND(MIN('06_Secuencia_Optima'!$G$31,MAX(0,'07_Calendario'!$H$82-'06_Secuencia_Optima'!$L$31-'06_Secuencia_Optima'!$AB$31)*'06_Secuencia_Optima'!$H$31/480),6))-INT(ROUND(MIN('06_Secuencia_Optima'!$G$31,MAX(0,'07_Calendario'!$G$82-'06_Secuencia_Optima'!$L$31-'06_Secuencia_Optima'!$AB$31)*'06_Secuencia_Optima'!$H$31/480),6)))</f>
        <v>0</v>
      </c>
      <c r="CD12" s="18">
        <f t="shared" si="0"/>
        <v>1000</v>
      </c>
      <c r="CE12" s="19">
        <f>'06_Secuencia_Optima'!$G$31</f>
        <v>1000</v>
      </c>
      <c r="CF12" s="10" t="str">
        <f t="shared" si="1"/>
        <v>OK</v>
      </c>
    </row>
    <row r="13" spans="1:84" x14ac:dyDescent="0.2">
      <c r="A13" s="10">
        <f>'06_Secuencia_Optima'!$B$32</f>
        <v>6743</v>
      </c>
      <c r="B13" s="13" t="str">
        <f>'06_Secuencia_Optima'!$C$32</f>
        <v>SALSA DE PIÑA (12DP/1/400g)</v>
      </c>
      <c r="C13" s="14">
        <f>'06_Secuencia_Optima'!$D$32</f>
        <v>6743</v>
      </c>
      <c r="D13" s="51">
        <f>IF('07_Calendario'!$E$5=0,"",INT(ROUND(MIN('06_Secuencia_Optima'!$G$32,MAX(0,'07_Calendario'!$H$5-'06_Secuencia_Optima'!$L$32-'06_Secuencia_Optima'!$AB$32)*'06_Secuencia_Optima'!$H$32/480),6))-INT(ROUND(MIN('06_Secuencia_Optima'!$G$32,MAX(0,'07_Calendario'!$G$5-'06_Secuencia_Optima'!$L$32-'06_Secuencia_Optima'!$AB$32)*'06_Secuencia_Optima'!$H$32/480),6)))</f>
        <v>1126</v>
      </c>
      <c r="E13" s="51">
        <f>IF('07_Calendario'!$E$6=0,"",INT(ROUND(MIN('06_Secuencia_Optima'!$G$32,MAX(0,'07_Calendario'!$H$6-'06_Secuencia_Optima'!$L$32-'06_Secuencia_Optima'!$AB$32)*'06_Secuencia_Optima'!$H$32/480),6))-INT(ROUND(MIN('06_Secuencia_Optima'!$G$32,MAX(0,'07_Calendario'!$G$6-'06_Secuencia_Optima'!$L$32-'06_Secuencia_Optima'!$AB$32)*'06_Secuencia_Optima'!$H$32/480),6)))</f>
        <v>1502</v>
      </c>
      <c r="F13" s="51">
        <f>IF('07_Calendario'!$E$7=0,"",INT(ROUND(MIN('06_Secuencia_Optima'!$G$32,MAX(0,'07_Calendario'!$H$7-'06_Secuencia_Optima'!$L$32-'06_Secuencia_Optima'!$AB$32)*'06_Secuencia_Optima'!$H$32/480),6))-INT(ROUND(MIN('06_Secuencia_Optima'!$G$32,MAX(0,'07_Calendario'!$G$7-'06_Secuencia_Optima'!$L$32-'06_Secuencia_Optima'!$AB$32)*'06_Secuencia_Optima'!$H$32/480),6)))</f>
        <v>126</v>
      </c>
      <c r="G13" s="51">
        <f>IF('07_Calendario'!$E$8=0,"",INT(ROUND(MIN('06_Secuencia_Optima'!$G$32,MAX(0,'07_Calendario'!$H$8-'06_Secuencia_Optima'!$L$32-'06_Secuencia_Optima'!$AB$32)*'06_Secuencia_Optima'!$H$32/480),6))-INT(ROUND(MIN('06_Secuencia_Optima'!$G$32,MAX(0,'07_Calendario'!$G$8-'06_Secuencia_Optima'!$L$32-'06_Secuencia_Optima'!$AB$32)*'06_Secuencia_Optima'!$H$32/480),6)))</f>
        <v>0</v>
      </c>
      <c r="H13" s="51">
        <f>IF('07_Calendario'!$E$9=0,"",INT(ROUND(MIN('06_Secuencia_Optima'!$G$32,MAX(0,'07_Calendario'!$H$9-'06_Secuencia_Optima'!$L$32-'06_Secuencia_Optima'!$AB$32)*'06_Secuencia_Optima'!$H$32/480),6))-INT(ROUND(MIN('06_Secuencia_Optima'!$G$32,MAX(0,'07_Calendario'!$G$9-'06_Secuencia_Optima'!$L$32-'06_Secuencia_Optima'!$AB$32)*'06_Secuencia_Optima'!$H$32/480),6)))</f>
        <v>0</v>
      </c>
      <c r="I13" s="51">
        <f>IF('07_Calendario'!$E$10=0,"",INT(ROUND(MIN('06_Secuencia_Optima'!$G$32,MAX(0,'07_Calendario'!$H$10-'06_Secuencia_Optima'!$L$32-'06_Secuencia_Optima'!$AB$32)*'06_Secuencia_Optima'!$H$32/480),6))-INT(ROUND(MIN('06_Secuencia_Optima'!$G$32,MAX(0,'07_Calendario'!$G$10-'06_Secuencia_Optima'!$L$32-'06_Secuencia_Optima'!$AB$32)*'06_Secuencia_Optima'!$H$32/480),6)))</f>
        <v>0</v>
      </c>
      <c r="J13" s="51">
        <f>IF('07_Calendario'!$E$11=0,"",INT(ROUND(MIN('06_Secuencia_Optima'!$G$32,MAX(0,'07_Calendario'!$H$11-'06_Secuencia_Optima'!$L$32-'06_Secuencia_Optima'!$AB$32)*'06_Secuencia_Optima'!$H$32/480),6))-INT(ROUND(MIN('06_Secuencia_Optima'!$G$32,MAX(0,'07_Calendario'!$G$11-'06_Secuencia_Optima'!$L$32-'06_Secuencia_Optima'!$AB$32)*'06_Secuencia_Optima'!$H$32/480),6)))</f>
        <v>0</v>
      </c>
      <c r="K13" s="51">
        <f>IF('07_Calendario'!$E$12=0,"",INT(ROUND(MIN('06_Secuencia_Optima'!$G$32,MAX(0,'07_Calendario'!$H$12-'06_Secuencia_Optima'!$L$32-'06_Secuencia_Optima'!$AB$32)*'06_Secuencia_Optima'!$H$32/480),6))-INT(ROUND(MIN('06_Secuencia_Optima'!$G$32,MAX(0,'07_Calendario'!$G$12-'06_Secuencia_Optima'!$L$32-'06_Secuencia_Optima'!$AB$32)*'06_Secuencia_Optima'!$H$32/480),6)))</f>
        <v>0</v>
      </c>
      <c r="L13" s="51">
        <f>IF('07_Calendario'!$E$13=0,"",INT(ROUND(MIN('06_Secuencia_Optima'!$G$32,MAX(0,'07_Calendario'!$H$13-'06_Secuencia_Optima'!$L$32-'06_Secuencia_Optima'!$AB$32)*'06_Secuencia_Optima'!$H$32/480),6))-INT(ROUND(MIN('06_Secuencia_Optima'!$G$32,MAX(0,'07_Calendario'!$G$13-'06_Secuencia_Optima'!$L$32-'06_Secuencia_Optima'!$AB$32)*'06_Secuencia_Optima'!$H$32/480),6)))</f>
        <v>0</v>
      </c>
      <c r="M13" s="51">
        <f>IF('07_Calendario'!$E$14=0,"",INT(ROUND(MIN('06_Secuencia_Optima'!$G$32,MAX(0,'07_Calendario'!$H$14-'06_Secuencia_Optima'!$L$32-'06_Secuencia_Optima'!$AB$32)*'06_Secuencia_Optima'!$H$32/480),6))-INT(ROUND(MIN('06_Secuencia_Optima'!$G$32,MAX(0,'07_Calendario'!$G$14-'06_Secuencia_Optima'!$L$32-'06_Secuencia_Optima'!$AB$32)*'06_Secuencia_Optima'!$H$32/480),6)))</f>
        <v>0</v>
      </c>
      <c r="N13" s="51">
        <f>IF('07_Calendario'!$E$15=0,"",INT(ROUND(MIN('06_Secuencia_Optima'!$G$32,MAX(0,'07_Calendario'!$H$15-'06_Secuencia_Optima'!$L$32-'06_Secuencia_Optima'!$AB$32)*'06_Secuencia_Optima'!$H$32/480),6))-INT(ROUND(MIN('06_Secuencia_Optima'!$G$32,MAX(0,'07_Calendario'!$G$15-'06_Secuencia_Optima'!$L$32-'06_Secuencia_Optima'!$AB$32)*'06_Secuencia_Optima'!$H$32/480),6)))</f>
        <v>0</v>
      </c>
      <c r="O13" s="51">
        <f>IF('07_Calendario'!$E$16=0,"",INT(ROUND(MIN('06_Secuencia_Optima'!$G$32,MAX(0,'07_Calendario'!$H$16-'06_Secuencia_Optima'!$L$32-'06_Secuencia_Optima'!$AB$32)*'06_Secuencia_Optima'!$H$32/480),6))-INT(ROUND(MIN('06_Secuencia_Optima'!$G$32,MAX(0,'07_Calendario'!$G$16-'06_Secuencia_Optima'!$L$32-'06_Secuencia_Optima'!$AB$32)*'06_Secuencia_Optima'!$H$32/480),6)))</f>
        <v>0</v>
      </c>
      <c r="P13" s="51">
        <f>IF('07_Calendario'!$E$17=0,"",INT(ROUND(MIN('06_Secuencia_Optima'!$G$32,MAX(0,'07_Calendario'!$H$17-'06_Secuencia_Optima'!$L$32-'06_Secuencia_Optima'!$AB$32)*'06_Secuencia_Optima'!$H$32/480),6))-INT(ROUND(MIN('06_Secuencia_Optima'!$G$32,MAX(0,'07_Calendario'!$G$17-'06_Secuencia_Optima'!$L$32-'06_Secuencia_Optima'!$AB$32)*'06_Secuencia_Optima'!$H$32/480),6)))</f>
        <v>0</v>
      </c>
      <c r="Q13" s="51">
        <f>IF('07_Calendario'!$E$18=0,"",INT(ROUND(MIN('06_Secuencia_Optima'!$G$32,MAX(0,'07_Calendario'!$H$18-'06_Secuencia_Optima'!$L$32-'06_Secuencia_Optima'!$AB$32)*'06_Secuencia_Optima'!$H$32/480),6))-INT(ROUND(MIN('06_Secuencia_Optima'!$G$32,MAX(0,'07_Calendario'!$G$18-'06_Secuencia_Optima'!$L$32-'06_Secuencia_Optima'!$AB$32)*'06_Secuencia_Optima'!$H$32/480),6)))</f>
        <v>0</v>
      </c>
      <c r="R13" s="51" t="str">
        <f>IF('07_Calendario'!$E$19=0,"",INT(ROUND(MIN('06_Secuencia_Optima'!$G$32,MAX(0,'07_Calendario'!$H$19-'06_Secuencia_Optima'!$L$32-'06_Secuencia_Optima'!$AB$32)*'06_Secuencia_Optima'!$H$32/480),6))-INT(ROUND(MIN('06_Secuencia_Optima'!$G$32,MAX(0,'07_Calendario'!$G$19-'06_Secuencia_Optima'!$L$32-'06_Secuencia_Optima'!$AB$32)*'06_Secuencia_Optima'!$H$32/480),6)))</f>
        <v/>
      </c>
      <c r="S13" s="51">
        <f>IF('07_Calendario'!$E$20=0,"",INT(ROUND(MIN('06_Secuencia_Optima'!$G$32,MAX(0,'07_Calendario'!$H$20-'06_Secuencia_Optima'!$L$32-'06_Secuencia_Optima'!$AB$32)*'06_Secuencia_Optima'!$H$32/480),6))-INT(ROUND(MIN('06_Secuencia_Optima'!$G$32,MAX(0,'07_Calendario'!$G$20-'06_Secuencia_Optima'!$L$32-'06_Secuencia_Optima'!$AB$32)*'06_Secuencia_Optima'!$H$32/480),6)))</f>
        <v>0</v>
      </c>
      <c r="T13" s="51">
        <f>IF('07_Calendario'!$E$21=0,"",INT(ROUND(MIN('06_Secuencia_Optima'!$G$32,MAX(0,'07_Calendario'!$H$21-'06_Secuencia_Optima'!$L$32-'06_Secuencia_Optima'!$AB$32)*'06_Secuencia_Optima'!$H$32/480),6))-INT(ROUND(MIN('06_Secuencia_Optima'!$G$32,MAX(0,'07_Calendario'!$G$21-'06_Secuencia_Optima'!$L$32-'06_Secuencia_Optima'!$AB$32)*'06_Secuencia_Optima'!$H$32/480),6)))</f>
        <v>0</v>
      </c>
      <c r="U13" s="51">
        <f>IF('07_Calendario'!$E$22=0,"",INT(ROUND(MIN('06_Secuencia_Optima'!$G$32,MAX(0,'07_Calendario'!$H$22-'06_Secuencia_Optima'!$L$32-'06_Secuencia_Optima'!$AB$32)*'06_Secuencia_Optima'!$H$32/480),6))-INT(ROUND(MIN('06_Secuencia_Optima'!$G$32,MAX(0,'07_Calendario'!$G$22-'06_Secuencia_Optima'!$L$32-'06_Secuencia_Optima'!$AB$32)*'06_Secuencia_Optima'!$H$32/480),6)))</f>
        <v>0</v>
      </c>
      <c r="V13" s="51">
        <f>IF('07_Calendario'!$E$23=0,"",INT(ROUND(MIN('06_Secuencia_Optima'!$G$32,MAX(0,'07_Calendario'!$H$23-'06_Secuencia_Optima'!$L$32-'06_Secuencia_Optima'!$AB$32)*'06_Secuencia_Optima'!$H$32/480),6))-INT(ROUND(MIN('06_Secuencia_Optima'!$G$32,MAX(0,'07_Calendario'!$G$23-'06_Secuencia_Optima'!$L$32-'06_Secuencia_Optima'!$AB$32)*'06_Secuencia_Optima'!$H$32/480),6)))</f>
        <v>0</v>
      </c>
      <c r="W13" s="51">
        <f>IF('07_Calendario'!$E$24=0,"",INT(ROUND(MIN('06_Secuencia_Optima'!$G$32,MAX(0,'07_Calendario'!$H$24-'06_Secuencia_Optima'!$L$32-'06_Secuencia_Optima'!$AB$32)*'06_Secuencia_Optima'!$H$32/480),6))-INT(ROUND(MIN('06_Secuencia_Optima'!$G$32,MAX(0,'07_Calendario'!$G$24-'06_Secuencia_Optima'!$L$32-'06_Secuencia_Optima'!$AB$32)*'06_Secuencia_Optima'!$H$32/480),6)))</f>
        <v>0</v>
      </c>
      <c r="X13" s="51">
        <f>IF('07_Calendario'!$E$25=0,"",INT(ROUND(MIN('06_Secuencia_Optima'!$G$32,MAX(0,'07_Calendario'!$H$25-'06_Secuencia_Optima'!$L$32-'06_Secuencia_Optima'!$AB$32)*'06_Secuencia_Optima'!$H$32/480),6))-INT(ROUND(MIN('06_Secuencia_Optima'!$G$32,MAX(0,'07_Calendario'!$G$25-'06_Secuencia_Optima'!$L$32-'06_Secuencia_Optima'!$AB$32)*'06_Secuencia_Optima'!$H$32/480),6)))</f>
        <v>0</v>
      </c>
      <c r="Y13" s="51">
        <f>IF('07_Calendario'!$E$26=0,"",INT(ROUND(MIN('06_Secuencia_Optima'!$G$32,MAX(0,'07_Calendario'!$H$26-'06_Secuencia_Optima'!$L$32-'06_Secuencia_Optima'!$AB$32)*'06_Secuencia_Optima'!$H$32/480),6))-INT(ROUND(MIN('06_Secuencia_Optima'!$G$32,MAX(0,'07_Calendario'!$G$26-'06_Secuencia_Optima'!$L$32-'06_Secuencia_Optima'!$AB$32)*'06_Secuencia_Optima'!$H$32/480),6)))</f>
        <v>0</v>
      </c>
      <c r="Z13" s="51">
        <f>IF('07_Calendario'!$E$27=0,"",INT(ROUND(MIN('06_Secuencia_Optima'!$G$32,MAX(0,'07_Calendario'!$H$27-'06_Secuencia_Optima'!$L$32-'06_Secuencia_Optima'!$AB$32)*'06_Secuencia_Optima'!$H$32/480),6))-INT(ROUND(MIN('06_Secuencia_Optima'!$G$32,MAX(0,'07_Calendario'!$G$27-'06_Secuencia_Optima'!$L$32-'06_Secuencia_Optima'!$AB$32)*'06_Secuencia_Optima'!$H$32/480),6)))</f>
        <v>0</v>
      </c>
      <c r="AA13" s="51">
        <f>IF('07_Calendario'!$E$28=0,"",INT(ROUND(MIN('06_Secuencia_Optima'!$G$32,MAX(0,'07_Calendario'!$H$28-'06_Secuencia_Optima'!$L$32-'06_Secuencia_Optima'!$AB$32)*'06_Secuencia_Optima'!$H$32/480),6))-INT(ROUND(MIN('06_Secuencia_Optima'!$G$32,MAX(0,'07_Calendario'!$G$28-'06_Secuencia_Optima'!$L$32-'06_Secuencia_Optima'!$AB$32)*'06_Secuencia_Optima'!$H$32/480),6)))</f>
        <v>0</v>
      </c>
      <c r="AB13" s="51">
        <f>IF('07_Calendario'!$E$29=0,"",INT(ROUND(MIN('06_Secuencia_Optima'!$G$32,MAX(0,'07_Calendario'!$H$29-'06_Secuencia_Optima'!$L$32-'06_Secuencia_Optima'!$AB$32)*'06_Secuencia_Optima'!$H$32/480),6))-INT(ROUND(MIN('06_Secuencia_Optima'!$G$32,MAX(0,'07_Calendario'!$G$29-'06_Secuencia_Optima'!$L$32-'06_Secuencia_Optima'!$AB$32)*'06_Secuencia_Optima'!$H$32/480),6)))</f>
        <v>0</v>
      </c>
      <c r="AC13" s="51">
        <f>IF('07_Calendario'!$E$30=0,"",INT(ROUND(MIN('06_Secuencia_Optima'!$G$32,MAX(0,'07_Calendario'!$H$30-'06_Secuencia_Optima'!$L$32-'06_Secuencia_Optima'!$AB$32)*'06_Secuencia_Optima'!$H$32/480),6))-INT(ROUND(MIN('06_Secuencia_Optima'!$G$32,MAX(0,'07_Calendario'!$G$30-'06_Secuencia_Optima'!$L$32-'06_Secuencia_Optima'!$AB$32)*'06_Secuencia_Optima'!$H$32/480),6)))</f>
        <v>0</v>
      </c>
      <c r="AD13" s="51">
        <f>IF('07_Calendario'!$E$31=0,"",INT(ROUND(MIN('06_Secuencia_Optima'!$G$32,MAX(0,'07_Calendario'!$H$31-'06_Secuencia_Optima'!$L$32-'06_Secuencia_Optima'!$AB$32)*'06_Secuencia_Optima'!$H$32/480),6))-INT(ROUND(MIN('06_Secuencia_Optima'!$G$32,MAX(0,'07_Calendario'!$G$31-'06_Secuencia_Optima'!$L$32-'06_Secuencia_Optima'!$AB$32)*'06_Secuencia_Optima'!$H$32/480),6)))</f>
        <v>0</v>
      </c>
      <c r="AE13" s="51">
        <f>IF('07_Calendario'!$E$32=0,"",INT(ROUND(MIN('06_Secuencia_Optima'!$G$32,MAX(0,'07_Calendario'!$H$32-'06_Secuencia_Optima'!$L$32-'06_Secuencia_Optima'!$AB$32)*'06_Secuencia_Optima'!$H$32/480),6))-INT(ROUND(MIN('06_Secuencia_Optima'!$G$32,MAX(0,'07_Calendario'!$G$32-'06_Secuencia_Optima'!$L$32-'06_Secuencia_Optima'!$AB$32)*'06_Secuencia_Optima'!$H$32/480),6)))</f>
        <v>0</v>
      </c>
      <c r="AF13" s="51">
        <f>IF('07_Calendario'!$E$33=0,"",INT(ROUND(MIN('06_Secuencia_Optima'!$G$32,MAX(0,'07_Calendario'!$H$33-'06_Secuencia_Optima'!$L$32-'06_Secuencia_Optima'!$AB$32)*'06_Secuencia_Optima'!$H$32/480),6))-INT(ROUND(MIN('06_Secuencia_Optima'!$G$32,MAX(0,'07_Calendario'!$G$33-'06_Secuencia_Optima'!$L$32-'06_Secuencia_Optima'!$AB$32)*'06_Secuencia_Optima'!$H$32/480),6)))</f>
        <v>0</v>
      </c>
      <c r="AG13" s="51">
        <f>IF('07_Calendario'!$E$34=0,"",INT(ROUND(MIN('06_Secuencia_Optima'!$G$32,MAX(0,'07_Calendario'!$H$34-'06_Secuencia_Optima'!$L$32-'06_Secuencia_Optima'!$AB$32)*'06_Secuencia_Optima'!$H$32/480),6))-INT(ROUND(MIN('06_Secuencia_Optima'!$G$32,MAX(0,'07_Calendario'!$G$34-'06_Secuencia_Optima'!$L$32-'06_Secuencia_Optima'!$AB$32)*'06_Secuencia_Optima'!$H$32/480),6)))</f>
        <v>0</v>
      </c>
      <c r="AH13" s="51">
        <f>IF('07_Calendario'!$E$35=0,"",INT(ROUND(MIN('06_Secuencia_Optima'!$G$32,MAX(0,'07_Calendario'!$H$35-'06_Secuencia_Optima'!$L$32-'06_Secuencia_Optima'!$AB$32)*'06_Secuencia_Optima'!$H$32/480),6))-INT(ROUND(MIN('06_Secuencia_Optima'!$G$32,MAX(0,'07_Calendario'!$G$35-'06_Secuencia_Optima'!$L$32-'06_Secuencia_Optima'!$AB$32)*'06_Secuencia_Optima'!$H$32/480),6)))</f>
        <v>0</v>
      </c>
      <c r="AI13" s="51">
        <f>IF('07_Calendario'!$E$36=0,"",INT(ROUND(MIN('06_Secuencia_Optima'!$G$32,MAX(0,'07_Calendario'!$H$36-'06_Secuencia_Optima'!$L$32-'06_Secuencia_Optima'!$AB$32)*'06_Secuencia_Optima'!$H$32/480),6))-INT(ROUND(MIN('06_Secuencia_Optima'!$G$32,MAX(0,'07_Calendario'!$G$36-'06_Secuencia_Optima'!$L$32-'06_Secuencia_Optima'!$AB$32)*'06_Secuencia_Optima'!$H$32/480),6)))</f>
        <v>0</v>
      </c>
      <c r="AJ13" s="51" t="str">
        <f>IF('07_Calendario'!$E$37=0,"",INT(ROUND(MIN('06_Secuencia_Optima'!$G$32,MAX(0,'07_Calendario'!$H$37-'06_Secuencia_Optima'!$L$32-'06_Secuencia_Optima'!$AB$32)*'06_Secuencia_Optima'!$H$32/480),6))-INT(ROUND(MIN('06_Secuencia_Optima'!$G$32,MAX(0,'07_Calendario'!$G$37-'06_Secuencia_Optima'!$L$32-'06_Secuencia_Optima'!$AB$32)*'06_Secuencia_Optima'!$H$32/480),6)))</f>
        <v/>
      </c>
      <c r="AK13" s="51">
        <f>IF('07_Calendario'!$E$38=0,"",INT(ROUND(MIN('06_Secuencia_Optima'!$G$32,MAX(0,'07_Calendario'!$H$38-'06_Secuencia_Optima'!$L$32-'06_Secuencia_Optima'!$AB$32)*'06_Secuencia_Optima'!$H$32/480),6))-INT(ROUND(MIN('06_Secuencia_Optima'!$G$32,MAX(0,'07_Calendario'!$G$38-'06_Secuencia_Optima'!$L$32-'06_Secuencia_Optima'!$AB$32)*'06_Secuencia_Optima'!$H$32/480),6)))</f>
        <v>0</v>
      </c>
      <c r="AL13" s="51">
        <f>IF('07_Calendario'!$E$39=0,"",INT(ROUND(MIN('06_Secuencia_Optima'!$G$32,MAX(0,'07_Calendario'!$H$39-'06_Secuencia_Optima'!$L$32-'06_Secuencia_Optima'!$AB$32)*'06_Secuencia_Optima'!$H$32/480),6))-INT(ROUND(MIN('06_Secuencia_Optima'!$G$32,MAX(0,'07_Calendario'!$G$39-'06_Secuencia_Optima'!$L$32-'06_Secuencia_Optima'!$AB$32)*'06_Secuencia_Optima'!$H$32/480),6)))</f>
        <v>0</v>
      </c>
      <c r="AM13" s="51">
        <f>IF('07_Calendario'!$E$40=0,"",INT(ROUND(MIN('06_Secuencia_Optima'!$G$32,MAX(0,'07_Calendario'!$H$40-'06_Secuencia_Optima'!$L$32-'06_Secuencia_Optima'!$AB$32)*'06_Secuencia_Optima'!$H$32/480),6))-INT(ROUND(MIN('06_Secuencia_Optima'!$G$32,MAX(0,'07_Calendario'!$G$40-'06_Secuencia_Optima'!$L$32-'06_Secuencia_Optima'!$AB$32)*'06_Secuencia_Optima'!$H$32/480),6)))</f>
        <v>0</v>
      </c>
      <c r="AN13" s="51">
        <f>IF('07_Calendario'!$E$41=0,"",INT(ROUND(MIN('06_Secuencia_Optima'!$G$32,MAX(0,'07_Calendario'!$H$41-'06_Secuencia_Optima'!$L$32-'06_Secuencia_Optima'!$AB$32)*'06_Secuencia_Optima'!$H$32/480),6))-INT(ROUND(MIN('06_Secuencia_Optima'!$G$32,MAX(0,'07_Calendario'!$G$41-'06_Secuencia_Optima'!$L$32-'06_Secuencia_Optima'!$AB$32)*'06_Secuencia_Optima'!$H$32/480),6)))</f>
        <v>0</v>
      </c>
      <c r="AO13" s="51">
        <f>IF('07_Calendario'!$E$42=0,"",INT(ROUND(MIN('06_Secuencia_Optima'!$G$32,MAX(0,'07_Calendario'!$H$42-'06_Secuencia_Optima'!$L$32-'06_Secuencia_Optima'!$AB$32)*'06_Secuencia_Optima'!$H$32/480),6))-INT(ROUND(MIN('06_Secuencia_Optima'!$G$32,MAX(0,'07_Calendario'!$G$42-'06_Secuencia_Optima'!$L$32-'06_Secuencia_Optima'!$AB$32)*'06_Secuencia_Optima'!$H$32/480),6)))</f>
        <v>0</v>
      </c>
      <c r="AP13" s="51">
        <f>IF('07_Calendario'!$E$43=0,"",INT(ROUND(MIN('06_Secuencia_Optima'!$G$32,MAX(0,'07_Calendario'!$H$43-'06_Secuencia_Optima'!$L$32-'06_Secuencia_Optima'!$AB$32)*'06_Secuencia_Optima'!$H$32/480),6))-INT(ROUND(MIN('06_Secuencia_Optima'!$G$32,MAX(0,'07_Calendario'!$G$43-'06_Secuencia_Optima'!$L$32-'06_Secuencia_Optima'!$AB$32)*'06_Secuencia_Optima'!$H$32/480),6)))</f>
        <v>0</v>
      </c>
      <c r="AQ13" s="51">
        <f>IF('07_Calendario'!$E$44=0,"",INT(ROUND(MIN('06_Secuencia_Optima'!$G$32,MAX(0,'07_Calendario'!$H$44-'06_Secuencia_Optima'!$L$32-'06_Secuencia_Optima'!$AB$32)*'06_Secuencia_Optima'!$H$32/480),6))-INT(ROUND(MIN('06_Secuencia_Optima'!$G$32,MAX(0,'07_Calendario'!$G$44-'06_Secuencia_Optima'!$L$32-'06_Secuencia_Optima'!$AB$32)*'06_Secuencia_Optima'!$H$32/480),6)))</f>
        <v>0</v>
      </c>
      <c r="AR13" s="51">
        <f>IF('07_Calendario'!$E$45=0,"",INT(ROUND(MIN('06_Secuencia_Optima'!$G$32,MAX(0,'07_Calendario'!$H$45-'06_Secuencia_Optima'!$L$32-'06_Secuencia_Optima'!$AB$32)*'06_Secuencia_Optima'!$H$32/480),6))-INT(ROUND(MIN('06_Secuencia_Optima'!$G$32,MAX(0,'07_Calendario'!$G$45-'06_Secuencia_Optima'!$L$32-'06_Secuencia_Optima'!$AB$32)*'06_Secuencia_Optima'!$H$32/480),6)))</f>
        <v>0</v>
      </c>
      <c r="AS13" s="51">
        <f>IF('07_Calendario'!$E$46=0,"",INT(ROUND(MIN('06_Secuencia_Optima'!$G$32,MAX(0,'07_Calendario'!$H$46-'06_Secuencia_Optima'!$L$32-'06_Secuencia_Optima'!$AB$32)*'06_Secuencia_Optima'!$H$32/480),6))-INT(ROUND(MIN('06_Secuencia_Optima'!$G$32,MAX(0,'07_Calendario'!$G$46-'06_Secuencia_Optima'!$L$32-'06_Secuencia_Optima'!$AB$32)*'06_Secuencia_Optima'!$H$32/480),6)))</f>
        <v>0</v>
      </c>
      <c r="AT13" s="51">
        <f>IF('07_Calendario'!$E$47=0,"",INT(ROUND(MIN('06_Secuencia_Optima'!$G$32,MAX(0,'07_Calendario'!$H$47-'06_Secuencia_Optima'!$L$32-'06_Secuencia_Optima'!$AB$32)*'06_Secuencia_Optima'!$H$32/480),6))-INT(ROUND(MIN('06_Secuencia_Optima'!$G$32,MAX(0,'07_Calendario'!$G$47-'06_Secuencia_Optima'!$L$32-'06_Secuencia_Optima'!$AB$32)*'06_Secuencia_Optima'!$H$32/480),6)))</f>
        <v>0</v>
      </c>
      <c r="AU13" s="51">
        <f>IF('07_Calendario'!$E$48=0,"",INT(ROUND(MIN('06_Secuencia_Optima'!$G$32,MAX(0,'07_Calendario'!$H$48-'06_Secuencia_Optima'!$L$32-'06_Secuencia_Optima'!$AB$32)*'06_Secuencia_Optima'!$H$32/480),6))-INT(ROUND(MIN('06_Secuencia_Optima'!$G$32,MAX(0,'07_Calendario'!$G$48-'06_Secuencia_Optima'!$L$32-'06_Secuencia_Optima'!$AB$32)*'06_Secuencia_Optima'!$H$32/480),6)))</f>
        <v>0</v>
      </c>
      <c r="AV13" s="51">
        <f>IF('07_Calendario'!$E$49=0,"",INT(ROUND(MIN('06_Secuencia_Optima'!$G$32,MAX(0,'07_Calendario'!$H$49-'06_Secuencia_Optima'!$L$32-'06_Secuencia_Optima'!$AB$32)*'06_Secuencia_Optima'!$H$32/480),6))-INT(ROUND(MIN('06_Secuencia_Optima'!$G$32,MAX(0,'07_Calendario'!$G$49-'06_Secuencia_Optima'!$L$32-'06_Secuencia_Optima'!$AB$32)*'06_Secuencia_Optima'!$H$32/480),6)))</f>
        <v>0</v>
      </c>
      <c r="AW13" s="51">
        <f>IF('07_Calendario'!$E$50=0,"",INT(ROUND(MIN('06_Secuencia_Optima'!$G$32,MAX(0,'07_Calendario'!$H$50-'06_Secuencia_Optima'!$L$32-'06_Secuencia_Optima'!$AB$32)*'06_Secuencia_Optima'!$H$32/480),6))-INT(ROUND(MIN('06_Secuencia_Optima'!$G$32,MAX(0,'07_Calendario'!$G$50-'06_Secuencia_Optima'!$L$32-'06_Secuencia_Optima'!$AB$32)*'06_Secuencia_Optima'!$H$32/480),6)))</f>
        <v>0</v>
      </c>
      <c r="AX13" s="51">
        <f>IF('07_Calendario'!$E$51=0,"",INT(ROUND(MIN('06_Secuencia_Optima'!$G$32,MAX(0,'07_Calendario'!$H$51-'06_Secuencia_Optima'!$L$32-'06_Secuencia_Optima'!$AB$32)*'06_Secuencia_Optima'!$H$32/480),6))-INT(ROUND(MIN('06_Secuencia_Optima'!$G$32,MAX(0,'07_Calendario'!$G$51-'06_Secuencia_Optima'!$L$32-'06_Secuencia_Optima'!$AB$32)*'06_Secuencia_Optima'!$H$32/480),6)))</f>
        <v>0</v>
      </c>
      <c r="AY13" s="51">
        <f>IF('07_Calendario'!$E$52=0,"",INT(ROUND(MIN('06_Secuencia_Optima'!$G$32,MAX(0,'07_Calendario'!$H$52-'06_Secuencia_Optima'!$L$32-'06_Secuencia_Optima'!$AB$32)*'06_Secuencia_Optima'!$H$32/480),6))-INT(ROUND(MIN('06_Secuencia_Optima'!$G$32,MAX(0,'07_Calendario'!$G$52-'06_Secuencia_Optima'!$L$32-'06_Secuencia_Optima'!$AB$32)*'06_Secuencia_Optima'!$H$32/480),6)))</f>
        <v>0</v>
      </c>
      <c r="AZ13" s="51">
        <f>IF('07_Calendario'!$E$53=0,"",INT(ROUND(MIN('06_Secuencia_Optima'!$G$32,MAX(0,'07_Calendario'!$H$53-'06_Secuencia_Optima'!$L$32-'06_Secuencia_Optima'!$AB$32)*'06_Secuencia_Optima'!$H$32/480),6))-INT(ROUND(MIN('06_Secuencia_Optima'!$G$32,MAX(0,'07_Calendario'!$G$53-'06_Secuencia_Optima'!$L$32-'06_Secuencia_Optima'!$AB$32)*'06_Secuencia_Optima'!$H$32/480),6)))</f>
        <v>0</v>
      </c>
      <c r="BA13" s="51">
        <f>IF('07_Calendario'!$E$54=0,"",INT(ROUND(MIN('06_Secuencia_Optima'!$G$32,MAX(0,'07_Calendario'!$H$54-'06_Secuencia_Optima'!$L$32-'06_Secuencia_Optima'!$AB$32)*'06_Secuencia_Optima'!$H$32/480),6))-INT(ROUND(MIN('06_Secuencia_Optima'!$G$32,MAX(0,'07_Calendario'!$G$54-'06_Secuencia_Optima'!$L$32-'06_Secuencia_Optima'!$AB$32)*'06_Secuencia_Optima'!$H$32/480),6)))</f>
        <v>0</v>
      </c>
      <c r="BB13" s="51" t="str">
        <f>IF('07_Calendario'!$E$55=0,"",INT(ROUND(MIN('06_Secuencia_Optima'!$G$32,MAX(0,'07_Calendario'!$H$55-'06_Secuencia_Optima'!$L$32-'06_Secuencia_Optima'!$AB$32)*'06_Secuencia_Optima'!$H$32/480),6))-INT(ROUND(MIN('06_Secuencia_Optima'!$G$32,MAX(0,'07_Calendario'!$G$55-'06_Secuencia_Optima'!$L$32-'06_Secuencia_Optima'!$AB$32)*'06_Secuencia_Optima'!$H$32/480),6)))</f>
        <v/>
      </c>
      <c r="BC13" s="51">
        <f>IF('07_Calendario'!$E$56=0,"",INT(ROUND(MIN('06_Secuencia_Optima'!$G$32,MAX(0,'07_Calendario'!$H$56-'06_Secuencia_Optima'!$L$32-'06_Secuencia_Optima'!$AB$32)*'06_Secuencia_Optima'!$H$32/480),6))-INT(ROUND(MIN('06_Secuencia_Optima'!$G$32,MAX(0,'07_Calendario'!$G$56-'06_Secuencia_Optima'!$L$32-'06_Secuencia_Optima'!$AB$32)*'06_Secuencia_Optima'!$H$32/480),6)))</f>
        <v>0</v>
      </c>
      <c r="BD13" s="51">
        <f>IF('07_Calendario'!$E$57=0,"",INT(ROUND(MIN('06_Secuencia_Optima'!$G$32,MAX(0,'07_Calendario'!$H$57-'06_Secuencia_Optima'!$L$32-'06_Secuencia_Optima'!$AB$32)*'06_Secuencia_Optima'!$H$32/480),6))-INT(ROUND(MIN('06_Secuencia_Optima'!$G$32,MAX(0,'07_Calendario'!$G$57-'06_Secuencia_Optima'!$L$32-'06_Secuencia_Optima'!$AB$32)*'06_Secuencia_Optima'!$H$32/480),6)))</f>
        <v>0</v>
      </c>
      <c r="BE13" s="51">
        <f>IF('07_Calendario'!$E$58=0,"",INT(ROUND(MIN('06_Secuencia_Optima'!$G$32,MAX(0,'07_Calendario'!$H$58-'06_Secuencia_Optima'!$L$32-'06_Secuencia_Optima'!$AB$32)*'06_Secuencia_Optima'!$H$32/480),6))-INT(ROUND(MIN('06_Secuencia_Optima'!$G$32,MAX(0,'07_Calendario'!$G$58-'06_Secuencia_Optima'!$L$32-'06_Secuencia_Optima'!$AB$32)*'06_Secuencia_Optima'!$H$32/480),6)))</f>
        <v>0</v>
      </c>
      <c r="BF13" s="51">
        <f>IF('07_Calendario'!$E$59=0,"",INT(ROUND(MIN('06_Secuencia_Optima'!$G$32,MAX(0,'07_Calendario'!$H$59-'06_Secuencia_Optima'!$L$32-'06_Secuencia_Optima'!$AB$32)*'06_Secuencia_Optima'!$H$32/480),6))-INT(ROUND(MIN('06_Secuencia_Optima'!$G$32,MAX(0,'07_Calendario'!$G$59-'06_Secuencia_Optima'!$L$32-'06_Secuencia_Optima'!$AB$32)*'06_Secuencia_Optima'!$H$32/480),6)))</f>
        <v>0</v>
      </c>
      <c r="BG13" s="51">
        <f>IF('07_Calendario'!$E$60=0,"",INT(ROUND(MIN('06_Secuencia_Optima'!$G$32,MAX(0,'07_Calendario'!$H$60-'06_Secuencia_Optima'!$L$32-'06_Secuencia_Optima'!$AB$32)*'06_Secuencia_Optima'!$H$32/480),6))-INT(ROUND(MIN('06_Secuencia_Optima'!$G$32,MAX(0,'07_Calendario'!$G$60-'06_Secuencia_Optima'!$L$32-'06_Secuencia_Optima'!$AB$32)*'06_Secuencia_Optima'!$H$32/480),6)))</f>
        <v>0</v>
      </c>
      <c r="BH13" s="51">
        <f>IF('07_Calendario'!$E$61=0,"",INT(ROUND(MIN('06_Secuencia_Optima'!$G$32,MAX(0,'07_Calendario'!$H$61-'06_Secuencia_Optima'!$L$32-'06_Secuencia_Optima'!$AB$32)*'06_Secuencia_Optima'!$H$32/480),6))-INT(ROUND(MIN('06_Secuencia_Optima'!$G$32,MAX(0,'07_Calendario'!$G$61-'06_Secuencia_Optima'!$L$32-'06_Secuencia_Optima'!$AB$32)*'06_Secuencia_Optima'!$H$32/480),6)))</f>
        <v>0</v>
      </c>
      <c r="BI13" s="51">
        <f>IF('07_Calendario'!$E$62=0,"",INT(ROUND(MIN('06_Secuencia_Optima'!$G$32,MAX(0,'07_Calendario'!$H$62-'06_Secuencia_Optima'!$L$32-'06_Secuencia_Optima'!$AB$32)*'06_Secuencia_Optima'!$H$32/480),6))-INT(ROUND(MIN('06_Secuencia_Optima'!$G$32,MAX(0,'07_Calendario'!$G$62-'06_Secuencia_Optima'!$L$32-'06_Secuencia_Optima'!$AB$32)*'06_Secuencia_Optima'!$H$32/480),6)))</f>
        <v>0</v>
      </c>
      <c r="BJ13" s="51">
        <f>IF('07_Calendario'!$E$63=0,"",INT(ROUND(MIN('06_Secuencia_Optima'!$G$32,MAX(0,'07_Calendario'!$H$63-'06_Secuencia_Optima'!$L$32-'06_Secuencia_Optima'!$AB$32)*'06_Secuencia_Optima'!$H$32/480),6))-INT(ROUND(MIN('06_Secuencia_Optima'!$G$32,MAX(0,'07_Calendario'!$G$63-'06_Secuencia_Optima'!$L$32-'06_Secuencia_Optima'!$AB$32)*'06_Secuencia_Optima'!$H$32/480),6)))</f>
        <v>0</v>
      </c>
      <c r="BK13" s="51">
        <f>IF('07_Calendario'!$E$64=0,"",INT(ROUND(MIN('06_Secuencia_Optima'!$G$32,MAX(0,'07_Calendario'!$H$64-'06_Secuencia_Optima'!$L$32-'06_Secuencia_Optima'!$AB$32)*'06_Secuencia_Optima'!$H$32/480),6))-INT(ROUND(MIN('06_Secuencia_Optima'!$G$32,MAX(0,'07_Calendario'!$G$64-'06_Secuencia_Optima'!$L$32-'06_Secuencia_Optima'!$AB$32)*'06_Secuencia_Optima'!$H$32/480),6)))</f>
        <v>0</v>
      </c>
      <c r="BL13" s="51">
        <f>IF('07_Calendario'!$E$65=0,"",INT(ROUND(MIN('06_Secuencia_Optima'!$G$32,MAX(0,'07_Calendario'!$H$65-'06_Secuencia_Optima'!$L$32-'06_Secuencia_Optima'!$AB$32)*'06_Secuencia_Optima'!$H$32/480),6))-INT(ROUND(MIN('06_Secuencia_Optima'!$G$32,MAX(0,'07_Calendario'!$G$65-'06_Secuencia_Optima'!$L$32-'06_Secuencia_Optima'!$AB$32)*'06_Secuencia_Optima'!$H$32/480),6)))</f>
        <v>0</v>
      </c>
      <c r="BM13" s="51">
        <f>IF('07_Calendario'!$E$66=0,"",INT(ROUND(MIN('06_Secuencia_Optima'!$G$32,MAX(0,'07_Calendario'!$H$66-'06_Secuencia_Optima'!$L$32-'06_Secuencia_Optima'!$AB$32)*'06_Secuencia_Optima'!$H$32/480),6))-INT(ROUND(MIN('06_Secuencia_Optima'!$G$32,MAX(0,'07_Calendario'!$G$66-'06_Secuencia_Optima'!$L$32-'06_Secuencia_Optima'!$AB$32)*'06_Secuencia_Optima'!$H$32/480),6)))</f>
        <v>0</v>
      </c>
      <c r="BN13" s="51">
        <f>IF('07_Calendario'!$E$67=0,"",INT(ROUND(MIN('06_Secuencia_Optima'!$G$32,MAX(0,'07_Calendario'!$H$67-'06_Secuencia_Optima'!$L$32-'06_Secuencia_Optima'!$AB$32)*'06_Secuencia_Optima'!$H$32/480),6))-INT(ROUND(MIN('06_Secuencia_Optima'!$G$32,MAX(0,'07_Calendario'!$G$67-'06_Secuencia_Optima'!$L$32-'06_Secuencia_Optima'!$AB$32)*'06_Secuencia_Optima'!$H$32/480),6)))</f>
        <v>0</v>
      </c>
      <c r="BO13" s="51">
        <f>IF('07_Calendario'!$E$68=0,"",INT(ROUND(MIN('06_Secuencia_Optima'!$G$32,MAX(0,'07_Calendario'!$H$68-'06_Secuencia_Optima'!$L$32-'06_Secuencia_Optima'!$AB$32)*'06_Secuencia_Optima'!$H$32/480),6))-INT(ROUND(MIN('06_Secuencia_Optima'!$G$32,MAX(0,'07_Calendario'!$G$68-'06_Secuencia_Optima'!$L$32-'06_Secuencia_Optima'!$AB$32)*'06_Secuencia_Optima'!$H$32/480),6)))</f>
        <v>0</v>
      </c>
      <c r="BP13" s="51">
        <f>IF('07_Calendario'!$E$69=0,"",INT(ROUND(MIN('06_Secuencia_Optima'!$G$32,MAX(0,'07_Calendario'!$H$69-'06_Secuencia_Optima'!$L$32-'06_Secuencia_Optima'!$AB$32)*'06_Secuencia_Optima'!$H$32/480),6))-INT(ROUND(MIN('06_Secuencia_Optima'!$G$32,MAX(0,'07_Calendario'!$G$69-'06_Secuencia_Optima'!$L$32-'06_Secuencia_Optima'!$AB$32)*'06_Secuencia_Optima'!$H$32/480),6)))</f>
        <v>0</v>
      </c>
      <c r="BQ13" s="51">
        <f>IF('07_Calendario'!$E$70=0,"",INT(ROUND(MIN('06_Secuencia_Optima'!$G$32,MAX(0,'07_Calendario'!$H$70-'06_Secuencia_Optima'!$L$32-'06_Secuencia_Optima'!$AB$32)*'06_Secuencia_Optima'!$H$32/480),6))-INT(ROUND(MIN('06_Secuencia_Optima'!$G$32,MAX(0,'07_Calendario'!$G$70-'06_Secuencia_Optima'!$L$32-'06_Secuencia_Optima'!$AB$32)*'06_Secuencia_Optima'!$H$32/480),6)))</f>
        <v>0</v>
      </c>
      <c r="BR13" s="51">
        <f>IF('07_Calendario'!$E$71=0,"",INT(ROUND(MIN('06_Secuencia_Optima'!$G$32,MAX(0,'07_Calendario'!$H$71-'06_Secuencia_Optima'!$L$32-'06_Secuencia_Optima'!$AB$32)*'06_Secuencia_Optima'!$H$32/480),6))-INT(ROUND(MIN('06_Secuencia_Optima'!$G$32,MAX(0,'07_Calendario'!$G$71-'06_Secuencia_Optima'!$L$32-'06_Secuencia_Optima'!$AB$32)*'06_Secuencia_Optima'!$H$32/480),6)))</f>
        <v>0</v>
      </c>
      <c r="BS13" s="51">
        <f>IF('07_Calendario'!$E$72=0,"",INT(ROUND(MIN('06_Secuencia_Optima'!$G$32,MAX(0,'07_Calendario'!$H$72-'06_Secuencia_Optima'!$L$32-'06_Secuencia_Optima'!$AB$32)*'06_Secuencia_Optima'!$H$32/480),6))-INT(ROUND(MIN('06_Secuencia_Optima'!$G$32,MAX(0,'07_Calendario'!$G$72-'06_Secuencia_Optima'!$L$32-'06_Secuencia_Optima'!$AB$32)*'06_Secuencia_Optima'!$H$32/480),6)))</f>
        <v>0</v>
      </c>
      <c r="BT13" s="51" t="str">
        <f>IF('07_Calendario'!$E$73=0,"",INT(ROUND(MIN('06_Secuencia_Optima'!$G$32,MAX(0,'07_Calendario'!$H$73-'06_Secuencia_Optima'!$L$32-'06_Secuencia_Optima'!$AB$32)*'06_Secuencia_Optima'!$H$32/480),6))-INT(ROUND(MIN('06_Secuencia_Optima'!$G$32,MAX(0,'07_Calendario'!$G$73-'06_Secuencia_Optima'!$L$32-'06_Secuencia_Optima'!$AB$32)*'06_Secuencia_Optima'!$H$32/480),6)))</f>
        <v/>
      </c>
      <c r="BU13" s="51">
        <f>IF('07_Calendario'!$E$74=0,"",INT(ROUND(MIN('06_Secuencia_Optima'!$G$32,MAX(0,'07_Calendario'!$H$74-'06_Secuencia_Optima'!$L$32-'06_Secuencia_Optima'!$AB$32)*'06_Secuencia_Optima'!$H$32/480),6))-INT(ROUND(MIN('06_Secuencia_Optima'!$G$32,MAX(0,'07_Calendario'!$G$74-'06_Secuencia_Optima'!$L$32-'06_Secuencia_Optima'!$AB$32)*'06_Secuencia_Optima'!$H$32/480),6)))</f>
        <v>0</v>
      </c>
      <c r="BV13" s="51">
        <f>IF('07_Calendario'!$E$75=0,"",INT(ROUND(MIN('06_Secuencia_Optima'!$G$32,MAX(0,'07_Calendario'!$H$75-'06_Secuencia_Optima'!$L$32-'06_Secuencia_Optima'!$AB$32)*'06_Secuencia_Optima'!$H$32/480),6))-INT(ROUND(MIN('06_Secuencia_Optima'!$G$32,MAX(0,'07_Calendario'!$G$75-'06_Secuencia_Optima'!$L$32-'06_Secuencia_Optima'!$AB$32)*'06_Secuencia_Optima'!$H$32/480),6)))</f>
        <v>0</v>
      </c>
      <c r="BW13" s="51">
        <f>IF('07_Calendario'!$E$76=0,"",INT(ROUND(MIN('06_Secuencia_Optima'!$G$32,MAX(0,'07_Calendario'!$H$76-'06_Secuencia_Optima'!$L$32-'06_Secuencia_Optima'!$AB$32)*'06_Secuencia_Optima'!$H$32/480),6))-INT(ROUND(MIN('06_Secuencia_Optima'!$G$32,MAX(0,'07_Calendario'!$G$76-'06_Secuencia_Optima'!$L$32-'06_Secuencia_Optima'!$AB$32)*'06_Secuencia_Optima'!$H$32/480),6)))</f>
        <v>0</v>
      </c>
      <c r="BX13" s="51">
        <f>IF('07_Calendario'!$E$77=0,"",INT(ROUND(MIN('06_Secuencia_Optima'!$G$32,MAX(0,'07_Calendario'!$H$77-'06_Secuencia_Optima'!$L$32-'06_Secuencia_Optima'!$AB$32)*'06_Secuencia_Optima'!$H$32/480),6))-INT(ROUND(MIN('06_Secuencia_Optima'!$G$32,MAX(0,'07_Calendario'!$G$77-'06_Secuencia_Optima'!$L$32-'06_Secuencia_Optima'!$AB$32)*'06_Secuencia_Optima'!$H$32/480),6)))</f>
        <v>0</v>
      </c>
      <c r="BY13" s="51">
        <f>IF('07_Calendario'!$E$78=0,"",INT(ROUND(MIN('06_Secuencia_Optima'!$G$32,MAX(0,'07_Calendario'!$H$78-'06_Secuencia_Optima'!$L$32-'06_Secuencia_Optima'!$AB$32)*'06_Secuencia_Optima'!$H$32/480),6))-INT(ROUND(MIN('06_Secuencia_Optima'!$G$32,MAX(0,'07_Calendario'!$G$78-'06_Secuencia_Optima'!$L$32-'06_Secuencia_Optima'!$AB$32)*'06_Secuencia_Optima'!$H$32/480),6)))</f>
        <v>0</v>
      </c>
      <c r="BZ13" s="51">
        <f>IF('07_Calendario'!$E$79=0,"",INT(ROUND(MIN('06_Secuencia_Optima'!$G$32,MAX(0,'07_Calendario'!$H$79-'06_Secuencia_Optima'!$L$32-'06_Secuencia_Optima'!$AB$32)*'06_Secuencia_Optima'!$H$32/480),6))-INT(ROUND(MIN('06_Secuencia_Optima'!$G$32,MAX(0,'07_Calendario'!$G$79-'06_Secuencia_Optima'!$L$32-'06_Secuencia_Optima'!$AB$32)*'06_Secuencia_Optima'!$H$32/480),6)))</f>
        <v>0</v>
      </c>
      <c r="CA13" s="51">
        <f>IF('07_Calendario'!$E$80=0,"",INT(ROUND(MIN('06_Secuencia_Optima'!$G$32,MAX(0,'07_Calendario'!$H$80-'06_Secuencia_Optima'!$L$32-'06_Secuencia_Optima'!$AB$32)*'06_Secuencia_Optima'!$H$32/480),6))-INT(ROUND(MIN('06_Secuencia_Optima'!$G$32,MAX(0,'07_Calendario'!$G$80-'06_Secuencia_Optima'!$L$32-'06_Secuencia_Optima'!$AB$32)*'06_Secuencia_Optima'!$H$32/480),6)))</f>
        <v>0</v>
      </c>
      <c r="CB13" s="51">
        <f>IF('07_Calendario'!$E$81=0,"",INT(ROUND(MIN('06_Secuencia_Optima'!$G$32,MAX(0,'07_Calendario'!$H$81-'06_Secuencia_Optima'!$L$32-'06_Secuencia_Optima'!$AB$32)*'06_Secuencia_Optima'!$H$32/480),6))-INT(ROUND(MIN('06_Secuencia_Optima'!$G$32,MAX(0,'07_Calendario'!$G$81-'06_Secuencia_Optima'!$L$32-'06_Secuencia_Optima'!$AB$32)*'06_Secuencia_Optima'!$H$32/480),6)))</f>
        <v>0</v>
      </c>
      <c r="CC13" s="51">
        <f>IF('07_Calendario'!$E$82=0,"",INT(ROUND(MIN('06_Secuencia_Optima'!$G$32,MAX(0,'07_Calendario'!$H$82-'06_Secuencia_Optima'!$L$32-'06_Secuencia_Optima'!$AB$32)*'06_Secuencia_Optima'!$H$32/480),6))-INT(ROUND(MIN('06_Secuencia_Optima'!$G$32,MAX(0,'07_Calendario'!$G$82-'06_Secuencia_Optima'!$L$32-'06_Secuencia_Optima'!$AB$32)*'06_Secuencia_Optima'!$H$32/480),6)))</f>
        <v>0</v>
      </c>
      <c r="CD13" s="18">
        <f t="shared" si="0"/>
        <v>2754</v>
      </c>
      <c r="CE13" s="19">
        <f>'06_Secuencia_Optima'!$G$32</f>
        <v>2754</v>
      </c>
      <c r="CF13" s="10" t="str">
        <f t="shared" si="1"/>
        <v>OK</v>
      </c>
    </row>
    <row r="14" spans="1:84" x14ac:dyDescent="0.2">
      <c r="A14" s="10">
        <f>'06_Secuencia_Optima'!$B$33</f>
        <v>6639</v>
      </c>
      <c r="B14" s="13" t="str">
        <f>'06_Secuencia_Optima'!$C$33</f>
        <v>SALSA BARBECUE (12DP/1/400g)</v>
      </c>
      <c r="C14" s="14">
        <f>'06_Secuencia_Optima'!$D$33</f>
        <v>6639</v>
      </c>
      <c r="D14" s="51">
        <f>IF('07_Calendario'!$E$5=0,"",INT(ROUND(MIN('06_Secuencia_Optima'!$G$33,MAX(0,'07_Calendario'!$H$5-'06_Secuencia_Optima'!$L$33-'06_Secuencia_Optima'!$AB$33)*'06_Secuencia_Optima'!$H$33/480),6))-INT(ROUND(MIN('06_Secuencia_Optima'!$G$33,MAX(0,'07_Calendario'!$G$5-'06_Secuencia_Optima'!$L$33-'06_Secuencia_Optima'!$AB$33)*'06_Secuencia_Optima'!$H$33/480),6)))</f>
        <v>1869</v>
      </c>
      <c r="E14" s="51">
        <f>IF('07_Calendario'!$E$6=0,"",INT(ROUND(MIN('06_Secuencia_Optima'!$G$33,MAX(0,'07_Calendario'!$H$6-'06_Secuencia_Optima'!$L$33-'06_Secuencia_Optima'!$AB$33)*'06_Secuencia_Optima'!$H$33/480),6))-INT(ROUND(MIN('06_Secuencia_Optima'!$G$33,MAX(0,'07_Calendario'!$G$6-'06_Secuencia_Optima'!$L$33-'06_Secuencia_Optima'!$AB$33)*'06_Secuencia_Optima'!$H$33/480),6)))</f>
        <v>1031</v>
      </c>
      <c r="F14" s="51">
        <f>IF('07_Calendario'!$E$7=0,"",INT(ROUND(MIN('06_Secuencia_Optima'!$G$33,MAX(0,'07_Calendario'!$H$7-'06_Secuencia_Optima'!$L$33-'06_Secuencia_Optima'!$AB$33)*'06_Secuencia_Optima'!$H$33/480),6))-INT(ROUND(MIN('06_Secuencia_Optima'!$G$33,MAX(0,'07_Calendario'!$G$7-'06_Secuencia_Optima'!$L$33-'06_Secuencia_Optima'!$AB$33)*'06_Secuencia_Optima'!$H$33/480),6)))</f>
        <v>0</v>
      </c>
      <c r="G14" s="51">
        <f>IF('07_Calendario'!$E$8=0,"",INT(ROUND(MIN('06_Secuencia_Optima'!$G$33,MAX(0,'07_Calendario'!$H$8-'06_Secuencia_Optima'!$L$33-'06_Secuencia_Optima'!$AB$33)*'06_Secuencia_Optima'!$H$33/480),6))-INT(ROUND(MIN('06_Secuencia_Optima'!$G$33,MAX(0,'07_Calendario'!$G$8-'06_Secuencia_Optima'!$L$33-'06_Secuencia_Optima'!$AB$33)*'06_Secuencia_Optima'!$H$33/480),6)))</f>
        <v>0</v>
      </c>
      <c r="H14" s="51">
        <f>IF('07_Calendario'!$E$9=0,"",INT(ROUND(MIN('06_Secuencia_Optima'!$G$33,MAX(0,'07_Calendario'!$H$9-'06_Secuencia_Optima'!$L$33-'06_Secuencia_Optima'!$AB$33)*'06_Secuencia_Optima'!$H$33/480),6))-INT(ROUND(MIN('06_Secuencia_Optima'!$G$33,MAX(0,'07_Calendario'!$G$9-'06_Secuencia_Optima'!$L$33-'06_Secuencia_Optima'!$AB$33)*'06_Secuencia_Optima'!$H$33/480),6)))</f>
        <v>0</v>
      </c>
      <c r="I14" s="51">
        <f>IF('07_Calendario'!$E$10=0,"",INT(ROUND(MIN('06_Secuencia_Optima'!$G$33,MAX(0,'07_Calendario'!$H$10-'06_Secuencia_Optima'!$L$33-'06_Secuencia_Optima'!$AB$33)*'06_Secuencia_Optima'!$H$33/480),6))-INT(ROUND(MIN('06_Secuencia_Optima'!$G$33,MAX(0,'07_Calendario'!$G$10-'06_Secuencia_Optima'!$L$33-'06_Secuencia_Optima'!$AB$33)*'06_Secuencia_Optima'!$H$33/480),6)))</f>
        <v>0</v>
      </c>
      <c r="J14" s="51">
        <f>IF('07_Calendario'!$E$11=0,"",INT(ROUND(MIN('06_Secuencia_Optima'!$G$33,MAX(0,'07_Calendario'!$H$11-'06_Secuencia_Optima'!$L$33-'06_Secuencia_Optima'!$AB$33)*'06_Secuencia_Optima'!$H$33/480),6))-INT(ROUND(MIN('06_Secuencia_Optima'!$G$33,MAX(0,'07_Calendario'!$G$11-'06_Secuencia_Optima'!$L$33-'06_Secuencia_Optima'!$AB$33)*'06_Secuencia_Optima'!$H$33/480),6)))</f>
        <v>0</v>
      </c>
      <c r="K14" s="51">
        <f>IF('07_Calendario'!$E$12=0,"",INT(ROUND(MIN('06_Secuencia_Optima'!$G$33,MAX(0,'07_Calendario'!$H$12-'06_Secuencia_Optima'!$L$33-'06_Secuencia_Optima'!$AB$33)*'06_Secuencia_Optima'!$H$33/480),6))-INT(ROUND(MIN('06_Secuencia_Optima'!$G$33,MAX(0,'07_Calendario'!$G$12-'06_Secuencia_Optima'!$L$33-'06_Secuencia_Optima'!$AB$33)*'06_Secuencia_Optima'!$H$33/480),6)))</f>
        <v>0</v>
      </c>
      <c r="L14" s="51">
        <f>IF('07_Calendario'!$E$13=0,"",INT(ROUND(MIN('06_Secuencia_Optima'!$G$33,MAX(0,'07_Calendario'!$H$13-'06_Secuencia_Optima'!$L$33-'06_Secuencia_Optima'!$AB$33)*'06_Secuencia_Optima'!$H$33/480),6))-INT(ROUND(MIN('06_Secuencia_Optima'!$G$33,MAX(0,'07_Calendario'!$G$13-'06_Secuencia_Optima'!$L$33-'06_Secuencia_Optima'!$AB$33)*'06_Secuencia_Optima'!$H$33/480),6)))</f>
        <v>0</v>
      </c>
      <c r="M14" s="51">
        <f>IF('07_Calendario'!$E$14=0,"",INT(ROUND(MIN('06_Secuencia_Optima'!$G$33,MAX(0,'07_Calendario'!$H$14-'06_Secuencia_Optima'!$L$33-'06_Secuencia_Optima'!$AB$33)*'06_Secuencia_Optima'!$H$33/480),6))-INT(ROUND(MIN('06_Secuencia_Optima'!$G$33,MAX(0,'07_Calendario'!$G$14-'06_Secuencia_Optima'!$L$33-'06_Secuencia_Optima'!$AB$33)*'06_Secuencia_Optima'!$H$33/480),6)))</f>
        <v>0</v>
      </c>
      <c r="N14" s="51">
        <f>IF('07_Calendario'!$E$15=0,"",INT(ROUND(MIN('06_Secuencia_Optima'!$G$33,MAX(0,'07_Calendario'!$H$15-'06_Secuencia_Optima'!$L$33-'06_Secuencia_Optima'!$AB$33)*'06_Secuencia_Optima'!$H$33/480),6))-INT(ROUND(MIN('06_Secuencia_Optima'!$G$33,MAX(0,'07_Calendario'!$G$15-'06_Secuencia_Optima'!$L$33-'06_Secuencia_Optima'!$AB$33)*'06_Secuencia_Optima'!$H$33/480),6)))</f>
        <v>0</v>
      </c>
      <c r="O14" s="51">
        <f>IF('07_Calendario'!$E$16=0,"",INT(ROUND(MIN('06_Secuencia_Optima'!$G$33,MAX(0,'07_Calendario'!$H$16-'06_Secuencia_Optima'!$L$33-'06_Secuencia_Optima'!$AB$33)*'06_Secuencia_Optima'!$H$33/480),6))-INT(ROUND(MIN('06_Secuencia_Optima'!$G$33,MAX(0,'07_Calendario'!$G$16-'06_Secuencia_Optima'!$L$33-'06_Secuencia_Optima'!$AB$33)*'06_Secuencia_Optima'!$H$33/480),6)))</f>
        <v>0</v>
      </c>
      <c r="P14" s="51">
        <f>IF('07_Calendario'!$E$17=0,"",INT(ROUND(MIN('06_Secuencia_Optima'!$G$33,MAX(0,'07_Calendario'!$H$17-'06_Secuencia_Optima'!$L$33-'06_Secuencia_Optima'!$AB$33)*'06_Secuencia_Optima'!$H$33/480),6))-INT(ROUND(MIN('06_Secuencia_Optima'!$G$33,MAX(0,'07_Calendario'!$G$17-'06_Secuencia_Optima'!$L$33-'06_Secuencia_Optima'!$AB$33)*'06_Secuencia_Optima'!$H$33/480),6)))</f>
        <v>0</v>
      </c>
      <c r="Q14" s="51">
        <f>IF('07_Calendario'!$E$18=0,"",INT(ROUND(MIN('06_Secuencia_Optima'!$G$33,MAX(0,'07_Calendario'!$H$18-'06_Secuencia_Optima'!$L$33-'06_Secuencia_Optima'!$AB$33)*'06_Secuencia_Optima'!$H$33/480),6))-INT(ROUND(MIN('06_Secuencia_Optima'!$G$33,MAX(0,'07_Calendario'!$G$18-'06_Secuencia_Optima'!$L$33-'06_Secuencia_Optima'!$AB$33)*'06_Secuencia_Optima'!$H$33/480),6)))</f>
        <v>0</v>
      </c>
      <c r="R14" s="51" t="str">
        <f>IF('07_Calendario'!$E$19=0,"",INT(ROUND(MIN('06_Secuencia_Optima'!$G$33,MAX(0,'07_Calendario'!$H$19-'06_Secuencia_Optima'!$L$33-'06_Secuencia_Optima'!$AB$33)*'06_Secuencia_Optima'!$H$33/480),6))-INT(ROUND(MIN('06_Secuencia_Optima'!$G$33,MAX(0,'07_Calendario'!$G$19-'06_Secuencia_Optima'!$L$33-'06_Secuencia_Optima'!$AB$33)*'06_Secuencia_Optima'!$H$33/480),6)))</f>
        <v/>
      </c>
      <c r="S14" s="51">
        <f>IF('07_Calendario'!$E$20=0,"",INT(ROUND(MIN('06_Secuencia_Optima'!$G$33,MAX(0,'07_Calendario'!$H$20-'06_Secuencia_Optima'!$L$33-'06_Secuencia_Optima'!$AB$33)*'06_Secuencia_Optima'!$H$33/480),6))-INT(ROUND(MIN('06_Secuencia_Optima'!$G$33,MAX(0,'07_Calendario'!$G$20-'06_Secuencia_Optima'!$L$33-'06_Secuencia_Optima'!$AB$33)*'06_Secuencia_Optima'!$H$33/480),6)))</f>
        <v>0</v>
      </c>
      <c r="T14" s="51">
        <f>IF('07_Calendario'!$E$21=0,"",INT(ROUND(MIN('06_Secuencia_Optima'!$G$33,MAX(0,'07_Calendario'!$H$21-'06_Secuencia_Optima'!$L$33-'06_Secuencia_Optima'!$AB$33)*'06_Secuencia_Optima'!$H$33/480),6))-INT(ROUND(MIN('06_Secuencia_Optima'!$G$33,MAX(0,'07_Calendario'!$G$21-'06_Secuencia_Optima'!$L$33-'06_Secuencia_Optima'!$AB$33)*'06_Secuencia_Optima'!$H$33/480),6)))</f>
        <v>0</v>
      </c>
      <c r="U14" s="51">
        <f>IF('07_Calendario'!$E$22=0,"",INT(ROUND(MIN('06_Secuencia_Optima'!$G$33,MAX(0,'07_Calendario'!$H$22-'06_Secuencia_Optima'!$L$33-'06_Secuencia_Optima'!$AB$33)*'06_Secuencia_Optima'!$H$33/480),6))-INT(ROUND(MIN('06_Secuencia_Optima'!$G$33,MAX(0,'07_Calendario'!$G$22-'06_Secuencia_Optima'!$L$33-'06_Secuencia_Optima'!$AB$33)*'06_Secuencia_Optima'!$H$33/480),6)))</f>
        <v>0</v>
      </c>
      <c r="V14" s="51">
        <f>IF('07_Calendario'!$E$23=0,"",INT(ROUND(MIN('06_Secuencia_Optima'!$G$33,MAX(0,'07_Calendario'!$H$23-'06_Secuencia_Optima'!$L$33-'06_Secuencia_Optima'!$AB$33)*'06_Secuencia_Optima'!$H$33/480),6))-INT(ROUND(MIN('06_Secuencia_Optima'!$G$33,MAX(0,'07_Calendario'!$G$23-'06_Secuencia_Optima'!$L$33-'06_Secuencia_Optima'!$AB$33)*'06_Secuencia_Optima'!$H$33/480),6)))</f>
        <v>0</v>
      </c>
      <c r="W14" s="51">
        <f>IF('07_Calendario'!$E$24=0,"",INT(ROUND(MIN('06_Secuencia_Optima'!$G$33,MAX(0,'07_Calendario'!$H$24-'06_Secuencia_Optima'!$L$33-'06_Secuencia_Optima'!$AB$33)*'06_Secuencia_Optima'!$H$33/480),6))-INT(ROUND(MIN('06_Secuencia_Optima'!$G$33,MAX(0,'07_Calendario'!$G$24-'06_Secuencia_Optima'!$L$33-'06_Secuencia_Optima'!$AB$33)*'06_Secuencia_Optima'!$H$33/480),6)))</f>
        <v>0</v>
      </c>
      <c r="X14" s="51">
        <f>IF('07_Calendario'!$E$25=0,"",INT(ROUND(MIN('06_Secuencia_Optima'!$G$33,MAX(0,'07_Calendario'!$H$25-'06_Secuencia_Optima'!$L$33-'06_Secuencia_Optima'!$AB$33)*'06_Secuencia_Optima'!$H$33/480),6))-INT(ROUND(MIN('06_Secuencia_Optima'!$G$33,MAX(0,'07_Calendario'!$G$25-'06_Secuencia_Optima'!$L$33-'06_Secuencia_Optima'!$AB$33)*'06_Secuencia_Optima'!$H$33/480),6)))</f>
        <v>0</v>
      </c>
      <c r="Y14" s="51">
        <f>IF('07_Calendario'!$E$26=0,"",INT(ROUND(MIN('06_Secuencia_Optima'!$G$33,MAX(0,'07_Calendario'!$H$26-'06_Secuencia_Optima'!$L$33-'06_Secuencia_Optima'!$AB$33)*'06_Secuencia_Optima'!$H$33/480),6))-INT(ROUND(MIN('06_Secuencia_Optima'!$G$33,MAX(0,'07_Calendario'!$G$26-'06_Secuencia_Optima'!$L$33-'06_Secuencia_Optima'!$AB$33)*'06_Secuencia_Optima'!$H$33/480),6)))</f>
        <v>0</v>
      </c>
      <c r="Z14" s="51">
        <f>IF('07_Calendario'!$E$27=0,"",INT(ROUND(MIN('06_Secuencia_Optima'!$G$33,MAX(0,'07_Calendario'!$H$27-'06_Secuencia_Optima'!$L$33-'06_Secuencia_Optima'!$AB$33)*'06_Secuencia_Optima'!$H$33/480),6))-INT(ROUND(MIN('06_Secuencia_Optima'!$G$33,MAX(0,'07_Calendario'!$G$27-'06_Secuencia_Optima'!$L$33-'06_Secuencia_Optima'!$AB$33)*'06_Secuencia_Optima'!$H$33/480),6)))</f>
        <v>0</v>
      </c>
      <c r="AA14" s="51">
        <f>IF('07_Calendario'!$E$28=0,"",INT(ROUND(MIN('06_Secuencia_Optima'!$G$33,MAX(0,'07_Calendario'!$H$28-'06_Secuencia_Optima'!$L$33-'06_Secuencia_Optima'!$AB$33)*'06_Secuencia_Optima'!$H$33/480),6))-INT(ROUND(MIN('06_Secuencia_Optima'!$G$33,MAX(0,'07_Calendario'!$G$28-'06_Secuencia_Optima'!$L$33-'06_Secuencia_Optima'!$AB$33)*'06_Secuencia_Optima'!$H$33/480),6)))</f>
        <v>0</v>
      </c>
      <c r="AB14" s="51">
        <f>IF('07_Calendario'!$E$29=0,"",INT(ROUND(MIN('06_Secuencia_Optima'!$G$33,MAX(0,'07_Calendario'!$H$29-'06_Secuencia_Optima'!$L$33-'06_Secuencia_Optima'!$AB$33)*'06_Secuencia_Optima'!$H$33/480),6))-INT(ROUND(MIN('06_Secuencia_Optima'!$G$33,MAX(0,'07_Calendario'!$G$29-'06_Secuencia_Optima'!$L$33-'06_Secuencia_Optima'!$AB$33)*'06_Secuencia_Optima'!$H$33/480),6)))</f>
        <v>0</v>
      </c>
      <c r="AC14" s="51">
        <f>IF('07_Calendario'!$E$30=0,"",INT(ROUND(MIN('06_Secuencia_Optima'!$G$33,MAX(0,'07_Calendario'!$H$30-'06_Secuencia_Optima'!$L$33-'06_Secuencia_Optima'!$AB$33)*'06_Secuencia_Optima'!$H$33/480),6))-INT(ROUND(MIN('06_Secuencia_Optima'!$G$33,MAX(0,'07_Calendario'!$G$30-'06_Secuencia_Optima'!$L$33-'06_Secuencia_Optima'!$AB$33)*'06_Secuencia_Optima'!$H$33/480),6)))</f>
        <v>0</v>
      </c>
      <c r="AD14" s="51">
        <f>IF('07_Calendario'!$E$31=0,"",INT(ROUND(MIN('06_Secuencia_Optima'!$G$33,MAX(0,'07_Calendario'!$H$31-'06_Secuencia_Optima'!$L$33-'06_Secuencia_Optima'!$AB$33)*'06_Secuencia_Optima'!$H$33/480),6))-INT(ROUND(MIN('06_Secuencia_Optima'!$G$33,MAX(0,'07_Calendario'!$G$31-'06_Secuencia_Optima'!$L$33-'06_Secuencia_Optima'!$AB$33)*'06_Secuencia_Optima'!$H$33/480),6)))</f>
        <v>0</v>
      </c>
      <c r="AE14" s="51">
        <f>IF('07_Calendario'!$E$32=0,"",INT(ROUND(MIN('06_Secuencia_Optima'!$G$33,MAX(0,'07_Calendario'!$H$32-'06_Secuencia_Optima'!$L$33-'06_Secuencia_Optima'!$AB$33)*'06_Secuencia_Optima'!$H$33/480),6))-INT(ROUND(MIN('06_Secuencia_Optima'!$G$33,MAX(0,'07_Calendario'!$G$32-'06_Secuencia_Optima'!$L$33-'06_Secuencia_Optima'!$AB$33)*'06_Secuencia_Optima'!$H$33/480),6)))</f>
        <v>0</v>
      </c>
      <c r="AF14" s="51">
        <f>IF('07_Calendario'!$E$33=0,"",INT(ROUND(MIN('06_Secuencia_Optima'!$G$33,MAX(0,'07_Calendario'!$H$33-'06_Secuencia_Optima'!$L$33-'06_Secuencia_Optima'!$AB$33)*'06_Secuencia_Optima'!$H$33/480),6))-INT(ROUND(MIN('06_Secuencia_Optima'!$G$33,MAX(0,'07_Calendario'!$G$33-'06_Secuencia_Optima'!$L$33-'06_Secuencia_Optima'!$AB$33)*'06_Secuencia_Optima'!$H$33/480),6)))</f>
        <v>0</v>
      </c>
      <c r="AG14" s="51">
        <f>IF('07_Calendario'!$E$34=0,"",INT(ROUND(MIN('06_Secuencia_Optima'!$G$33,MAX(0,'07_Calendario'!$H$34-'06_Secuencia_Optima'!$L$33-'06_Secuencia_Optima'!$AB$33)*'06_Secuencia_Optima'!$H$33/480),6))-INT(ROUND(MIN('06_Secuencia_Optima'!$G$33,MAX(0,'07_Calendario'!$G$34-'06_Secuencia_Optima'!$L$33-'06_Secuencia_Optima'!$AB$33)*'06_Secuencia_Optima'!$H$33/480),6)))</f>
        <v>0</v>
      </c>
      <c r="AH14" s="51">
        <f>IF('07_Calendario'!$E$35=0,"",INT(ROUND(MIN('06_Secuencia_Optima'!$G$33,MAX(0,'07_Calendario'!$H$35-'06_Secuencia_Optima'!$L$33-'06_Secuencia_Optima'!$AB$33)*'06_Secuencia_Optima'!$H$33/480),6))-INT(ROUND(MIN('06_Secuencia_Optima'!$G$33,MAX(0,'07_Calendario'!$G$35-'06_Secuencia_Optima'!$L$33-'06_Secuencia_Optima'!$AB$33)*'06_Secuencia_Optima'!$H$33/480),6)))</f>
        <v>0</v>
      </c>
      <c r="AI14" s="51">
        <f>IF('07_Calendario'!$E$36=0,"",INT(ROUND(MIN('06_Secuencia_Optima'!$G$33,MAX(0,'07_Calendario'!$H$36-'06_Secuencia_Optima'!$L$33-'06_Secuencia_Optima'!$AB$33)*'06_Secuencia_Optima'!$H$33/480),6))-INT(ROUND(MIN('06_Secuencia_Optima'!$G$33,MAX(0,'07_Calendario'!$G$36-'06_Secuencia_Optima'!$L$33-'06_Secuencia_Optima'!$AB$33)*'06_Secuencia_Optima'!$H$33/480),6)))</f>
        <v>0</v>
      </c>
      <c r="AJ14" s="51" t="str">
        <f>IF('07_Calendario'!$E$37=0,"",INT(ROUND(MIN('06_Secuencia_Optima'!$G$33,MAX(0,'07_Calendario'!$H$37-'06_Secuencia_Optima'!$L$33-'06_Secuencia_Optima'!$AB$33)*'06_Secuencia_Optima'!$H$33/480),6))-INT(ROUND(MIN('06_Secuencia_Optima'!$G$33,MAX(0,'07_Calendario'!$G$37-'06_Secuencia_Optima'!$L$33-'06_Secuencia_Optima'!$AB$33)*'06_Secuencia_Optima'!$H$33/480),6)))</f>
        <v/>
      </c>
      <c r="AK14" s="51">
        <f>IF('07_Calendario'!$E$38=0,"",INT(ROUND(MIN('06_Secuencia_Optima'!$G$33,MAX(0,'07_Calendario'!$H$38-'06_Secuencia_Optima'!$L$33-'06_Secuencia_Optima'!$AB$33)*'06_Secuencia_Optima'!$H$33/480),6))-INT(ROUND(MIN('06_Secuencia_Optima'!$G$33,MAX(0,'07_Calendario'!$G$38-'06_Secuencia_Optima'!$L$33-'06_Secuencia_Optima'!$AB$33)*'06_Secuencia_Optima'!$H$33/480),6)))</f>
        <v>0</v>
      </c>
      <c r="AL14" s="51">
        <f>IF('07_Calendario'!$E$39=0,"",INT(ROUND(MIN('06_Secuencia_Optima'!$G$33,MAX(0,'07_Calendario'!$H$39-'06_Secuencia_Optima'!$L$33-'06_Secuencia_Optima'!$AB$33)*'06_Secuencia_Optima'!$H$33/480),6))-INT(ROUND(MIN('06_Secuencia_Optima'!$G$33,MAX(0,'07_Calendario'!$G$39-'06_Secuencia_Optima'!$L$33-'06_Secuencia_Optima'!$AB$33)*'06_Secuencia_Optima'!$H$33/480),6)))</f>
        <v>0</v>
      </c>
      <c r="AM14" s="51">
        <f>IF('07_Calendario'!$E$40=0,"",INT(ROUND(MIN('06_Secuencia_Optima'!$G$33,MAX(0,'07_Calendario'!$H$40-'06_Secuencia_Optima'!$L$33-'06_Secuencia_Optima'!$AB$33)*'06_Secuencia_Optima'!$H$33/480),6))-INT(ROUND(MIN('06_Secuencia_Optima'!$G$33,MAX(0,'07_Calendario'!$G$40-'06_Secuencia_Optima'!$L$33-'06_Secuencia_Optima'!$AB$33)*'06_Secuencia_Optima'!$H$33/480),6)))</f>
        <v>0</v>
      </c>
      <c r="AN14" s="51">
        <f>IF('07_Calendario'!$E$41=0,"",INT(ROUND(MIN('06_Secuencia_Optima'!$G$33,MAX(0,'07_Calendario'!$H$41-'06_Secuencia_Optima'!$L$33-'06_Secuencia_Optima'!$AB$33)*'06_Secuencia_Optima'!$H$33/480),6))-INT(ROUND(MIN('06_Secuencia_Optima'!$G$33,MAX(0,'07_Calendario'!$G$41-'06_Secuencia_Optima'!$L$33-'06_Secuencia_Optima'!$AB$33)*'06_Secuencia_Optima'!$H$33/480),6)))</f>
        <v>0</v>
      </c>
      <c r="AO14" s="51">
        <f>IF('07_Calendario'!$E$42=0,"",INT(ROUND(MIN('06_Secuencia_Optima'!$G$33,MAX(0,'07_Calendario'!$H$42-'06_Secuencia_Optima'!$L$33-'06_Secuencia_Optima'!$AB$33)*'06_Secuencia_Optima'!$H$33/480),6))-INT(ROUND(MIN('06_Secuencia_Optima'!$G$33,MAX(0,'07_Calendario'!$G$42-'06_Secuencia_Optima'!$L$33-'06_Secuencia_Optima'!$AB$33)*'06_Secuencia_Optima'!$H$33/480),6)))</f>
        <v>0</v>
      </c>
      <c r="AP14" s="51">
        <f>IF('07_Calendario'!$E$43=0,"",INT(ROUND(MIN('06_Secuencia_Optima'!$G$33,MAX(0,'07_Calendario'!$H$43-'06_Secuencia_Optima'!$L$33-'06_Secuencia_Optima'!$AB$33)*'06_Secuencia_Optima'!$H$33/480),6))-INT(ROUND(MIN('06_Secuencia_Optima'!$G$33,MAX(0,'07_Calendario'!$G$43-'06_Secuencia_Optima'!$L$33-'06_Secuencia_Optima'!$AB$33)*'06_Secuencia_Optima'!$H$33/480),6)))</f>
        <v>0</v>
      </c>
      <c r="AQ14" s="51">
        <f>IF('07_Calendario'!$E$44=0,"",INT(ROUND(MIN('06_Secuencia_Optima'!$G$33,MAX(0,'07_Calendario'!$H$44-'06_Secuencia_Optima'!$L$33-'06_Secuencia_Optima'!$AB$33)*'06_Secuencia_Optima'!$H$33/480),6))-INT(ROUND(MIN('06_Secuencia_Optima'!$G$33,MAX(0,'07_Calendario'!$G$44-'06_Secuencia_Optima'!$L$33-'06_Secuencia_Optima'!$AB$33)*'06_Secuencia_Optima'!$H$33/480),6)))</f>
        <v>0</v>
      </c>
      <c r="AR14" s="51">
        <f>IF('07_Calendario'!$E$45=0,"",INT(ROUND(MIN('06_Secuencia_Optima'!$G$33,MAX(0,'07_Calendario'!$H$45-'06_Secuencia_Optima'!$L$33-'06_Secuencia_Optima'!$AB$33)*'06_Secuencia_Optima'!$H$33/480),6))-INT(ROUND(MIN('06_Secuencia_Optima'!$G$33,MAX(0,'07_Calendario'!$G$45-'06_Secuencia_Optima'!$L$33-'06_Secuencia_Optima'!$AB$33)*'06_Secuencia_Optima'!$H$33/480),6)))</f>
        <v>0</v>
      </c>
      <c r="AS14" s="51">
        <f>IF('07_Calendario'!$E$46=0,"",INT(ROUND(MIN('06_Secuencia_Optima'!$G$33,MAX(0,'07_Calendario'!$H$46-'06_Secuencia_Optima'!$L$33-'06_Secuencia_Optima'!$AB$33)*'06_Secuencia_Optima'!$H$33/480),6))-INT(ROUND(MIN('06_Secuencia_Optima'!$G$33,MAX(0,'07_Calendario'!$G$46-'06_Secuencia_Optima'!$L$33-'06_Secuencia_Optima'!$AB$33)*'06_Secuencia_Optima'!$H$33/480),6)))</f>
        <v>0</v>
      </c>
      <c r="AT14" s="51">
        <f>IF('07_Calendario'!$E$47=0,"",INT(ROUND(MIN('06_Secuencia_Optima'!$G$33,MAX(0,'07_Calendario'!$H$47-'06_Secuencia_Optima'!$L$33-'06_Secuencia_Optima'!$AB$33)*'06_Secuencia_Optima'!$H$33/480),6))-INT(ROUND(MIN('06_Secuencia_Optima'!$G$33,MAX(0,'07_Calendario'!$G$47-'06_Secuencia_Optima'!$L$33-'06_Secuencia_Optima'!$AB$33)*'06_Secuencia_Optima'!$H$33/480),6)))</f>
        <v>0</v>
      </c>
      <c r="AU14" s="51">
        <f>IF('07_Calendario'!$E$48=0,"",INT(ROUND(MIN('06_Secuencia_Optima'!$G$33,MAX(0,'07_Calendario'!$H$48-'06_Secuencia_Optima'!$L$33-'06_Secuencia_Optima'!$AB$33)*'06_Secuencia_Optima'!$H$33/480),6))-INT(ROUND(MIN('06_Secuencia_Optima'!$G$33,MAX(0,'07_Calendario'!$G$48-'06_Secuencia_Optima'!$L$33-'06_Secuencia_Optima'!$AB$33)*'06_Secuencia_Optima'!$H$33/480),6)))</f>
        <v>0</v>
      </c>
      <c r="AV14" s="51">
        <f>IF('07_Calendario'!$E$49=0,"",INT(ROUND(MIN('06_Secuencia_Optima'!$G$33,MAX(0,'07_Calendario'!$H$49-'06_Secuencia_Optima'!$L$33-'06_Secuencia_Optima'!$AB$33)*'06_Secuencia_Optima'!$H$33/480),6))-INT(ROUND(MIN('06_Secuencia_Optima'!$G$33,MAX(0,'07_Calendario'!$G$49-'06_Secuencia_Optima'!$L$33-'06_Secuencia_Optima'!$AB$33)*'06_Secuencia_Optima'!$H$33/480),6)))</f>
        <v>0</v>
      </c>
      <c r="AW14" s="51">
        <f>IF('07_Calendario'!$E$50=0,"",INT(ROUND(MIN('06_Secuencia_Optima'!$G$33,MAX(0,'07_Calendario'!$H$50-'06_Secuencia_Optima'!$L$33-'06_Secuencia_Optima'!$AB$33)*'06_Secuencia_Optima'!$H$33/480),6))-INT(ROUND(MIN('06_Secuencia_Optima'!$G$33,MAX(0,'07_Calendario'!$G$50-'06_Secuencia_Optima'!$L$33-'06_Secuencia_Optima'!$AB$33)*'06_Secuencia_Optima'!$H$33/480),6)))</f>
        <v>0</v>
      </c>
      <c r="AX14" s="51">
        <f>IF('07_Calendario'!$E$51=0,"",INT(ROUND(MIN('06_Secuencia_Optima'!$G$33,MAX(0,'07_Calendario'!$H$51-'06_Secuencia_Optima'!$L$33-'06_Secuencia_Optima'!$AB$33)*'06_Secuencia_Optima'!$H$33/480),6))-INT(ROUND(MIN('06_Secuencia_Optima'!$G$33,MAX(0,'07_Calendario'!$G$51-'06_Secuencia_Optima'!$L$33-'06_Secuencia_Optima'!$AB$33)*'06_Secuencia_Optima'!$H$33/480),6)))</f>
        <v>0</v>
      </c>
      <c r="AY14" s="51">
        <f>IF('07_Calendario'!$E$52=0,"",INT(ROUND(MIN('06_Secuencia_Optima'!$G$33,MAX(0,'07_Calendario'!$H$52-'06_Secuencia_Optima'!$L$33-'06_Secuencia_Optima'!$AB$33)*'06_Secuencia_Optima'!$H$33/480),6))-INT(ROUND(MIN('06_Secuencia_Optima'!$G$33,MAX(0,'07_Calendario'!$G$52-'06_Secuencia_Optima'!$L$33-'06_Secuencia_Optima'!$AB$33)*'06_Secuencia_Optima'!$H$33/480),6)))</f>
        <v>0</v>
      </c>
      <c r="AZ14" s="51">
        <f>IF('07_Calendario'!$E$53=0,"",INT(ROUND(MIN('06_Secuencia_Optima'!$G$33,MAX(0,'07_Calendario'!$H$53-'06_Secuencia_Optima'!$L$33-'06_Secuencia_Optima'!$AB$33)*'06_Secuencia_Optima'!$H$33/480),6))-INT(ROUND(MIN('06_Secuencia_Optima'!$G$33,MAX(0,'07_Calendario'!$G$53-'06_Secuencia_Optima'!$L$33-'06_Secuencia_Optima'!$AB$33)*'06_Secuencia_Optima'!$H$33/480),6)))</f>
        <v>0</v>
      </c>
      <c r="BA14" s="51">
        <f>IF('07_Calendario'!$E$54=0,"",INT(ROUND(MIN('06_Secuencia_Optima'!$G$33,MAX(0,'07_Calendario'!$H$54-'06_Secuencia_Optima'!$L$33-'06_Secuencia_Optima'!$AB$33)*'06_Secuencia_Optima'!$H$33/480),6))-INT(ROUND(MIN('06_Secuencia_Optima'!$G$33,MAX(0,'07_Calendario'!$G$54-'06_Secuencia_Optima'!$L$33-'06_Secuencia_Optima'!$AB$33)*'06_Secuencia_Optima'!$H$33/480),6)))</f>
        <v>0</v>
      </c>
      <c r="BB14" s="51" t="str">
        <f>IF('07_Calendario'!$E$55=0,"",INT(ROUND(MIN('06_Secuencia_Optima'!$G$33,MAX(0,'07_Calendario'!$H$55-'06_Secuencia_Optima'!$L$33-'06_Secuencia_Optima'!$AB$33)*'06_Secuencia_Optima'!$H$33/480),6))-INT(ROUND(MIN('06_Secuencia_Optima'!$G$33,MAX(0,'07_Calendario'!$G$55-'06_Secuencia_Optima'!$L$33-'06_Secuencia_Optima'!$AB$33)*'06_Secuencia_Optima'!$H$33/480),6)))</f>
        <v/>
      </c>
      <c r="BC14" s="51">
        <f>IF('07_Calendario'!$E$56=0,"",INT(ROUND(MIN('06_Secuencia_Optima'!$G$33,MAX(0,'07_Calendario'!$H$56-'06_Secuencia_Optima'!$L$33-'06_Secuencia_Optima'!$AB$33)*'06_Secuencia_Optima'!$H$33/480),6))-INT(ROUND(MIN('06_Secuencia_Optima'!$G$33,MAX(0,'07_Calendario'!$G$56-'06_Secuencia_Optima'!$L$33-'06_Secuencia_Optima'!$AB$33)*'06_Secuencia_Optima'!$H$33/480),6)))</f>
        <v>0</v>
      </c>
      <c r="BD14" s="51">
        <f>IF('07_Calendario'!$E$57=0,"",INT(ROUND(MIN('06_Secuencia_Optima'!$G$33,MAX(0,'07_Calendario'!$H$57-'06_Secuencia_Optima'!$L$33-'06_Secuencia_Optima'!$AB$33)*'06_Secuencia_Optima'!$H$33/480),6))-INT(ROUND(MIN('06_Secuencia_Optima'!$G$33,MAX(0,'07_Calendario'!$G$57-'06_Secuencia_Optima'!$L$33-'06_Secuencia_Optima'!$AB$33)*'06_Secuencia_Optima'!$H$33/480),6)))</f>
        <v>0</v>
      </c>
      <c r="BE14" s="51">
        <f>IF('07_Calendario'!$E$58=0,"",INT(ROUND(MIN('06_Secuencia_Optima'!$G$33,MAX(0,'07_Calendario'!$H$58-'06_Secuencia_Optima'!$L$33-'06_Secuencia_Optima'!$AB$33)*'06_Secuencia_Optima'!$H$33/480),6))-INT(ROUND(MIN('06_Secuencia_Optima'!$G$33,MAX(0,'07_Calendario'!$G$58-'06_Secuencia_Optima'!$L$33-'06_Secuencia_Optima'!$AB$33)*'06_Secuencia_Optima'!$H$33/480),6)))</f>
        <v>0</v>
      </c>
      <c r="BF14" s="51">
        <f>IF('07_Calendario'!$E$59=0,"",INT(ROUND(MIN('06_Secuencia_Optima'!$G$33,MAX(0,'07_Calendario'!$H$59-'06_Secuencia_Optima'!$L$33-'06_Secuencia_Optima'!$AB$33)*'06_Secuencia_Optima'!$H$33/480),6))-INT(ROUND(MIN('06_Secuencia_Optima'!$G$33,MAX(0,'07_Calendario'!$G$59-'06_Secuencia_Optima'!$L$33-'06_Secuencia_Optima'!$AB$33)*'06_Secuencia_Optima'!$H$33/480),6)))</f>
        <v>0</v>
      </c>
      <c r="BG14" s="51">
        <f>IF('07_Calendario'!$E$60=0,"",INT(ROUND(MIN('06_Secuencia_Optima'!$G$33,MAX(0,'07_Calendario'!$H$60-'06_Secuencia_Optima'!$L$33-'06_Secuencia_Optima'!$AB$33)*'06_Secuencia_Optima'!$H$33/480),6))-INT(ROUND(MIN('06_Secuencia_Optima'!$G$33,MAX(0,'07_Calendario'!$G$60-'06_Secuencia_Optima'!$L$33-'06_Secuencia_Optima'!$AB$33)*'06_Secuencia_Optima'!$H$33/480),6)))</f>
        <v>0</v>
      </c>
      <c r="BH14" s="51">
        <f>IF('07_Calendario'!$E$61=0,"",INT(ROUND(MIN('06_Secuencia_Optima'!$G$33,MAX(0,'07_Calendario'!$H$61-'06_Secuencia_Optima'!$L$33-'06_Secuencia_Optima'!$AB$33)*'06_Secuencia_Optima'!$H$33/480),6))-INT(ROUND(MIN('06_Secuencia_Optima'!$G$33,MAX(0,'07_Calendario'!$G$61-'06_Secuencia_Optima'!$L$33-'06_Secuencia_Optima'!$AB$33)*'06_Secuencia_Optima'!$H$33/480),6)))</f>
        <v>0</v>
      </c>
      <c r="BI14" s="51">
        <f>IF('07_Calendario'!$E$62=0,"",INT(ROUND(MIN('06_Secuencia_Optima'!$G$33,MAX(0,'07_Calendario'!$H$62-'06_Secuencia_Optima'!$L$33-'06_Secuencia_Optima'!$AB$33)*'06_Secuencia_Optima'!$H$33/480),6))-INT(ROUND(MIN('06_Secuencia_Optima'!$G$33,MAX(0,'07_Calendario'!$G$62-'06_Secuencia_Optima'!$L$33-'06_Secuencia_Optima'!$AB$33)*'06_Secuencia_Optima'!$H$33/480),6)))</f>
        <v>0</v>
      </c>
      <c r="BJ14" s="51">
        <f>IF('07_Calendario'!$E$63=0,"",INT(ROUND(MIN('06_Secuencia_Optima'!$G$33,MAX(0,'07_Calendario'!$H$63-'06_Secuencia_Optima'!$L$33-'06_Secuencia_Optima'!$AB$33)*'06_Secuencia_Optima'!$H$33/480),6))-INT(ROUND(MIN('06_Secuencia_Optima'!$G$33,MAX(0,'07_Calendario'!$G$63-'06_Secuencia_Optima'!$L$33-'06_Secuencia_Optima'!$AB$33)*'06_Secuencia_Optima'!$H$33/480),6)))</f>
        <v>0</v>
      </c>
      <c r="BK14" s="51">
        <f>IF('07_Calendario'!$E$64=0,"",INT(ROUND(MIN('06_Secuencia_Optima'!$G$33,MAX(0,'07_Calendario'!$H$64-'06_Secuencia_Optima'!$L$33-'06_Secuencia_Optima'!$AB$33)*'06_Secuencia_Optima'!$H$33/480),6))-INT(ROUND(MIN('06_Secuencia_Optima'!$G$33,MAX(0,'07_Calendario'!$G$64-'06_Secuencia_Optima'!$L$33-'06_Secuencia_Optima'!$AB$33)*'06_Secuencia_Optima'!$H$33/480),6)))</f>
        <v>0</v>
      </c>
      <c r="BL14" s="51">
        <f>IF('07_Calendario'!$E$65=0,"",INT(ROUND(MIN('06_Secuencia_Optima'!$G$33,MAX(0,'07_Calendario'!$H$65-'06_Secuencia_Optima'!$L$33-'06_Secuencia_Optima'!$AB$33)*'06_Secuencia_Optima'!$H$33/480),6))-INT(ROUND(MIN('06_Secuencia_Optima'!$G$33,MAX(0,'07_Calendario'!$G$65-'06_Secuencia_Optima'!$L$33-'06_Secuencia_Optima'!$AB$33)*'06_Secuencia_Optima'!$H$33/480),6)))</f>
        <v>0</v>
      </c>
      <c r="BM14" s="51">
        <f>IF('07_Calendario'!$E$66=0,"",INT(ROUND(MIN('06_Secuencia_Optima'!$G$33,MAX(0,'07_Calendario'!$H$66-'06_Secuencia_Optima'!$L$33-'06_Secuencia_Optima'!$AB$33)*'06_Secuencia_Optima'!$H$33/480),6))-INT(ROUND(MIN('06_Secuencia_Optima'!$G$33,MAX(0,'07_Calendario'!$G$66-'06_Secuencia_Optima'!$L$33-'06_Secuencia_Optima'!$AB$33)*'06_Secuencia_Optima'!$H$33/480),6)))</f>
        <v>0</v>
      </c>
      <c r="BN14" s="51">
        <f>IF('07_Calendario'!$E$67=0,"",INT(ROUND(MIN('06_Secuencia_Optima'!$G$33,MAX(0,'07_Calendario'!$H$67-'06_Secuencia_Optima'!$L$33-'06_Secuencia_Optima'!$AB$33)*'06_Secuencia_Optima'!$H$33/480),6))-INT(ROUND(MIN('06_Secuencia_Optima'!$G$33,MAX(0,'07_Calendario'!$G$67-'06_Secuencia_Optima'!$L$33-'06_Secuencia_Optima'!$AB$33)*'06_Secuencia_Optima'!$H$33/480),6)))</f>
        <v>0</v>
      </c>
      <c r="BO14" s="51">
        <f>IF('07_Calendario'!$E$68=0,"",INT(ROUND(MIN('06_Secuencia_Optima'!$G$33,MAX(0,'07_Calendario'!$H$68-'06_Secuencia_Optima'!$L$33-'06_Secuencia_Optima'!$AB$33)*'06_Secuencia_Optima'!$H$33/480),6))-INT(ROUND(MIN('06_Secuencia_Optima'!$G$33,MAX(0,'07_Calendario'!$G$68-'06_Secuencia_Optima'!$L$33-'06_Secuencia_Optima'!$AB$33)*'06_Secuencia_Optima'!$H$33/480),6)))</f>
        <v>0</v>
      </c>
      <c r="BP14" s="51">
        <f>IF('07_Calendario'!$E$69=0,"",INT(ROUND(MIN('06_Secuencia_Optima'!$G$33,MAX(0,'07_Calendario'!$H$69-'06_Secuencia_Optima'!$L$33-'06_Secuencia_Optima'!$AB$33)*'06_Secuencia_Optima'!$H$33/480),6))-INT(ROUND(MIN('06_Secuencia_Optima'!$G$33,MAX(0,'07_Calendario'!$G$69-'06_Secuencia_Optima'!$L$33-'06_Secuencia_Optima'!$AB$33)*'06_Secuencia_Optima'!$H$33/480),6)))</f>
        <v>0</v>
      </c>
      <c r="BQ14" s="51">
        <f>IF('07_Calendario'!$E$70=0,"",INT(ROUND(MIN('06_Secuencia_Optima'!$G$33,MAX(0,'07_Calendario'!$H$70-'06_Secuencia_Optima'!$L$33-'06_Secuencia_Optima'!$AB$33)*'06_Secuencia_Optima'!$H$33/480),6))-INT(ROUND(MIN('06_Secuencia_Optima'!$G$33,MAX(0,'07_Calendario'!$G$70-'06_Secuencia_Optima'!$L$33-'06_Secuencia_Optima'!$AB$33)*'06_Secuencia_Optima'!$H$33/480),6)))</f>
        <v>0</v>
      </c>
      <c r="BR14" s="51">
        <f>IF('07_Calendario'!$E$71=0,"",INT(ROUND(MIN('06_Secuencia_Optima'!$G$33,MAX(0,'07_Calendario'!$H$71-'06_Secuencia_Optima'!$L$33-'06_Secuencia_Optima'!$AB$33)*'06_Secuencia_Optima'!$H$33/480),6))-INT(ROUND(MIN('06_Secuencia_Optima'!$G$33,MAX(0,'07_Calendario'!$G$71-'06_Secuencia_Optima'!$L$33-'06_Secuencia_Optima'!$AB$33)*'06_Secuencia_Optima'!$H$33/480),6)))</f>
        <v>0</v>
      </c>
      <c r="BS14" s="51">
        <f>IF('07_Calendario'!$E$72=0,"",INT(ROUND(MIN('06_Secuencia_Optima'!$G$33,MAX(0,'07_Calendario'!$H$72-'06_Secuencia_Optima'!$L$33-'06_Secuencia_Optima'!$AB$33)*'06_Secuencia_Optima'!$H$33/480),6))-INT(ROUND(MIN('06_Secuencia_Optima'!$G$33,MAX(0,'07_Calendario'!$G$72-'06_Secuencia_Optima'!$L$33-'06_Secuencia_Optima'!$AB$33)*'06_Secuencia_Optima'!$H$33/480),6)))</f>
        <v>0</v>
      </c>
      <c r="BT14" s="51" t="str">
        <f>IF('07_Calendario'!$E$73=0,"",INT(ROUND(MIN('06_Secuencia_Optima'!$G$33,MAX(0,'07_Calendario'!$H$73-'06_Secuencia_Optima'!$L$33-'06_Secuencia_Optima'!$AB$33)*'06_Secuencia_Optima'!$H$33/480),6))-INT(ROUND(MIN('06_Secuencia_Optima'!$G$33,MAX(0,'07_Calendario'!$G$73-'06_Secuencia_Optima'!$L$33-'06_Secuencia_Optima'!$AB$33)*'06_Secuencia_Optima'!$H$33/480),6)))</f>
        <v/>
      </c>
      <c r="BU14" s="51">
        <f>IF('07_Calendario'!$E$74=0,"",INT(ROUND(MIN('06_Secuencia_Optima'!$G$33,MAX(0,'07_Calendario'!$H$74-'06_Secuencia_Optima'!$L$33-'06_Secuencia_Optima'!$AB$33)*'06_Secuencia_Optima'!$H$33/480),6))-INT(ROUND(MIN('06_Secuencia_Optima'!$G$33,MAX(0,'07_Calendario'!$G$74-'06_Secuencia_Optima'!$L$33-'06_Secuencia_Optima'!$AB$33)*'06_Secuencia_Optima'!$H$33/480),6)))</f>
        <v>0</v>
      </c>
      <c r="BV14" s="51">
        <f>IF('07_Calendario'!$E$75=0,"",INT(ROUND(MIN('06_Secuencia_Optima'!$G$33,MAX(0,'07_Calendario'!$H$75-'06_Secuencia_Optima'!$L$33-'06_Secuencia_Optima'!$AB$33)*'06_Secuencia_Optima'!$H$33/480),6))-INT(ROUND(MIN('06_Secuencia_Optima'!$G$33,MAX(0,'07_Calendario'!$G$75-'06_Secuencia_Optima'!$L$33-'06_Secuencia_Optima'!$AB$33)*'06_Secuencia_Optima'!$H$33/480),6)))</f>
        <v>0</v>
      </c>
      <c r="BW14" s="51">
        <f>IF('07_Calendario'!$E$76=0,"",INT(ROUND(MIN('06_Secuencia_Optima'!$G$33,MAX(0,'07_Calendario'!$H$76-'06_Secuencia_Optima'!$L$33-'06_Secuencia_Optima'!$AB$33)*'06_Secuencia_Optima'!$H$33/480),6))-INT(ROUND(MIN('06_Secuencia_Optima'!$G$33,MAX(0,'07_Calendario'!$G$76-'06_Secuencia_Optima'!$L$33-'06_Secuencia_Optima'!$AB$33)*'06_Secuencia_Optima'!$H$33/480),6)))</f>
        <v>0</v>
      </c>
      <c r="BX14" s="51">
        <f>IF('07_Calendario'!$E$77=0,"",INT(ROUND(MIN('06_Secuencia_Optima'!$G$33,MAX(0,'07_Calendario'!$H$77-'06_Secuencia_Optima'!$L$33-'06_Secuencia_Optima'!$AB$33)*'06_Secuencia_Optima'!$H$33/480),6))-INT(ROUND(MIN('06_Secuencia_Optima'!$G$33,MAX(0,'07_Calendario'!$G$77-'06_Secuencia_Optima'!$L$33-'06_Secuencia_Optima'!$AB$33)*'06_Secuencia_Optima'!$H$33/480),6)))</f>
        <v>0</v>
      </c>
      <c r="BY14" s="51">
        <f>IF('07_Calendario'!$E$78=0,"",INT(ROUND(MIN('06_Secuencia_Optima'!$G$33,MAX(0,'07_Calendario'!$H$78-'06_Secuencia_Optima'!$L$33-'06_Secuencia_Optima'!$AB$33)*'06_Secuencia_Optima'!$H$33/480),6))-INT(ROUND(MIN('06_Secuencia_Optima'!$G$33,MAX(0,'07_Calendario'!$G$78-'06_Secuencia_Optima'!$L$33-'06_Secuencia_Optima'!$AB$33)*'06_Secuencia_Optima'!$H$33/480),6)))</f>
        <v>0</v>
      </c>
      <c r="BZ14" s="51">
        <f>IF('07_Calendario'!$E$79=0,"",INT(ROUND(MIN('06_Secuencia_Optima'!$G$33,MAX(0,'07_Calendario'!$H$79-'06_Secuencia_Optima'!$L$33-'06_Secuencia_Optima'!$AB$33)*'06_Secuencia_Optima'!$H$33/480),6))-INT(ROUND(MIN('06_Secuencia_Optima'!$G$33,MAX(0,'07_Calendario'!$G$79-'06_Secuencia_Optima'!$L$33-'06_Secuencia_Optima'!$AB$33)*'06_Secuencia_Optima'!$H$33/480),6)))</f>
        <v>0</v>
      </c>
      <c r="CA14" s="51">
        <f>IF('07_Calendario'!$E$80=0,"",INT(ROUND(MIN('06_Secuencia_Optima'!$G$33,MAX(0,'07_Calendario'!$H$80-'06_Secuencia_Optima'!$L$33-'06_Secuencia_Optima'!$AB$33)*'06_Secuencia_Optima'!$H$33/480),6))-INT(ROUND(MIN('06_Secuencia_Optima'!$G$33,MAX(0,'07_Calendario'!$G$80-'06_Secuencia_Optima'!$L$33-'06_Secuencia_Optima'!$AB$33)*'06_Secuencia_Optima'!$H$33/480),6)))</f>
        <v>0</v>
      </c>
      <c r="CB14" s="51">
        <f>IF('07_Calendario'!$E$81=0,"",INT(ROUND(MIN('06_Secuencia_Optima'!$G$33,MAX(0,'07_Calendario'!$H$81-'06_Secuencia_Optima'!$L$33-'06_Secuencia_Optima'!$AB$33)*'06_Secuencia_Optima'!$H$33/480),6))-INT(ROUND(MIN('06_Secuencia_Optima'!$G$33,MAX(0,'07_Calendario'!$G$81-'06_Secuencia_Optima'!$L$33-'06_Secuencia_Optima'!$AB$33)*'06_Secuencia_Optima'!$H$33/480),6)))</f>
        <v>0</v>
      </c>
      <c r="CC14" s="51">
        <f>IF('07_Calendario'!$E$82=0,"",INT(ROUND(MIN('06_Secuencia_Optima'!$G$33,MAX(0,'07_Calendario'!$H$82-'06_Secuencia_Optima'!$L$33-'06_Secuencia_Optima'!$AB$33)*'06_Secuencia_Optima'!$H$33/480),6))-INT(ROUND(MIN('06_Secuencia_Optima'!$G$33,MAX(0,'07_Calendario'!$G$82-'06_Secuencia_Optima'!$L$33-'06_Secuencia_Optima'!$AB$33)*'06_Secuencia_Optima'!$H$33/480),6)))</f>
        <v>0</v>
      </c>
      <c r="CD14" s="18">
        <f t="shared" si="0"/>
        <v>2900</v>
      </c>
      <c r="CE14" s="19">
        <f>'06_Secuencia_Optima'!$G$33</f>
        <v>2900</v>
      </c>
      <c r="CF14" s="10" t="str">
        <f t="shared" si="1"/>
        <v>OK</v>
      </c>
    </row>
    <row r="15" spans="1:84" x14ac:dyDescent="0.2">
      <c r="A15" s="10">
        <f>'06_Secuencia_Optima'!$B$34</f>
        <v>3278</v>
      </c>
      <c r="B15" s="13" t="str">
        <f>'06_Secuencia_Optima'!$C$34</f>
        <v>SALSA MAYONESA (12DP/1/380g)</v>
      </c>
      <c r="C15" s="14">
        <f>'06_Secuencia_Optima'!$D$34</f>
        <v>3278</v>
      </c>
      <c r="D15" s="51">
        <f>IF('07_Calendario'!$E$5=0,"",INT(ROUND(MIN('06_Secuencia_Optima'!$G$34,MAX(0,'07_Calendario'!$H$5-'06_Secuencia_Optima'!$L$34-'06_Secuencia_Optima'!$AB$34)*'06_Secuencia_Optima'!$H$34/480),6))-INT(ROUND(MIN('06_Secuencia_Optima'!$G$34,MAX(0,'07_Calendario'!$G$5-'06_Secuencia_Optima'!$L$34-'06_Secuencia_Optima'!$AB$34)*'06_Secuencia_Optima'!$H$34/480),6)))</f>
        <v>1845</v>
      </c>
      <c r="E15" s="51">
        <f>IF('07_Calendario'!$E$6=0,"",INT(ROUND(MIN('06_Secuencia_Optima'!$G$34,MAX(0,'07_Calendario'!$H$6-'06_Secuencia_Optima'!$L$34-'06_Secuencia_Optima'!$AB$34)*'06_Secuencia_Optima'!$H$34/480),6))-INT(ROUND(MIN('06_Secuencia_Optima'!$G$34,MAX(0,'07_Calendario'!$G$6-'06_Secuencia_Optima'!$L$34-'06_Secuencia_Optima'!$AB$34)*'06_Secuencia_Optima'!$H$34/480),6)))</f>
        <v>2460</v>
      </c>
      <c r="F15" s="51">
        <f>IF('07_Calendario'!$E$7=0,"",INT(ROUND(MIN('06_Secuencia_Optima'!$G$34,MAX(0,'07_Calendario'!$H$7-'06_Secuencia_Optima'!$L$34-'06_Secuencia_Optima'!$AB$34)*'06_Secuencia_Optima'!$H$34/480),6))-INT(ROUND(MIN('06_Secuencia_Optima'!$G$34,MAX(0,'07_Calendario'!$G$7-'06_Secuencia_Optima'!$L$34-'06_Secuencia_Optima'!$AB$34)*'06_Secuencia_Optima'!$H$34/480),6)))</f>
        <v>1901</v>
      </c>
      <c r="G15" s="51">
        <f>IF('07_Calendario'!$E$8=0,"",INT(ROUND(MIN('06_Secuencia_Optima'!$G$34,MAX(0,'07_Calendario'!$H$8-'06_Secuencia_Optima'!$L$34-'06_Secuencia_Optima'!$AB$34)*'06_Secuencia_Optima'!$H$34/480),6))-INT(ROUND(MIN('06_Secuencia_Optima'!$G$34,MAX(0,'07_Calendario'!$G$8-'06_Secuencia_Optima'!$L$34-'06_Secuencia_Optima'!$AB$34)*'06_Secuencia_Optima'!$H$34/480),6)))</f>
        <v>0</v>
      </c>
      <c r="H15" s="51">
        <f>IF('07_Calendario'!$E$9=0,"",INT(ROUND(MIN('06_Secuencia_Optima'!$G$34,MAX(0,'07_Calendario'!$H$9-'06_Secuencia_Optima'!$L$34-'06_Secuencia_Optima'!$AB$34)*'06_Secuencia_Optima'!$H$34/480),6))-INT(ROUND(MIN('06_Secuencia_Optima'!$G$34,MAX(0,'07_Calendario'!$G$9-'06_Secuencia_Optima'!$L$34-'06_Secuencia_Optima'!$AB$34)*'06_Secuencia_Optima'!$H$34/480),6)))</f>
        <v>0</v>
      </c>
      <c r="I15" s="51">
        <f>IF('07_Calendario'!$E$10=0,"",INT(ROUND(MIN('06_Secuencia_Optima'!$G$34,MAX(0,'07_Calendario'!$H$10-'06_Secuencia_Optima'!$L$34-'06_Secuencia_Optima'!$AB$34)*'06_Secuencia_Optima'!$H$34/480),6))-INT(ROUND(MIN('06_Secuencia_Optima'!$G$34,MAX(0,'07_Calendario'!$G$10-'06_Secuencia_Optima'!$L$34-'06_Secuencia_Optima'!$AB$34)*'06_Secuencia_Optima'!$H$34/480),6)))</f>
        <v>0</v>
      </c>
      <c r="J15" s="51">
        <f>IF('07_Calendario'!$E$11=0,"",INT(ROUND(MIN('06_Secuencia_Optima'!$G$34,MAX(0,'07_Calendario'!$H$11-'06_Secuencia_Optima'!$L$34-'06_Secuencia_Optima'!$AB$34)*'06_Secuencia_Optima'!$H$34/480),6))-INT(ROUND(MIN('06_Secuencia_Optima'!$G$34,MAX(0,'07_Calendario'!$G$11-'06_Secuencia_Optima'!$L$34-'06_Secuencia_Optima'!$AB$34)*'06_Secuencia_Optima'!$H$34/480),6)))</f>
        <v>0</v>
      </c>
      <c r="K15" s="51">
        <f>IF('07_Calendario'!$E$12=0,"",INT(ROUND(MIN('06_Secuencia_Optima'!$G$34,MAX(0,'07_Calendario'!$H$12-'06_Secuencia_Optima'!$L$34-'06_Secuencia_Optima'!$AB$34)*'06_Secuencia_Optima'!$H$34/480),6))-INT(ROUND(MIN('06_Secuencia_Optima'!$G$34,MAX(0,'07_Calendario'!$G$12-'06_Secuencia_Optima'!$L$34-'06_Secuencia_Optima'!$AB$34)*'06_Secuencia_Optima'!$H$34/480),6)))</f>
        <v>0</v>
      </c>
      <c r="L15" s="51">
        <f>IF('07_Calendario'!$E$13=0,"",INT(ROUND(MIN('06_Secuencia_Optima'!$G$34,MAX(0,'07_Calendario'!$H$13-'06_Secuencia_Optima'!$L$34-'06_Secuencia_Optima'!$AB$34)*'06_Secuencia_Optima'!$H$34/480),6))-INT(ROUND(MIN('06_Secuencia_Optima'!$G$34,MAX(0,'07_Calendario'!$G$13-'06_Secuencia_Optima'!$L$34-'06_Secuencia_Optima'!$AB$34)*'06_Secuencia_Optima'!$H$34/480),6)))</f>
        <v>0</v>
      </c>
      <c r="M15" s="51">
        <f>IF('07_Calendario'!$E$14=0,"",INT(ROUND(MIN('06_Secuencia_Optima'!$G$34,MAX(0,'07_Calendario'!$H$14-'06_Secuencia_Optima'!$L$34-'06_Secuencia_Optima'!$AB$34)*'06_Secuencia_Optima'!$H$34/480),6))-INT(ROUND(MIN('06_Secuencia_Optima'!$G$34,MAX(0,'07_Calendario'!$G$14-'06_Secuencia_Optima'!$L$34-'06_Secuencia_Optima'!$AB$34)*'06_Secuencia_Optima'!$H$34/480),6)))</f>
        <v>0</v>
      </c>
      <c r="N15" s="51">
        <f>IF('07_Calendario'!$E$15=0,"",INT(ROUND(MIN('06_Secuencia_Optima'!$G$34,MAX(0,'07_Calendario'!$H$15-'06_Secuencia_Optima'!$L$34-'06_Secuencia_Optima'!$AB$34)*'06_Secuencia_Optima'!$H$34/480),6))-INT(ROUND(MIN('06_Secuencia_Optima'!$G$34,MAX(0,'07_Calendario'!$G$15-'06_Secuencia_Optima'!$L$34-'06_Secuencia_Optima'!$AB$34)*'06_Secuencia_Optima'!$H$34/480),6)))</f>
        <v>0</v>
      </c>
      <c r="O15" s="51">
        <f>IF('07_Calendario'!$E$16=0,"",INT(ROUND(MIN('06_Secuencia_Optima'!$G$34,MAX(0,'07_Calendario'!$H$16-'06_Secuencia_Optima'!$L$34-'06_Secuencia_Optima'!$AB$34)*'06_Secuencia_Optima'!$H$34/480),6))-INT(ROUND(MIN('06_Secuencia_Optima'!$G$34,MAX(0,'07_Calendario'!$G$16-'06_Secuencia_Optima'!$L$34-'06_Secuencia_Optima'!$AB$34)*'06_Secuencia_Optima'!$H$34/480),6)))</f>
        <v>0</v>
      </c>
      <c r="P15" s="51">
        <f>IF('07_Calendario'!$E$17=0,"",INT(ROUND(MIN('06_Secuencia_Optima'!$G$34,MAX(0,'07_Calendario'!$H$17-'06_Secuencia_Optima'!$L$34-'06_Secuencia_Optima'!$AB$34)*'06_Secuencia_Optima'!$H$34/480),6))-INT(ROUND(MIN('06_Secuencia_Optima'!$G$34,MAX(0,'07_Calendario'!$G$17-'06_Secuencia_Optima'!$L$34-'06_Secuencia_Optima'!$AB$34)*'06_Secuencia_Optima'!$H$34/480),6)))</f>
        <v>0</v>
      </c>
      <c r="Q15" s="51">
        <f>IF('07_Calendario'!$E$18=0,"",INT(ROUND(MIN('06_Secuencia_Optima'!$G$34,MAX(0,'07_Calendario'!$H$18-'06_Secuencia_Optima'!$L$34-'06_Secuencia_Optima'!$AB$34)*'06_Secuencia_Optima'!$H$34/480),6))-INT(ROUND(MIN('06_Secuencia_Optima'!$G$34,MAX(0,'07_Calendario'!$G$18-'06_Secuencia_Optima'!$L$34-'06_Secuencia_Optima'!$AB$34)*'06_Secuencia_Optima'!$H$34/480),6)))</f>
        <v>0</v>
      </c>
      <c r="R15" s="51" t="str">
        <f>IF('07_Calendario'!$E$19=0,"",INT(ROUND(MIN('06_Secuencia_Optima'!$G$34,MAX(0,'07_Calendario'!$H$19-'06_Secuencia_Optima'!$L$34-'06_Secuencia_Optima'!$AB$34)*'06_Secuencia_Optima'!$H$34/480),6))-INT(ROUND(MIN('06_Secuencia_Optima'!$G$34,MAX(0,'07_Calendario'!$G$19-'06_Secuencia_Optima'!$L$34-'06_Secuencia_Optima'!$AB$34)*'06_Secuencia_Optima'!$H$34/480),6)))</f>
        <v/>
      </c>
      <c r="S15" s="51">
        <f>IF('07_Calendario'!$E$20=0,"",INT(ROUND(MIN('06_Secuencia_Optima'!$G$34,MAX(0,'07_Calendario'!$H$20-'06_Secuencia_Optima'!$L$34-'06_Secuencia_Optima'!$AB$34)*'06_Secuencia_Optima'!$H$34/480),6))-INT(ROUND(MIN('06_Secuencia_Optima'!$G$34,MAX(0,'07_Calendario'!$G$20-'06_Secuencia_Optima'!$L$34-'06_Secuencia_Optima'!$AB$34)*'06_Secuencia_Optima'!$H$34/480),6)))</f>
        <v>0</v>
      </c>
      <c r="T15" s="51">
        <f>IF('07_Calendario'!$E$21=0,"",INT(ROUND(MIN('06_Secuencia_Optima'!$G$34,MAX(0,'07_Calendario'!$H$21-'06_Secuencia_Optima'!$L$34-'06_Secuencia_Optima'!$AB$34)*'06_Secuencia_Optima'!$H$34/480),6))-INT(ROUND(MIN('06_Secuencia_Optima'!$G$34,MAX(0,'07_Calendario'!$G$21-'06_Secuencia_Optima'!$L$34-'06_Secuencia_Optima'!$AB$34)*'06_Secuencia_Optima'!$H$34/480),6)))</f>
        <v>0</v>
      </c>
      <c r="U15" s="51">
        <f>IF('07_Calendario'!$E$22=0,"",INT(ROUND(MIN('06_Secuencia_Optima'!$G$34,MAX(0,'07_Calendario'!$H$22-'06_Secuencia_Optima'!$L$34-'06_Secuencia_Optima'!$AB$34)*'06_Secuencia_Optima'!$H$34/480),6))-INT(ROUND(MIN('06_Secuencia_Optima'!$G$34,MAX(0,'07_Calendario'!$G$22-'06_Secuencia_Optima'!$L$34-'06_Secuencia_Optima'!$AB$34)*'06_Secuencia_Optima'!$H$34/480),6)))</f>
        <v>0</v>
      </c>
      <c r="V15" s="51">
        <f>IF('07_Calendario'!$E$23=0,"",INT(ROUND(MIN('06_Secuencia_Optima'!$G$34,MAX(0,'07_Calendario'!$H$23-'06_Secuencia_Optima'!$L$34-'06_Secuencia_Optima'!$AB$34)*'06_Secuencia_Optima'!$H$34/480),6))-INT(ROUND(MIN('06_Secuencia_Optima'!$G$34,MAX(0,'07_Calendario'!$G$23-'06_Secuencia_Optima'!$L$34-'06_Secuencia_Optima'!$AB$34)*'06_Secuencia_Optima'!$H$34/480),6)))</f>
        <v>0</v>
      </c>
      <c r="W15" s="51">
        <f>IF('07_Calendario'!$E$24=0,"",INT(ROUND(MIN('06_Secuencia_Optima'!$G$34,MAX(0,'07_Calendario'!$H$24-'06_Secuencia_Optima'!$L$34-'06_Secuencia_Optima'!$AB$34)*'06_Secuencia_Optima'!$H$34/480),6))-INT(ROUND(MIN('06_Secuencia_Optima'!$G$34,MAX(0,'07_Calendario'!$G$24-'06_Secuencia_Optima'!$L$34-'06_Secuencia_Optima'!$AB$34)*'06_Secuencia_Optima'!$H$34/480),6)))</f>
        <v>0</v>
      </c>
      <c r="X15" s="51">
        <f>IF('07_Calendario'!$E$25=0,"",INT(ROUND(MIN('06_Secuencia_Optima'!$G$34,MAX(0,'07_Calendario'!$H$25-'06_Secuencia_Optima'!$L$34-'06_Secuencia_Optima'!$AB$34)*'06_Secuencia_Optima'!$H$34/480),6))-INT(ROUND(MIN('06_Secuencia_Optima'!$G$34,MAX(0,'07_Calendario'!$G$25-'06_Secuencia_Optima'!$L$34-'06_Secuencia_Optima'!$AB$34)*'06_Secuencia_Optima'!$H$34/480),6)))</f>
        <v>0</v>
      </c>
      <c r="Y15" s="51">
        <f>IF('07_Calendario'!$E$26=0,"",INT(ROUND(MIN('06_Secuencia_Optima'!$G$34,MAX(0,'07_Calendario'!$H$26-'06_Secuencia_Optima'!$L$34-'06_Secuencia_Optima'!$AB$34)*'06_Secuencia_Optima'!$H$34/480),6))-INT(ROUND(MIN('06_Secuencia_Optima'!$G$34,MAX(0,'07_Calendario'!$G$26-'06_Secuencia_Optima'!$L$34-'06_Secuencia_Optima'!$AB$34)*'06_Secuencia_Optima'!$H$34/480),6)))</f>
        <v>0</v>
      </c>
      <c r="Z15" s="51">
        <f>IF('07_Calendario'!$E$27=0,"",INT(ROUND(MIN('06_Secuencia_Optima'!$G$34,MAX(0,'07_Calendario'!$H$27-'06_Secuencia_Optima'!$L$34-'06_Secuencia_Optima'!$AB$34)*'06_Secuencia_Optima'!$H$34/480),6))-INT(ROUND(MIN('06_Secuencia_Optima'!$G$34,MAX(0,'07_Calendario'!$G$27-'06_Secuencia_Optima'!$L$34-'06_Secuencia_Optima'!$AB$34)*'06_Secuencia_Optima'!$H$34/480),6)))</f>
        <v>0</v>
      </c>
      <c r="AA15" s="51">
        <f>IF('07_Calendario'!$E$28=0,"",INT(ROUND(MIN('06_Secuencia_Optima'!$G$34,MAX(0,'07_Calendario'!$H$28-'06_Secuencia_Optima'!$L$34-'06_Secuencia_Optima'!$AB$34)*'06_Secuencia_Optima'!$H$34/480),6))-INT(ROUND(MIN('06_Secuencia_Optima'!$G$34,MAX(0,'07_Calendario'!$G$28-'06_Secuencia_Optima'!$L$34-'06_Secuencia_Optima'!$AB$34)*'06_Secuencia_Optima'!$H$34/480),6)))</f>
        <v>0</v>
      </c>
      <c r="AB15" s="51">
        <f>IF('07_Calendario'!$E$29=0,"",INT(ROUND(MIN('06_Secuencia_Optima'!$G$34,MAX(0,'07_Calendario'!$H$29-'06_Secuencia_Optima'!$L$34-'06_Secuencia_Optima'!$AB$34)*'06_Secuencia_Optima'!$H$34/480),6))-INT(ROUND(MIN('06_Secuencia_Optima'!$G$34,MAX(0,'07_Calendario'!$G$29-'06_Secuencia_Optima'!$L$34-'06_Secuencia_Optima'!$AB$34)*'06_Secuencia_Optima'!$H$34/480),6)))</f>
        <v>0</v>
      </c>
      <c r="AC15" s="51">
        <f>IF('07_Calendario'!$E$30=0,"",INT(ROUND(MIN('06_Secuencia_Optima'!$G$34,MAX(0,'07_Calendario'!$H$30-'06_Secuencia_Optima'!$L$34-'06_Secuencia_Optima'!$AB$34)*'06_Secuencia_Optima'!$H$34/480),6))-INT(ROUND(MIN('06_Secuencia_Optima'!$G$34,MAX(0,'07_Calendario'!$G$30-'06_Secuencia_Optima'!$L$34-'06_Secuencia_Optima'!$AB$34)*'06_Secuencia_Optima'!$H$34/480),6)))</f>
        <v>0</v>
      </c>
      <c r="AD15" s="51">
        <f>IF('07_Calendario'!$E$31=0,"",INT(ROUND(MIN('06_Secuencia_Optima'!$G$34,MAX(0,'07_Calendario'!$H$31-'06_Secuencia_Optima'!$L$34-'06_Secuencia_Optima'!$AB$34)*'06_Secuencia_Optima'!$H$34/480),6))-INT(ROUND(MIN('06_Secuencia_Optima'!$G$34,MAX(0,'07_Calendario'!$G$31-'06_Secuencia_Optima'!$L$34-'06_Secuencia_Optima'!$AB$34)*'06_Secuencia_Optima'!$H$34/480),6)))</f>
        <v>0</v>
      </c>
      <c r="AE15" s="51">
        <f>IF('07_Calendario'!$E$32=0,"",INT(ROUND(MIN('06_Secuencia_Optima'!$G$34,MAX(0,'07_Calendario'!$H$32-'06_Secuencia_Optima'!$L$34-'06_Secuencia_Optima'!$AB$34)*'06_Secuencia_Optima'!$H$34/480),6))-INT(ROUND(MIN('06_Secuencia_Optima'!$G$34,MAX(0,'07_Calendario'!$G$32-'06_Secuencia_Optima'!$L$34-'06_Secuencia_Optima'!$AB$34)*'06_Secuencia_Optima'!$H$34/480),6)))</f>
        <v>0</v>
      </c>
      <c r="AF15" s="51">
        <f>IF('07_Calendario'!$E$33=0,"",INT(ROUND(MIN('06_Secuencia_Optima'!$G$34,MAX(0,'07_Calendario'!$H$33-'06_Secuencia_Optima'!$L$34-'06_Secuencia_Optima'!$AB$34)*'06_Secuencia_Optima'!$H$34/480),6))-INT(ROUND(MIN('06_Secuencia_Optima'!$G$34,MAX(0,'07_Calendario'!$G$33-'06_Secuencia_Optima'!$L$34-'06_Secuencia_Optima'!$AB$34)*'06_Secuencia_Optima'!$H$34/480),6)))</f>
        <v>0</v>
      </c>
      <c r="AG15" s="51">
        <f>IF('07_Calendario'!$E$34=0,"",INT(ROUND(MIN('06_Secuencia_Optima'!$G$34,MAX(0,'07_Calendario'!$H$34-'06_Secuencia_Optima'!$L$34-'06_Secuencia_Optima'!$AB$34)*'06_Secuencia_Optima'!$H$34/480),6))-INT(ROUND(MIN('06_Secuencia_Optima'!$G$34,MAX(0,'07_Calendario'!$G$34-'06_Secuencia_Optima'!$L$34-'06_Secuencia_Optima'!$AB$34)*'06_Secuencia_Optima'!$H$34/480),6)))</f>
        <v>0</v>
      </c>
      <c r="AH15" s="51">
        <f>IF('07_Calendario'!$E$35=0,"",INT(ROUND(MIN('06_Secuencia_Optima'!$G$34,MAX(0,'07_Calendario'!$H$35-'06_Secuencia_Optima'!$L$34-'06_Secuencia_Optima'!$AB$34)*'06_Secuencia_Optima'!$H$34/480),6))-INT(ROUND(MIN('06_Secuencia_Optima'!$G$34,MAX(0,'07_Calendario'!$G$35-'06_Secuencia_Optima'!$L$34-'06_Secuencia_Optima'!$AB$34)*'06_Secuencia_Optima'!$H$34/480),6)))</f>
        <v>0</v>
      </c>
      <c r="AI15" s="51">
        <f>IF('07_Calendario'!$E$36=0,"",INT(ROUND(MIN('06_Secuencia_Optima'!$G$34,MAX(0,'07_Calendario'!$H$36-'06_Secuencia_Optima'!$L$34-'06_Secuencia_Optima'!$AB$34)*'06_Secuencia_Optima'!$H$34/480),6))-INT(ROUND(MIN('06_Secuencia_Optima'!$G$34,MAX(0,'07_Calendario'!$G$36-'06_Secuencia_Optima'!$L$34-'06_Secuencia_Optima'!$AB$34)*'06_Secuencia_Optima'!$H$34/480),6)))</f>
        <v>0</v>
      </c>
      <c r="AJ15" s="51" t="str">
        <f>IF('07_Calendario'!$E$37=0,"",INT(ROUND(MIN('06_Secuencia_Optima'!$G$34,MAX(0,'07_Calendario'!$H$37-'06_Secuencia_Optima'!$L$34-'06_Secuencia_Optima'!$AB$34)*'06_Secuencia_Optima'!$H$34/480),6))-INT(ROUND(MIN('06_Secuencia_Optima'!$G$34,MAX(0,'07_Calendario'!$G$37-'06_Secuencia_Optima'!$L$34-'06_Secuencia_Optima'!$AB$34)*'06_Secuencia_Optima'!$H$34/480),6)))</f>
        <v/>
      </c>
      <c r="AK15" s="51">
        <f>IF('07_Calendario'!$E$38=0,"",INT(ROUND(MIN('06_Secuencia_Optima'!$G$34,MAX(0,'07_Calendario'!$H$38-'06_Secuencia_Optima'!$L$34-'06_Secuencia_Optima'!$AB$34)*'06_Secuencia_Optima'!$H$34/480),6))-INT(ROUND(MIN('06_Secuencia_Optima'!$G$34,MAX(0,'07_Calendario'!$G$38-'06_Secuencia_Optima'!$L$34-'06_Secuencia_Optima'!$AB$34)*'06_Secuencia_Optima'!$H$34/480),6)))</f>
        <v>0</v>
      </c>
      <c r="AL15" s="51">
        <f>IF('07_Calendario'!$E$39=0,"",INT(ROUND(MIN('06_Secuencia_Optima'!$G$34,MAX(0,'07_Calendario'!$H$39-'06_Secuencia_Optima'!$L$34-'06_Secuencia_Optima'!$AB$34)*'06_Secuencia_Optima'!$H$34/480),6))-INT(ROUND(MIN('06_Secuencia_Optima'!$G$34,MAX(0,'07_Calendario'!$G$39-'06_Secuencia_Optima'!$L$34-'06_Secuencia_Optima'!$AB$34)*'06_Secuencia_Optima'!$H$34/480),6)))</f>
        <v>0</v>
      </c>
      <c r="AM15" s="51">
        <f>IF('07_Calendario'!$E$40=0,"",INT(ROUND(MIN('06_Secuencia_Optima'!$G$34,MAX(0,'07_Calendario'!$H$40-'06_Secuencia_Optima'!$L$34-'06_Secuencia_Optima'!$AB$34)*'06_Secuencia_Optima'!$H$34/480),6))-INT(ROUND(MIN('06_Secuencia_Optima'!$G$34,MAX(0,'07_Calendario'!$G$40-'06_Secuencia_Optima'!$L$34-'06_Secuencia_Optima'!$AB$34)*'06_Secuencia_Optima'!$H$34/480),6)))</f>
        <v>0</v>
      </c>
      <c r="AN15" s="51">
        <f>IF('07_Calendario'!$E$41=0,"",INT(ROUND(MIN('06_Secuencia_Optima'!$G$34,MAX(0,'07_Calendario'!$H$41-'06_Secuencia_Optima'!$L$34-'06_Secuencia_Optima'!$AB$34)*'06_Secuencia_Optima'!$H$34/480),6))-INT(ROUND(MIN('06_Secuencia_Optima'!$G$34,MAX(0,'07_Calendario'!$G$41-'06_Secuencia_Optima'!$L$34-'06_Secuencia_Optima'!$AB$34)*'06_Secuencia_Optima'!$H$34/480),6)))</f>
        <v>0</v>
      </c>
      <c r="AO15" s="51">
        <f>IF('07_Calendario'!$E$42=0,"",INT(ROUND(MIN('06_Secuencia_Optima'!$G$34,MAX(0,'07_Calendario'!$H$42-'06_Secuencia_Optima'!$L$34-'06_Secuencia_Optima'!$AB$34)*'06_Secuencia_Optima'!$H$34/480),6))-INT(ROUND(MIN('06_Secuencia_Optima'!$G$34,MAX(0,'07_Calendario'!$G$42-'06_Secuencia_Optima'!$L$34-'06_Secuencia_Optima'!$AB$34)*'06_Secuencia_Optima'!$H$34/480),6)))</f>
        <v>0</v>
      </c>
      <c r="AP15" s="51">
        <f>IF('07_Calendario'!$E$43=0,"",INT(ROUND(MIN('06_Secuencia_Optima'!$G$34,MAX(0,'07_Calendario'!$H$43-'06_Secuencia_Optima'!$L$34-'06_Secuencia_Optima'!$AB$34)*'06_Secuencia_Optima'!$H$34/480),6))-INT(ROUND(MIN('06_Secuencia_Optima'!$G$34,MAX(0,'07_Calendario'!$G$43-'06_Secuencia_Optima'!$L$34-'06_Secuencia_Optima'!$AB$34)*'06_Secuencia_Optima'!$H$34/480),6)))</f>
        <v>0</v>
      </c>
      <c r="AQ15" s="51">
        <f>IF('07_Calendario'!$E$44=0,"",INT(ROUND(MIN('06_Secuencia_Optima'!$G$34,MAX(0,'07_Calendario'!$H$44-'06_Secuencia_Optima'!$L$34-'06_Secuencia_Optima'!$AB$34)*'06_Secuencia_Optima'!$H$34/480),6))-INT(ROUND(MIN('06_Secuencia_Optima'!$G$34,MAX(0,'07_Calendario'!$G$44-'06_Secuencia_Optima'!$L$34-'06_Secuencia_Optima'!$AB$34)*'06_Secuencia_Optima'!$H$34/480),6)))</f>
        <v>0</v>
      </c>
      <c r="AR15" s="51">
        <f>IF('07_Calendario'!$E$45=0,"",INT(ROUND(MIN('06_Secuencia_Optima'!$G$34,MAX(0,'07_Calendario'!$H$45-'06_Secuencia_Optima'!$L$34-'06_Secuencia_Optima'!$AB$34)*'06_Secuencia_Optima'!$H$34/480),6))-INT(ROUND(MIN('06_Secuencia_Optima'!$G$34,MAX(0,'07_Calendario'!$G$45-'06_Secuencia_Optima'!$L$34-'06_Secuencia_Optima'!$AB$34)*'06_Secuencia_Optima'!$H$34/480),6)))</f>
        <v>0</v>
      </c>
      <c r="AS15" s="51">
        <f>IF('07_Calendario'!$E$46=0,"",INT(ROUND(MIN('06_Secuencia_Optima'!$G$34,MAX(0,'07_Calendario'!$H$46-'06_Secuencia_Optima'!$L$34-'06_Secuencia_Optima'!$AB$34)*'06_Secuencia_Optima'!$H$34/480),6))-INT(ROUND(MIN('06_Secuencia_Optima'!$G$34,MAX(0,'07_Calendario'!$G$46-'06_Secuencia_Optima'!$L$34-'06_Secuencia_Optima'!$AB$34)*'06_Secuencia_Optima'!$H$34/480),6)))</f>
        <v>0</v>
      </c>
      <c r="AT15" s="51">
        <f>IF('07_Calendario'!$E$47=0,"",INT(ROUND(MIN('06_Secuencia_Optima'!$G$34,MAX(0,'07_Calendario'!$H$47-'06_Secuencia_Optima'!$L$34-'06_Secuencia_Optima'!$AB$34)*'06_Secuencia_Optima'!$H$34/480),6))-INT(ROUND(MIN('06_Secuencia_Optima'!$G$34,MAX(0,'07_Calendario'!$G$47-'06_Secuencia_Optima'!$L$34-'06_Secuencia_Optima'!$AB$34)*'06_Secuencia_Optima'!$H$34/480),6)))</f>
        <v>0</v>
      </c>
      <c r="AU15" s="51">
        <f>IF('07_Calendario'!$E$48=0,"",INT(ROUND(MIN('06_Secuencia_Optima'!$G$34,MAX(0,'07_Calendario'!$H$48-'06_Secuencia_Optima'!$L$34-'06_Secuencia_Optima'!$AB$34)*'06_Secuencia_Optima'!$H$34/480),6))-INT(ROUND(MIN('06_Secuencia_Optima'!$G$34,MAX(0,'07_Calendario'!$G$48-'06_Secuencia_Optima'!$L$34-'06_Secuencia_Optima'!$AB$34)*'06_Secuencia_Optima'!$H$34/480),6)))</f>
        <v>0</v>
      </c>
      <c r="AV15" s="51">
        <f>IF('07_Calendario'!$E$49=0,"",INT(ROUND(MIN('06_Secuencia_Optima'!$G$34,MAX(0,'07_Calendario'!$H$49-'06_Secuencia_Optima'!$L$34-'06_Secuencia_Optima'!$AB$34)*'06_Secuencia_Optima'!$H$34/480),6))-INT(ROUND(MIN('06_Secuencia_Optima'!$G$34,MAX(0,'07_Calendario'!$G$49-'06_Secuencia_Optima'!$L$34-'06_Secuencia_Optima'!$AB$34)*'06_Secuencia_Optima'!$H$34/480),6)))</f>
        <v>0</v>
      </c>
      <c r="AW15" s="51">
        <f>IF('07_Calendario'!$E$50=0,"",INT(ROUND(MIN('06_Secuencia_Optima'!$G$34,MAX(0,'07_Calendario'!$H$50-'06_Secuencia_Optima'!$L$34-'06_Secuencia_Optima'!$AB$34)*'06_Secuencia_Optima'!$H$34/480),6))-INT(ROUND(MIN('06_Secuencia_Optima'!$G$34,MAX(0,'07_Calendario'!$G$50-'06_Secuencia_Optima'!$L$34-'06_Secuencia_Optima'!$AB$34)*'06_Secuencia_Optima'!$H$34/480),6)))</f>
        <v>0</v>
      </c>
      <c r="AX15" s="51">
        <f>IF('07_Calendario'!$E$51=0,"",INT(ROUND(MIN('06_Secuencia_Optima'!$G$34,MAX(0,'07_Calendario'!$H$51-'06_Secuencia_Optima'!$L$34-'06_Secuencia_Optima'!$AB$34)*'06_Secuencia_Optima'!$H$34/480),6))-INT(ROUND(MIN('06_Secuencia_Optima'!$G$34,MAX(0,'07_Calendario'!$G$51-'06_Secuencia_Optima'!$L$34-'06_Secuencia_Optima'!$AB$34)*'06_Secuencia_Optima'!$H$34/480),6)))</f>
        <v>0</v>
      </c>
      <c r="AY15" s="51">
        <f>IF('07_Calendario'!$E$52=0,"",INT(ROUND(MIN('06_Secuencia_Optima'!$G$34,MAX(0,'07_Calendario'!$H$52-'06_Secuencia_Optima'!$L$34-'06_Secuencia_Optima'!$AB$34)*'06_Secuencia_Optima'!$H$34/480),6))-INT(ROUND(MIN('06_Secuencia_Optima'!$G$34,MAX(0,'07_Calendario'!$G$52-'06_Secuencia_Optima'!$L$34-'06_Secuencia_Optima'!$AB$34)*'06_Secuencia_Optima'!$H$34/480),6)))</f>
        <v>0</v>
      </c>
      <c r="AZ15" s="51">
        <f>IF('07_Calendario'!$E$53=0,"",INT(ROUND(MIN('06_Secuencia_Optima'!$G$34,MAX(0,'07_Calendario'!$H$53-'06_Secuencia_Optima'!$L$34-'06_Secuencia_Optima'!$AB$34)*'06_Secuencia_Optima'!$H$34/480),6))-INT(ROUND(MIN('06_Secuencia_Optima'!$G$34,MAX(0,'07_Calendario'!$G$53-'06_Secuencia_Optima'!$L$34-'06_Secuencia_Optima'!$AB$34)*'06_Secuencia_Optima'!$H$34/480),6)))</f>
        <v>0</v>
      </c>
      <c r="BA15" s="51">
        <f>IF('07_Calendario'!$E$54=0,"",INT(ROUND(MIN('06_Secuencia_Optima'!$G$34,MAX(0,'07_Calendario'!$H$54-'06_Secuencia_Optima'!$L$34-'06_Secuencia_Optima'!$AB$34)*'06_Secuencia_Optima'!$H$34/480),6))-INT(ROUND(MIN('06_Secuencia_Optima'!$G$34,MAX(0,'07_Calendario'!$G$54-'06_Secuencia_Optima'!$L$34-'06_Secuencia_Optima'!$AB$34)*'06_Secuencia_Optima'!$H$34/480),6)))</f>
        <v>0</v>
      </c>
      <c r="BB15" s="51" t="str">
        <f>IF('07_Calendario'!$E$55=0,"",INT(ROUND(MIN('06_Secuencia_Optima'!$G$34,MAX(0,'07_Calendario'!$H$55-'06_Secuencia_Optima'!$L$34-'06_Secuencia_Optima'!$AB$34)*'06_Secuencia_Optima'!$H$34/480),6))-INT(ROUND(MIN('06_Secuencia_Optima'!$G$34,MAX(0,'07_Calendario'!$G$55-'06_Secuencia_Optima'!$L$34-'06_Secuencia_Optima'!$AB$34)*'06_Secuencia_Optima'!$H$34/480),6)))</f>
        <v/>
      </c>
      <c r="BC15" s="51">
        <f>IF('07_Calendario'!$E$56=0,"",INT(ROUND(MIN('06_Secuencia_Optima'!$G$34,MAX(0,'07_Calendario'!$H$56-'06_Secuencia_Optima'!$L$34-'06_Secuencia_Optima'!$AB$34)*'06_Secuencia_Optima'!$H$34/480),6))-INT(ROUND(MIN('06_Secuencia_Optima'!$G$34,MAX(0,'07_Calendario'!$G$56-'06_Secuencia_Optima'!$L$34-'06_Secuencia_Optima'!$AB$34)*'06_Secuencia_Optima'!$H$34/480),6)))</f>
        <v>0</v>
      </c>
      <c r="BD15" s="51">
        <f>IF('07_Calendario'!$E$57=0,"",INT(ROUND(MIN('06_Secuencia_Optima'!$G$34,MAX(0,'07_Calendario'!$H$57-'06_Secuencia_Optima'!$L$34-'06_Secuencia_Optima'!$AB$34)*'06_Secuencia_Optima'!$H$34/480),6))-INT(ROUND(MIN('06_Secuencia_Optima'!$G$34,MAX(0,'07_Calendario'!$G$57-'06_Secuencia_Optima'!$L$34-'06_Secuencia_Optima'!$AB$34)*'06_Secuencia_Optima'!$H$34/480),6)))</f>
        <v>0</v>
      </c>
      <c r="BE15" s="51">
        <f>IF('07_Calendario'!$E$58=0,"",INT(ROUND(MIN('06_Secuencia_Optima'!$G$34,MAX(0,'07_Calendario'!$H$58-'06_Secuencia_Optima'!$L$34-'06_Secuencia_Optima'!$AB$34)*'06_Secuencia_Optima'!$H$34/480),6))-INT(ROUND(MIN('06_Secuencia_Optima'!$G$34,MAX(0,'07_Calendario'!$G$58-'06_Secuencia_Optima'!$L$34-'06_Secuencia_Optima'!$AB$34)*'06_Secuencia_Optima'!$H$34/480),6)))</f>
        <v>0</v>
      </c>
      <c r="BF15" s="51">
        <f>IF('07_Calendario'!$E$59=0,"",INT(ROUND(MIN('06_Secuencia_Optima'!$G$34,MAX(0,'07_Calendario'!$H$59-'06_Secuencia_Optima'!$L$34-'06_Secuencia_Optima'!$AB$34)*'06_Secuencia_Optima'!$H$34/480),6))-INT(ROUND(MIN('06_Secuencia_Optima'!$G$34,MAX(0,'07_Calendario'!$G$59-'06_Secuencia_Optima'!$L$34-'06_Secuencia_Optima'!$AB$34)*'06_Secuencia_Optima'!$H$34/480),6)))</f>
        <v>0</v>
      </c>
      <c r="BG15" s="51">
        <f>IF('07_Calendario'!$E$60=0,"",INT(ROUND(MIN('06_Secuencia_Optima'!$G$34,MAX(0,'07_Calendario'!$H$60-'06_Secuencia_Optima'!$L$34-'06_Secuencia_Optima'!$AB$34)*'06_Secuencia_Optima'!$H$34/480),6))-INT(ROUND(MIN('06_Secuencia_Optima'!$G$34,MAX(0,'07_Calendario'!$G$60-'06_Secuencia_Optima'!$L$34-'06_Secuencia_Optima'!$AB$34)*'06_Secuencia_Optima'!$H$34/480),6)))</f>
        <v>0</v>
      </c>
      <c r="BH15" s="51">
        <f>IF('07_Calendario'!$E$61=0,"",INT(ROUND(MIN('06_Secuencia_Optima'!$G$34,MAX(0,'07_Calendario'!$H$61-'06_Secuencia_Optima'!$L$34-'06_Secuencia_Optima'!$AB$34)*'06_Secuencia_Optima'!$H$34/480),6))-INT(ROUND(MIN('06_Secuencia_Optima'!$G$34,MAX(0,'07_Calendario'!$G$61-'06_Secuencia_Optima'!$L$34-'06_Secuencia_Optima'!$AB$34)*'06_Secuencia_Optima'!$H$34/480),6)))</f>
        <v>0</v>
      </c>
      <c r="BI15" s="51">
        <f>IF('07_Calendario'!$E$62=0,"",INT(ROUND(MIN('06_Secuencia_Optima'!$G$34,MAX(0,'07_Calendario'!$H$62-'06_Secuencia_Optima'!$L$34-'06_Secuencia_Optima'!$AB$34)*'06_Secuencia_Optima'!$H$34/480),6))-INT(ROUND(MIN('06_Secuencia_Optima'!$G$34,MAX(0,'07_Calendario'!$G$62-'06_Secuencia_Optima'!$L$34-'06_Secuencia_Optima'!$AB$34)*'06_Secuencia_Optima'!$H$34/480),6)))</f>
        <v>0</v>
      </c>
      <c r="BJ15" s="51">
        <f>IF('07_Calendario'!$E$63=0,"",INT(ROUND(MIN('06_Secuencia_Optima'!$G$34,MAX(0,'07_Calendario'!$H$63-'06_Secuencia_Optima'!$L$34-'06_Secuencia_Optima'!$AB$34)*'06_Secuencia_Optima'!$H$34/480),6))-INT(ROUND(MIN('06_Secuencia_Optima'!$G$34,MAX(0,'07_Calendario'!$G$63-'06_Secuencia_Optima'!$L$34-'06_Secuencia_Optima'!$AB$34)*'06_Secuencia_Optima'!$H$34/480),6)))</f>
        <v>0</v>
      </c>
      <c r="BK15" s="51">
        <f>IF('07_Calendario'!$E$64=0,"",INT(ROUND(MIN('06_Secuencia_Optima'!$G$34,MAX(0,'07_Calendario'!$H$64-'06_Secuencia_Optima'!$L$34-'06_Secuencia_Optima'!$AB$34)*'06_Secuencia_Optima'!$H$34/480),6))-INT(ROUND(MIN('06_Secuencia_Optima'!$G$34,MAX(0,'07_Calendario'!$G$64-'06_Secuencia_Optima'!$L$34-'06_Secuencia_Optima'!$AB$34)*'06_Secuencia_Optima'!$H$34/480),6)))</f>
        <v>0</v>
      </c>
      <c r="BL15" s="51">
        <f>IF('07_Calendario'!$E$65=0,"",INT(ROUND(MIN('06_Secuencia_Optima'!$G$34,MAX(0,'07_Calendario'!$H$65-'06_Secuencia_Optima'!$L$34-'06_Secuencia_Optima'!$AB$34)*'06_Secuencia_Optima'!$H$34/480),6))-INT(ROUND(MIN('06_Secuencia_Optima'!$G$34,MAX(0,'07_Calendario'!$G$65-'06_Secuencia_Optima'!$L$34-'06_Secuencia_Optima'!$AB$34)*'06_Secuencia_Optima'!$H$34/480),6)))</f>
        <v>0</v>
      </c>
      <c r="BM15" s="51">
        <f>IF('07_Calendario'!$E$66=0,"",INT(ROUND(MIN('06_Secuencia_Optima'!$G$34,MAX(0,'07_Calendario'!$H$66-'06_Secuencia_Optima'!$L$34-'06_Secuencia_Optima'!$AB$34)*'06_Secuencia_Optima'!$H$34/480),6))-INT(ROUND(MIN('06_Secuencia_Optima'!$G$34,MAX(0,'07_Calendario'!$G$66-'06_Secuencia_Optima'!$L$34-'06_Secuencia_Optima'!$AB$34)*'06_Secuencia_Optima'!$H$34/480),6)))</f>
        <v>0</v>
      </c>
      <c r="BN15" s="51">
        <f>IF('07_Calendario'!$E$67=0,"",INT(ROUND(MIN('06_Secuencia_Optima'!$G$34,MAX(0,'07_Calendario'!$H$67-'06_Secuencia_Optima'!$L$34-'06_Secuencia_Optima'!$AB$34)*'06_Secuencia_Optima'!$H$34/480),6))-INT(ROUND(MIN('06_Secuencia_Optima'!$G$34,MAX(0,'07_Calendario'!$G$67-'06_Secuencia_Optima'!$L$34-'06_Secuencia_Optima'!$AB$34)*'06_Secuencia_Optima'!$H$34/480),6)))</f>
        <v>0</v>
      </c>
      <c r="BO15" s="51">
        <f>IF('07_Calendario'!$E$68=0,"",INT(ROUND(MIN('06_Secuencia_Optima'!$G$34,MAX(0,'07_Calendario'!$H$68-'06_Secuencia_Optima'!$L$34-'06_Secuencia_Optima'!$AB$34)*'06_Secuencia_Optima'!$H$34/480),6))-INT(ROUND(MIN('06_Secuencia_Optima'!$G$34,MAX(0,'07_Calendario'!$G$68-'06_Secuencia_Optima'!$L$34-'06_Secuencia_Optima'!$AB$34)*'06_Secuencia_Optima'!$H$34/480),6)))</f>
        <v>0</v>
      </c>
      <c r="BP15" s="51">
        <f>IF('07_Calendario'!$E$69=0,"",INT(ROUND(MIN('06_Secuencia_Optima'!$G$34,MAX(0,'07_Calendario'!$H$69-'06_Secuencia_Optima'!$L$34-'06_Secuencia_Optima'!$AB$34)*'06_Secuencia_Optima'!$H$34/480),6))-INT(ROUND(MIN('06_Secuencia_Optima'!$G$34,MAX(0,'07_Calendario'!$G$69-'06_Secuencia_Optima'!$L$34-'06_Secuencia_Optima'!$AB$34)*'06_Secuencia_Optima'!$H$34/480),6)))</f>
        <v>0</v>
      </c>
      <c r="BQ15" s="51">
        <f>IF('07_Calendario'!$E$70=0,"",INT(ROUND(MIN('06_Secuencia_Optima'!$G$34,MAX(0,'07_Calendario'!$H$70-'06_Secuencia_Optima'!$L$34-'06_Secuencia_Optima'!$AB$34)*'06_Secuencia_Optima'!$H$34/480),6))-INT(ROUND(MIN('06_Secuencia_Optima'!$G$34,MAX(0,'07_Calendario'!$G$70-'06_Secuencia_Optima'!$L$34-'06_Secuencia_Optima'!$AB$34)*'06_Secuencia_Optima'!$H$34/480),6)))</f>
        <v>0</v>
      </c>
      <c r="BR15" s="51">
        <f>IF('07_Calendario'!$E$71=0,"",INT(ROUND(MIN('06_Secuencia_Optima'!$G$34,MAX(0,'07_Calendario'!$H$71-'06_Secuencia_Optima'!$L$34-'06_Secuencia_Optima'!$AB$34)*'06_Secuencia_Optima'!$H$34/480),6))-INT(ROUND(MIN('06_Secuencia_Optima'!$G$34,MAX(0,'07_Calendario'!$G$71-'06_Secuencia_Optima'!$L$34-'06_Secuencia_Optima'!$AB$34)*'06_Secuencia_Optima'!$H$34/480),6)))</f>
        <v>0</v>
      </c>
      <c r="BS15" s="51">
        <f>IF('07_Calendario'!$E$72=0,"",INT(ROUND(MIN('06_Secuencia_Optima'!$G$34,MAX(0,'07_Calendario'!$H$72-'06_Secuencia_Optima'!$L$34-'06_Secuencia_Optima'!$AB$34)*'06_Secuencia_Optima'!$H$34/480),6))-INT(ROUND(MIN('06_Secuencia_Optima'!$G$34,MAX(0,'07_Calendario'!$G$72-'06_Secuencia_Optima'!$L$34-'06_Secuencia_Optima'!$AB$34)*'06_Secuencia_Optima'!$H$34/480),6)))</f>
        <v>0</v>
      </c>
      <c r="BT15" s="51" t="str">
        <f>IF('07_Calendario'!$E$73=0,"",INT(ROUND(MIN('06_Secuencia_Optima'!$G$34,MAX(0,'07_Calendario'!$H$73-'06_Secuencia_Optima'!$L$34-'06_Secuencia_Optima'!$AB$34)*'06_Secuencia_Optima'!$H$34/480),6))-INT(ROUND(MIN('06_Secuencia_Optima'!$G$34,MAX(0,'07_Calendario'!$G$73-'06_Secuencia_Optima'!$L$34-'06_Secuencia_Optima'!$AB$34)*'06_Secuencia_Optima'!$H$34/480),6)))</f>
        <v/>
      </c>
      <c r="BU15" s="51">
        <f>IF('07_Calendario'!$E$74=0,"",INT(ROUND(MIN('06_Secuencia_Optima'!$G$34,MAX(0,'07_Calendario'!$H$74-'06_Secuencia_Optima'!$L$34-'06_Secuencia_Optima'!$AB$34)*'06_Secuencia_Optima'!$H$34/480),6))-INT(ROUND(MIN('06_Secuencia_Optima'!$G$34,MAX(0,'07_Calendario'!$G$74-'06_Secuencia_Optima'!$L$34-'06_Secuencia_Optima'!$AB$34)*'06_Secuencia_Optima'!$H$34/480),6)))</f>
        <v>0</v>
      </c>
      <c r="BV15" s="51">
        <f>IF('07_Calendario'!$E$75=0,"",INT(ROUND(MIN('06_Secuencia_Optima'!$G$34,MAX(0,'07_Calendario'!$H$75-'06_Secuencia_Optima'!$L$34-'06_Secuencia_Optima'!$AB$34)*'06_Secuencia_Optima'!$H$34/480),6))-INT(ROUND(MIN('06_Secuencia_Optima'!$G$34,MAX(0,'07_Calendario'!$G$75-'06_Secuencia_Optima'!$L$34-'06_Secuencia_Optima'!$AB$34)*'06_Secuencia_Optima'!$H$34/480),6)))</f>
        <v>0</v>
      </c>
      <c r="BW15" s="51">
        <f>IF('07_Calendario'!$E$76=0,"",INT(ROUND(MIN('06_Secuencia_Optima'!$G$34,MAX(0,'07_Calendario'!$H$76-'06_Secuencia_Optima'!$L$34-'06_Secuencia_Optima'!$AB$34)*'06_Secuencia_Optima'!$H$34/480),6))-INT(ROUND(MIN('06_Secuencia_Optima'!$G$34,MAX(0,'07_Calendario'!$G$76-'06_Secuencia_Optima'!$L$34-'06_Secuencia_Optima'!$AB$34)*'06_Secuencia_Optima'!$H$34/480),6)))</f>
        <v>0</v>
      </c>
      <c r="BX15" s="51">
        <f>IF('07_Calendario'!$E$77=0,"",INT(ROUND(MIN('06_Secuencia_Optima'!$G$34,MAX(0,'07_Calendario'!$H$77-'06_Secuencia_Optima'!$L$34-'06_Secuencia_Optima'!$AB$34)*'06_Secuencia_Optima'!$H$34/480),6))-INT(ROUND(MIN('06_Secuencia_Optima'!$G$34,MAX(0,'07_Calendario'!$G$77-'06_Secuencia_Optima'!$L$34-'06_Secuencia_Optima'!$AB$34)*'06_Secuencia_Optima'!$H$34/480),6)))</f>
        <v>0</v>
      </c>
      <c r="BY15" s="51">
        <f>IF('07_Calendario'!$E$78=0,"",INT(ROUND(MIN('06_Secuencia_Optima'!$G$34,MAX(0,'07_Calendario'!$H$78-'06_Secuencia_Optima'!$L$34-'06_Secuencia_Optima'!$AB$34)*'06_Secuencia_Optima'!$H$34/480),6))-INT(ROUND(MIN('06_Secuencia_Optima'!$G$34,MAX(0,'07_Calendario'!$G$78-'06_Secuencia_Optima'!$L$34-'06_Secuencia_Optima'!$AB$34)*'06_Secuencia_Optima'!$H$34/480),6)))</f>
        <v>0</v>
      </c>
      <c r="BZ15" s="51">
        <f>IF('07_Calendario'!$E$79=0,"",INT(ROUND(MIN('06_Secuencia_Optima'!$G$34,MAX(0,'07_Calendario'!$H$79-'06_Secuencia_Optima'!$L$34-'06_Secuencia_Optima'!$AB$34)*'06_Secuencia_Optima'!$H$34/480),6))-INT(ROUND(MIN('06_Secuencia_Optima'!$G$34,MAX(0,'07_Calendario'!$G$79-'06_Secuencia_Optima'!$L$34-'06_Secuencia_Optima'!$AB$34)*'06_Secuencia_Optima'!$H$34/480),6)))</f>
        <v>0</v>
      </c>
      <c r="CA15" s="51">
        <f>IF('07_Calendario'!$E$80=0,"",INT(ROUND(MIN('06_Secuencia_Optima'!$G$34,MAX(0,'07_Calendario'!$H$80-'06_Secuencia_Optima'!$L$34-'06_Secuencia_Optima'!$AB$34)*'06_Secuencia_Optima'!$H$34/480),6))-INT(ROUND(MIN('06_Secuencia_Optima'!$G$34,MAX(0,'07_Calendario'!$G$80-'06_Secuencia_Optima'!$L$34-'06_Secuencia_Optima'!$AB$34)*'06_Secuencia_Optima'!$H$34/480),6)))</f>
        <v>0</v>
      </c>
      <c r="CB15" s="51">
        <f>IF('07_Calendario'!$E$81=0,"",INT(ROUND(MIN('06_Secuencia_Optima'!$G$34,MAX(0,'07_Calendario'!$H$81-'06_Secuencia_Optima'!$L$34-'06_Secuencia_Optima'!$AB$34)*'06_Secuencia_Optima'!$H$34/480),6))-INT(ROUND(MIN('06_Secuencia_Optima'!$G$34,MAX(0,'07_Calendario'!$G$81-'06_Secuencia_Optima'!$L$34-'06_Secuencia_Optima'!$AB$34)*'06_Secuencia_Optima'!$H$34/480),6)))</f>
        <v>0</v>
      </c>
      <c r="CC15" s="51">
        <f>IF('07_Calendario'!$E$82=0,"",INT(ROUND(MIN('06_Secuencia_Optima'!$G$34,MAX(0,'07_Calendario'!$H$82-'06_Secuencia_Optima'!$L$34-'06_Secuencia_Optima'!$AB$34)*'06_Secuencia_Optima'!$H$34/480),6))-INT(ROUND(MIN('06_Secuencia_Optima'!$G$34,MAX(0,'07_Calendario'!$G$82-'06_Secuencia_Optima'!$L$34-'06_Secuencia_Optima'!$AB$34)*'06_Secuencia_Optima'!$H$34/480),6)))</f>
        <v>0</v>
      </c>
      <c r="CD15" s="18">
        <f t="shared" si="0"/>
        <v>6206</v>
      </c>
      <c r="CE15" s="19">
        <f>'06_Secuencia_Optima'!$G$34</f>
        <v>6206</v>
      </c>
      <c r="CF15" s="10" t="str">
        <f t="shared" si="1"/>
        <v>OK</v>
      </c>
    </row>
    <row r="16" spans="1:84" x14ac:dyDescent="0.2">
      <c r="A16" s="10">
        <f>'06_Secuencia_Optima'!$B$35</f>
        <v>3749</v>
      </c>
      <c r="B16" s="13" t="str">
        <f>'06_Secuencia_Optima'!$C$35</f>
        <v>SALSA MAYONESA (12DP/1/1000g)</v>
      </c>
      <c r="C16" s="14">
        <f>'06_Secuencia_Optima'!$D$35</f>
        <v>3278</v>
      </c>
      <c r="D16" s="51">
        <f>IF('07_Calendario'!$E$5=0,"",INT(ROUND(MIN('06_Secuencia_Optima'!$G$35,MAX(0,'07_Calendario'!$H$5-'06_Secuencia_Optima'!$L$35-'06_Secuencia_Optima'!$AB$35)*'06_Secuencia_Optima'!$H$35/480),6))-INT(ROUND(MIN('06_Secuencia_Optima'!$G$35,MAX(0,'07_Calendario'!$G$5-'06_Secuencia_Optima'!$L$35-'06_Secuencia_Optima'!$AB$35)*'06_Secuencia_Optima'!$H$35/480),6)))</f>
        <v>1352</v>
      </c>
      <c r="E16" s="51">
        <f>IF('07_Calendario'!$E$6=0,"",INT(ROUND(MIN('06_Secuencia_Optima'!$G$35,MAX(0,'07_Calendario'!$H$6-'06_Secuencia_Optima'!$L$35-'06_Secuencia_Optima'!$AB$35)*'06_Secuencia_Optima'!$H$35/480),6))-INT(ROUND(MIN('06_Secuencia_Optima'!$G$35,MAX(0,'07_Calendario'!$G$6-'06_Secuencia_Optima'!$L$35-'06_Secuencia_Optima'!$AB$35)*'06_Secuencia_Optima'!$H$35/480),6)))</f>
        <v>1352</v>
      </c>
      <c r="F16" s="51">
        <f>IF('07_Calendario'!$E$7=0,"",INT(ROUND(MIN('06_Secuencia_Optima'!$G$35,MAX(0,'07_Calendario'!$H$7-'06_Secuencia_Optima'!$L$35-'06_Secuencia_Optima'!$AB$35)*'06_Secuencia_Optima'!$H$35/480),6))-INT(ROUND(MIN('06_Secuencia_Optima'!$G$35,MAX(0,'07_Calendario'!$G$7-'06_Secuencia_Optima'!$L$35-'06_Secuencia_Optima'!$AB$35)*'06_Secuencia_Optima'!$H$35/480),6)))</f>
        <v>1352</v>
      </c>
      <c r="G16" s="51">
        <f>IF('07_Calendario'!$E$8=0,"",INT(ROUND(MIN('06_Secuencia_Optima'!$G$35,MAX(0,'07_Calendario'!$H$8-'06_Secuencia_Optima'!$L$35-'06_Secuencia_Optima'!$AB$35)*'06_Secuencia_Optima'!$H$35/480),6))-INT(ROUND(MIN('06_Secuencia_Optima'!$G$35,MAX(0,'07_Calendario'!$G$8-'06_Secuencia_Optima'!$L$35-'06_Secuencia_Optima'!$AB$35)*'06_Secuencia_Optima'!$H$35/480),6)))</f>
        <v>384</v>
      </c>
      <c r="H16" s="51">
        <f>IF('07_Calendario'!$E$9=0,"",INT(ROUND(MIN('06_Secuencia_Optima'!$G$35,MAX(0,'07_Calendario'!$H$9-'06_Secuencia_Optima'!$L$35-'06_Secuencia_Optima'!$AB$35)*'06_Secuencia_Optima'!$H$35/480),6))-INT(ROUND(MIN('06_Secuencia_Optima'!$G$35,MAX(0,'07_Calendario'!$G$9-'06_Secuencia_Optima'!$L$35-'06_Secuencia_Optima'!$AB$35)*'06_Secuencia_Optima'!$H$35/480),6)))</f>
        <v>0</v>
      </c>
      <c r="I16" s="51">
        <f>IF('07_Calendario'!$E$10=0,"",INT(ROUND(MIN('06_Secuencia_Optima'!$G$35,MAX(0,'07_Calendario'!$H$10-'06_Secuencia_Optima'!$L$35-'06_Secuencia_Optima'!$AB$35)*'06_Secuencia_Optima'!$H$35/480),6))-INT(ROUND(MIN('06_Secuencia_Optima'!$G$35,MAX(0,'07_Calendario'!$G$10-'06_Secuencia_Optima'!$L$35-'06_Secuencia_Optima'!$AB$35)*'06_Secuencia_Optima'!$H$35/480),6)))</f>
        <v>0</v>
      </c>
      <c r="J16" s="51">
        <f>IF('07_Calendario'!$E$11=0,"",INT(ROUND(MIN('06_Secuencia_Optima'!$G$35,MAX(0,'07_Calendario'!$H$11-'06_Secuencia_Optima'!$L$35-'06_Secuencia_Optima'!$AB$35)*'06_Secuencia_Optima'!$H$35/480),6))-INT(ROUND(MIN('06_Secuencia_Optima'!$G$35,MAX(0,'07_Calendario'!$G$11-'06_Secuencia_Optima'!$L$35-'06_Secuencia_Optima'!$AB$35)*'06_Secuencia_Optima'!$H$35/480),6)))</f>
        <v>0</v>
      </c>
      <c r="K16" s="51">
        <f>IF('07_Calendario'!$E$12=0,"",INT(ROUND(MIN('06_Secuencia_Optima'!$G$35,MAX(0,'07_Calendario'!$H$12-'06_Secuencia_Optima'!$L$35-'06_Secuencia_Optima'!$AB$35)*'06_Secuencia_Optima'!$H$35/480),6))-INT(ROUND(MIN('06_Secuencia_Optima'!$G$35,MAX(0,'07_Calendario'!$G$12-'06_Secuencia_Optima'!$L$35-'06_Secuencia_Optima'!$AB$35)*'06_Secuencia_Optima'!$H$35/480),6)))</f>
        <v>0</v>
      </c>
      <c r="L16" s="51">
        <f>IF('07_Calendario'!$E$13=0,"",INT(ROUND(MIN('06_Secuencia_Optima'!$G$35,MAX(0,'07_Calendario'!$H$13-'06_Secuencia_Optima'!$L$35-'06_Secuencia_Optima'!$AB$35)*'06_Secuencia_Optima'!$H$35/480),6))-INT(ROUND(MIN('06_Secuencia_Optima'!$G$35,MAX(0,'07_Calendario'!$G$13-'06_Secuencia_Optima'!$L$35-'06_Secuencia_Optima'!$AB$35)*'06_Secuencia_Optima'!$H$35/480),6)))</f>
        <v>0</v>
      </c>
      <c r="M16" s="51">
        <f>IF('07_Calendario'!$E$14=0,"",INT(ROUND(MIN('06_Secuencia_Optima'!$G$35,MAX(0,'07_Calendario'!$H$14-'06_Secuencia_Optima'!$L$35-'06_Secuencia_Optima'!$AB$35)*'06_Secuencia_Optima'!$H$35/480),6))-INT(ROUND(MIN('06_Secuencia_Optima'!$G$35,MAX(0,'07_Calendario'!$G$14-'06_Secuencia_Optima'!$L$35-'06_Secuencia_Optima'!$AB$35)*'06_Secuencia_Optima'!$H$35/480),6)))</f>
        <v>0</v>
      </c>
      <c r="N16" s="51">
        <f>IF('07_Calendario'!$E$15=0,"",INT(ROUND(MIN('06_Secuencia_Optima'!$G$35,MAX(0,'07_Calendario'!$H$15-'06_Secuencia_Optima'!$L$35-'06_Secuencia_Optima'!$AB$35)*'06_Secuencia_Optima'!$H$35/480),6))-INT(ROUND(MIN('06_Secuencia_Optima'!$G$35,MAX(0,'07_Calendario'!$G$15-'06_Secuencia_Optima'!$L$35-'06_Secuencia_Optima'!$AB$35)*'06_Secuencia_Optima'!$H$35/480),6)))</f>
        <v>0</v>
      </c>
      <c r="O16" s="51">
        <f>IF('07_Calendario'!$E$16=0,"",INT(ROUND(MIN('06_Secuencia_Optima'!$G$35,MAX(0,'07_Calendario'!$H$16-'06_Secuencia_Optima'!$L$35-'06_Secuencia_Optima'!$AB$35)*'06_Secuencia_Optima'!$H$35/480),6))-INT(ROUND(MIN('06_Secuencia_Optima'!$G$35,MAX(0,'07_Calendario'!$G$16-'06_Secuencia_Optima'!$L$35-'06_Secuencia_Optima'!$AB$35)*'06_Secuencia_Optima'!$H$35/480),6)))</f>
        <v>0</v>
      </c>
      <c r="P16" s="51">
        <f>IF('07_Calendario'!$E$17=0,"",INT(ROUND(MIN('06_Secuencia_Optima'!$G$35,MAX(0,'07_Calendario'!$H$17-'06_Secuencia_Optima'!$L$35-'06_Secuencia_Optima'!$AB$35)*'06_Secuencia_Optima'!$H$35/480),6))-INT(ROUND(MIN('06_Secuencia_Optima'!$G$35,MAX(0,'07_Calendario'!$G$17-'06_Secuencia_Optima'!$L$35-'06_Secuencia_Optima'!$AB$35)*'06_Secuencia_Optima'!$H$35/480),6)))</f>
        <v>0</v>
      </c>
      <c r="Q16" s="51">
        <f>IF('07_Calendario'!$E$18=0,"",INT(ROUND(MIN('06_Secuencia_Optima'!$G$35,MAX(0,'07_Calendario'!$H$18-'06_Secuencia_Optima'!$L$35-'06_Secuencia_Optima'!$AB$35)*'06_Secuencia_Optima'!$H$35/480),6))-INT(ROUND(MIN('06_Secuencia_Optima'!$G$35,MAX(0,'07_Calendario'!$G$18-'06_Secuencia_Optima'!$L$35-'06_Secuencia_Optima'!$AB$35)*'06_Secuencia_Optima'!$H$35/480),6)))</f>
        <v>0</v>
      </c>
      <c r="R16" s="51" t="str">
        <f>IF('07_Calendario'!$E$19=0,"",INT(ROUND(MIN('06_Secuencia_Optima'!$G$35,MAX(0,'07_Calendario'!$H$19-'06_Secuencia_Optima'!$L$35-'06_Secuencia_Optima'!$AB$35)*'06_Secuencia_Optima'!$H$35/480),6))-INT(ROUND(MIN('06_Secuencia_Optima'!$G$35,MAX(0,'07_Calendario'!$G$19-'06_Secuencia_Optima'!$L$35-'06_Secuencia_Optima'!$AB$35)*'06_Secuencia_Optima'!$H$35/480),6)))</f>
        <v/>
      </c>
      <c r="S16" s="51">
        <f>IF('07_Calendario'!$E$20=0,"",INT(ROUND(MIN('06_Secuencia_Optima'!$G$35,MAX(0,'07_Calendario'!$H$20-'06_Secuencia_Optima'!$L$35-'06_Secuencia_Optima'!$AB$35)*'06_Secuencia_Optima'!$H$35/480),6))-INT(ROUND(MIN('06_Secuencia_Optima'!$G$35,MAX(0,'07_Calendario'!$G$20-'06_Secuencia_Optima'!$L$35-'06_Secuencia_Optima'!$AB$35)*'06_Secuencia_Optima'!$H$35/480),6)))</f>
        <v>0</v>
      </c>
      <c r="T16" s="51">
        <f>IF('07_Calendario'!$E$21=0,"",INT(ROUND(MIN('06_Secuencia_Optima'!$G$35,MAX(0,'07_Calendario'!$H$21-'06_Secuencia_Optima'!$L$35-'06_Secuencia_Optima'!$AB$35)*'06_Secuencia_Optima'!$H$35/480),6))-INT(ROUND(MIN('06_Secuencia_Optima'!$G$35,MAX(0,'07_Calendario'!$G$21-'06_Secuencia_Optima'!$L$35-'06_Secuencia_Optima'!$AB$35)*'06_Secuencia_Optima'!$H$35/480),6)))</f>
        <v>0</v>
      </c>
      <c r="U16" s="51">
        <f>IF('07_Calendario'!$E$22=0,"",INT(ROUND(MIN('06_Secuencia_Optima'!$G$35,MAX(0,'07_Calendario'!$H$22-'06_Secuencia_Optima'!$L$35-'06_Secuencia_Optima'!$AB$35)*'06_Secuencia_Optima'!$H$35/480),6))-INT(ROUND(MIN('06_Secuencia_Optima'!$G$35,MAX(0,'07_Calendario'!$G$22-'06_Secuencia_Optima'!$L$35-'06_Secuencia_Optima'!$AB$35)*'06_Secuencia_Optima'!$H$35/480),6)))</f>
        <v>0</v>
      </c>
      <c r="V16" s="51">
        <f>IF('07_Calendario'!$E$23=0,"",INT(ROUND(MIN('06_Secuencia_Optima'!$G$35,MAX(0,'07_Calendario'!$H$23-'06_Secuencia_Optima'!$L$35-'06_Secuencia_Optima'!$AB$35)*'06_Secuencia_Optima'!$H$35/480),6))-INT(ROUND(MIN('06_Secuencia_Optima'!$G$35,MAX(0,'07_Calendario'!$G$23-'06_Secuencia_Optima'!$L$35-'06_Secuencia_Optima'!$AB$35)*'06_Secuencia_Optima'!$H$35/480),6)))</f>
        <v>0</v>
      </c>
      <c r="W16" s="51">
        <f>IF('07_Calendario'!$E$24=0,"",INT(ROUND(MIN('06_Secuencia_Optima'!$G$35,MAX(0,'07_Calendario'!$H$24-'06_Secuencia_Optima'!$L$35-'06_Secuencia_Optima'!$AB$35)*'06_Secuencia_Optima'!$H$35/480),6))-INT(ROUND(MIN('06_Secuencia_Optima'!$G$35,MAX(0,'07_Calendario'!$G$24-'06_Secuencia_Optima'!$L$35-'06_Secuencia_Optima'!$AB$35)*'06_Secuencia_Optima'!$H$35/480),6)))</f>
        <v>0</v>
      </c>
      <c r="X16" s="51">
        <f>IF('07_Calendario'!$E$25=0,"",INT(ROUND(MIN('06_Secuencia_Optima'!$G$35,MAX(0,'07_Calendario'!$H$25-'06_Secuencia_Optima'!$L$35-'06_Secuencia_Optima'!$AB$35)*'06_Secuencia_Optima'!$H$35/480),6))-INT(ROUND(MIN('06_Secuencia_Optima'!$G$35,MAX(0,'07_Calendario'!$G$25-'06_Secuencia_Optima'!$L$35-'06_Secuencia_Optima'!$AB$35)*'06_Secuencia_Optima'!$H$35/480),6)))</f>
        <v>0</v>
      </c>
      <c r="Y16" s="51">
        <f>IF('07_Calendario'!$E$26=0,"",INT(ROUND(MIN('06_Secuencia_Optima'!$G$35,MAX(0,'07_Calendario'!$H$26-'06_Secuencia_Optima'!$L$35-'06_Secuencia_Optima'!$AB$35)*'06_Secuencia_Optima'!$H$35/480),6))-INT(ROUND(MIN('06_Secuencia_Optima'!$G$35,MAX(0,'07_Calendario'!$G$26-'06_Secuencia_Optima'!$L$35-'06_Secuencia_Optima'!$AB$35)*'06_Secuencia_Optima'!$H$35/480),6)))</f>
        <v>0</v>
      </c>
      <c r="Z16" s="51">
        <f>IF('07_Calendario'!$E$27=0,"",INT(ROUND(MIN('06_Secuencia_Optima'!$G$35,MAX(0,'07_Calendario'!$H$27-'06_Secuencia_Optima'!$L$35-'06_Secuencia_Optima'!$AB$35)*'06_Secuencia_Optima'!$H$35/480),6))-INT(ROUND(MIN('06_Secuencia_Optima'!$G$35,MAX(0,'07_Calendario'!$G$27-'06_Secuencia_Optima'!$L$35-'06_Secuencia_Optima'!$AB$35)*'06_Secuencia_Optima'!$H$35/480),6)))</f>
        <v>0</v>
      </c>
      <c r="AA16" s="51">
        <f>IF('07_Calendario'!$E$28=0,"",INT(ROUND(MIN('06_Secuencia_Optima'!$G$35,MAX(0,'07_Calendario'!$H$28-'06_Secuencia_Optima'!$L$35-'06_Secuencia_Optima'!$AB$35)*'06_Secuencia_Optima'!$H$35/480),6))-INT(ROUND(MIN('06_Secuencia_Optima'!$G$35,MAX(0,'07_Calendario'!$G$28-'06_Secuencia_Optima'!$L$35-'06_Secuencia_Optima'!$AB$35)*'06_Secuencia_Optima'!$H$35/480),6)))</f>
        <v>0</v>
      </c>
      <c r="AB16" s="51">
        <f>IF('07_Calendario'!$E$29=0,"",INT(ROUND(MIN('06_Secuencia_Optima'!$G$35,MAX(0,'07_Calendario'!$H$29-'06_Secuencia_Optima'!$L$35-'06_Secuencia_Optima'!$AB$35)*'06_Secuencia_Optima'!$H$35/480),6))-INT(ROUND(MIN('06_Secuencia_Optima'!$G$35,MAX(0,'07_Calendario'!$G$29-'06_Secuencia_Optima'!$L$35-'06_Secuencia_Optima'!$AB$35)*'06_Secuencia_Optima'!$H$35/480),6)))</f>
        <v>0</v>
      </c>
      <c r="AC16" s="51">
        <f>IF('07_Calendario'!$E$30=0,"",INT(ROUND(MIN('06_Secuencia_Optima'!$G$35,MAX(0,'07_Calendario'!$H$30-'06_Secuencia_Optima'!$L$35-'06_Secuencia_Optima'!$AB$35)*'06_Secuencia_Optima'!$H$35/480),6))-INT(ROUND(MIN('06_Secuencia_Optima'!$G$35,MAX(0,'07_Calendario'!$G$30-'06_Secuencia_Optima'!$L$35-'06_Secuencia_Optima'!$AB$35)*'06_Secuencia_Optima'!$H$35/480),6)))</f>
        <v>0</v>
      </c>
      <c r="AD16" s="51">
        <f>IF('07_Calendario'!$E$31=0,"",INT(ROUND(MIN('06_Secuencia_Optima'!$G$35,MAX(0,'07_Calendario'!$H$31-'06_Secuencia_Optima'!$L$35-'06_Secuencia_Optima'!$AB$35)*'06_Secuencia_Optima'!$H$35/480),6))-INT(ROUND(MIN('06_Secuencia_Optima'!$G$35,MAX(0,'07_Calendario'!$G$31-'06_Secuencia_Optima'!$L$35-'06_Secuencia_Optima'!$AB$35)*'06_Secuencia_Optima'!$H$35/480),6)))</f>
        <v>0</v>
      </c>
      <c r="AE16" s="51">
        <f>IF('07_Calendario'!$E$32=0,"",INT(ROUND(MIN('06_Secuencia_Optima'!$G$35,MAX(0,'07_Calendario'!$H$32-'06_Secuencia_Optima'!$L$35-'06_Secuencia_Optima'!$AB$35)*'06_Secuencia_Optima'!$H$35/480),6))-INT(ROUND(MIN('06_Secuencia_Optima'!$G$35,MAX(0,'07_Calendario'!$G$32-'06_Secuencia_Optima'!$L$35-'06_Secuencia_Optima'!$AB$35)*'06_Secuencia_Optima'!$H$35/480),6)))</f>
        <v>0</v>
      </c>
      <c r="AF16" s="51">
        <f>IF('07_Calendario'!$E$33=0,"",INT(ROUND(MIN('06_Secuencia_Optima'!$G$35,MAX(0,'07_Calendario'!$H$33-'06_Secuencia_Optima'!$L$35-'06_Secuencia_Optima'!$AB$35)*'06_Secuencia_Optima'!$H$35/480),6))-INT(ROUND(MIN('06_Secuencia_Optima'!$G$35,MAX(0,'07_Calendario'!$G$33-'06_Secuencia_Optima'!$L$35-'06_Secuencia_Optima'!$AB$35)*'06_Secuencia_Optima'!$H$35/480),6)))</f>
        <v>0</v>
      </c>
      <c r="AG16" s="51">
        <f>IF('07_Calendario'!$E$34=0,"",INT(ROUND(MIN('06_Secuencia_Optima'!$G$35,MAX(0,'07_Calendario'!$H$34-'06_Secuencia_Optima'!$L$35-'06_Secuencia_Optima'!$AB$35)*'06_Secuencia_Optima'!$H$35/480),6))-INT(ROUND(MIN('06_Secuencia_Optima'!$G$35,MAX(0,'07_Calendario'!$G$34-'06_Secuencia_Optima'!$L$35-'06_Secuencia_Optima'!$AB$35)*'06_Secuencia_Optima'!$H$35/480),6)))</f>
        <v>0</v>
      </c>
      <c r="AH16" s="51">
        <f>IF('07_Calendario'!$E$35=0,"",INT(ROUND(MIN('06_Secuencia_Optima'!$G$35,MAX(0,'07_Calendario'!$H$35-'06_Secuencia_Optima'!$L$35-'06_Secuencia_Optima'!$AB$35)*'06_Secuencia_Optima'!$H$35/480),6))-INT(ROUND(MIN('06_Secuencia_Optima'!$G$35,MAX(0,'07_Calendario'!$G$35-'06_Secuencia_Optima'!$L$35-'06_Secuencia_Optima'!$AB$35)*'06_Secuencia_Optima'!$H$35/480),6)))</f>
        <v>0</v>
      </c>
      <c r="AI16" s="51">
        <f>IF('07_Calendario'!$E$36=0,"",INT(ROUND(MIN('06_Secuencia_Optima'!$G$35,MAX(0,'07_Calendario'!$H$36-'06_Secuencia_Optima'!$L$35-'06_Secuencia_Optima'!$AB$35)*'06_Secuencia_Optima'!$H$35/480),6))-INT(ROUND(MIN('06_Secuencia_Optima'!$G$35,MAX(0,'07_Calendario'!$G$36-'06_Secuencia_Optima'!$L$35-'06_Secuencia_Optima'!$AB$35)*'06_Secuencia_Optima'!$H$35/480),6)))</f>
        <v>0</v>
      </c>
      <c r="AJ16" s="51" t="str">
        <f>IF('07_Calendario'!$E$37=0,"",INT(ROUND(MIN('06_Secuencia_Optima'!$G$35,MAX(0,'07_Calendario'!$H$37-'06_Secuencia_Optima'!$L$35-'06_Secuencia_Optima'!$AB$35)*'06_Secuencia_Optima'!$H$35/480),6))-INT(ROUND(MIN('06_Secuencia_Optima'!$G$35,MAX(0,'07_Calendario'!$G$37-'06_Secuencia_Optima'!$L$35-'06_Secuencia_Optima'!$AB$35)*'06_Secuencia_Optima'!$H$35/480),6)))</f>
        <v/>
      </c>
      <c r="AK16" s="51">
        <f>IF('07_Calendario'!$E$38=0,"",INT(ROUND(MIN('06_Secuencia_Optima'!$G$35,MAX(0,'07_Calendario'!$H$38-'06_Secuencia_Optima'!$L$35-'06_Secuencia_Optima'!$AB$35)*'06_Secuencia_Optima'!$H$35/480),6))-INT(ROUND(MIN('06_Secuencia_Optima'!$G$35,MAX(0,'07_Calendario'!$G$38-'06_Secuencia_Optima'!$L$35-'06_Secuencia_Optima'!$AB$35)*'06_Secuencia_Optima'!$H$35/480),6)))</f>
        <v>0</v>
      </c>
      <c r="AL16" s="51">
        <f>IF('07_Calendario'!$E$39=0,"",INT(ROUND(MIN('06_Secuencia_Optima'!$G$35,MAX(0,'07_Calendario'!$H$39-'06_Secuencia_Optima'!$L$35-'06_Secuencia_Optima'!$AB$35)*'06_Secuencia_Optima'!$H$35/480),6))-INT(ROUND(MIN('06_Secuencia_Optima'!$G$35,MAX(0,'07_Calendario'!$G$39-'06_Secuencia_Optima'!$L$35-'06_Secuencia_Optima'!$AB$35)*'06_Secuencia_Optima'!$H$35/480),6)))</f>
        <v>0</v>
      </c>
      <c r="AM16" s="51">
        <f>IF('07_Calendario'!$E$40=0,"",INT(ROUND(MIN('06_Secuencia_Optima'!$G$35,MAX(0,'07_Calendario'!$H$40-'06_Secuencia_Optima'!$L$35-'06_Secuencia_Optima'!$AB$35)*'06_Secuencia_Optima'!$H$35/480),6))-INT(ROUND(MIN('06_Secuencia_Optima'!$G$35,MAX(0,'07_Calendario'!$G$40-'06_Secuencia_Optima'!$L$35-'06_Secuencia_Optima'!$AB$35)*'06_Secuencia_Optima'!$H$35/480),6)))</f>
        <v>0</v>
      </c>
      <c r="AN16" s="51">
        <f>IF('07_Calendario'!$E$41=0,"",INT(ROUND(MIN('06_Secuencia_Optima'!$G$35,MAX(0,'07_Calendario'!$H$41-'06_Secuencia_Optima'!$L$35-'06_Secuencia_Optima'!$AB$35)*'06_Secuencia_Optima'!$H$35/480),6))-INT(ROUND(MIN('06_Secuencia_Optima'!$G$35,MAX(0,'07_Calendario'!$G$41-'06_Secuencia_Optima'!$L$35-'06_Secuencia_Optima'!$AB$35)*'06_Secuencia_Optima'!$H$35/480),6)))</f>
        <v>0</v>
      </c>
      <c r="AO16" s="51">
        <f>IF('07_Calendario'!$E$42=0,"",INT(ROUND(MIN('06_Secuencia_Optima'!$G$35,MAX(0,'07_Calendario'!$H$42-'06_Secuencia_Optima'!$L$35-'06_Secuencia_Optima'!$AB$35)*'06_Secuencia_Optima'!$H$35/480),6))-INT(ROUND(MIN('06_Secuencia_Optima'!$G$35,MAX(0,'07_Calendario'!$G$42-'06_Secuencia_Optima'!$L$35-'06_Secuencia_Optima'!$AB$35)*'06_Secuencia_Optima'!$H$35/480),6)))</f>
        <v>0</v>
      </c>
      <c r="AP16" s="51">
        <f>IF('07_Calendario'!$E$43=0,"",INT(ROUND(MIN('06_Secuencia_Optima'!$G$35,MAX(0,'07_Calendario'!$H$43-'06_Secuencia_Optima'!$L$35-'06_Secuencia_Optima'!$AB$35)*'06_Secuencia_Optima'!$H$35/480),6))-INT(ROUND(MIN('06_Secuencia_Optima'!$G$35,MAX(0,'07_Calendario'!$G$43-'06_Secuencia_Optima'!$L$35-'06_Secuencia_Optima'!$AB$35)*'06_Secuencia_Optima'!$H$35/480),6)))</f>
        <v>0</v>
      </c>
      <c r="AQ16" s="51">
        <f>IF('07_Calendario'!$E$44=0,"",INT(ROUND(MIN('06_Secuencia_Optima'!$G$35,MAX(0,'07_Calendario'!$H$44-'06_Secuencia_Optima'!$L$35-'06_Secuencia_Optima'!$AB$35)*'06_Secuencia_Optima'!$H$35/480),6))-INT(ROUND(MIN('06_Secuencia_Optima'!$G$35,MAX(0,'07_Calendario'!$G$44-'06_Secuencia_Optima'!$L$35-'06_Secuencia_Optima'!$AB$35)*'06_Secuencia_Optima'!$H$35/480),6)))</f>
        <v>0</v>
      </c>
      <c r="AR16" s="51">
        <f>IF('07_Calendario'!$E$45=0,"",INT(ROUND(MIN('06_Secuencia_Optima'!$G$35,MAX(0,'07_Calendario'!$H$45-'06_Secuencia_Optima'!$L$35-'06_Secuencia_Optima'!$AB$35)*'06_Secuencia_Optima'!$H$35/480),6))-INT(ROUND(MIN('06_Secuencia_Optima'!$G$35,MAX(0,'07_Calendario'!$G$45-'06_Secuencia_Optima'!$L$35-'06_Secuencia_Optima'!$AB$35)*'06_Secuencia_Optima'!$H$35/480),6)))</f>
        <v>0</v>
      </c>
      <c r="AS16" s="51">
        <f>IF('07_Calendario'!$E$46=0,"",INT(ROUND(MIN('06_Secuencia_Optima'!$G$35,MAX(0,'07_Calendario'!$H$46-'06_Secuencia_Optima'!$L$35-'06_Secuencia_Optima'!$AB$35)*'06_Secuencia_Optima'!$H$35/480),6))-INT(ROUND(MIN('06_Secuencia_Optima'!$G$35,MAX(0,'07_Calendario'!$G$46-'06_Secuencia_Optima'!$L$35-'06_Secuencia_Optima'!$AB$35)*'06_Secuencia_Optima'!$H$35/480),6)))</f>
        <v>0</v>
      </c>
      <c r="AT16" s="51">
        <f>IF('07_Calendario'!$E$47=0,"",INT(ROUND(MIN('06_Secuencia_Optima'!$G$35,MAX(0,'07_Calendario'!$H$47-'06_Secuencia_Optima'!$L$35-'06_Secuencia_Optima'!$AB$35)*'06_Secuencia_Optima'!$H$35/480),6))-INT(ROUND(MIN('06_Secuencia_Optima'!$G$35,MAX(0,'07_Calendario'!$G$47-'06_Secuencia_Optima'!$L$35-'06_Secuencia_Optima'!$AB$35)*'06_Secuencia_Optima'!$H$35/480),6)))</f>
        <v>0</v>
      </c>
      <c r="AU16" s="51">
        <f>IF('07_Calendario'!$E$48=0,"",INT(ROUND(MIN('06_Secuencia_Optima'!$G$35,MAX(0,'07_Calendario'!$H$48-'06_Secuencia_Optima'!$L$35-'06_Secuencia_Optima'!$AB$35)*'06_Secuencia_Optima'!$H$35/480),6))-INT(ROUND(MIN('06_Secuencia_Optima'!$G$35,MAX(0,'07_Calendario'!$G$48-'06_Secuencia_Optima'!$L$35-'06_Secuencia_Optima'!$AB$35)*'06_Secuencia_Optima'!$H$35/480),6)))</f>
        <v>0</v>
      </c>
      <c r="AV16" s="51">
        <f>IF('07_Calendario'!$E$49=0,"",INT(ROUND(MIN('06_Secuencia_Optima'!$G$35,MAX(0,'07_Calendario'!$H$49-'06_Secuencia_Optima'!$L$35-'06_Secuencia_Optima'!$AB$35)*'06_Secuencia_Optima'!$H$35/480),6))-INT(ROUND(MIN('06_Secuencia_Optima'!$G$35,MAX(0,'07_Calendario'!$G$49-'06_Secuencia_Optima'!$L$35-'06_Secuencia_Optima'!$AB$35)*'06_Secuencia_Optima'!$H$35/480),6)))</f>
        <v>0</v>
      </c>
      <c r="AW16" s="51">
        <f>IF('07_Calendario'!$E$50=0,"",INT(ROUND(MIN('06_Secuencia_Optima'!$G$35,MAX(0,'07_Calendario'!$H$50-'06_Secuencia_Optima'!$L$35-'06_Secuencia_Optima'!$AB$35)*'06_Secuencia_Optima'!$H$35/480),6))-INT(ROUND(MIN('06_Secuencia_Optima'!$G$35,MAX(0,'07_Calendario'!$G$50-'06_Secuencia_Optima'!$L$35-'06_Secuencia_Optima'!$AB$35)*'06_Secuencia_Optima'!$H$35/480),6)))</f>
        <v>0</v>
      </c>
      <c r="AX16" s="51">
        <f>IF('07_Calendario'!$E$51=0,"",INT(ROUND(MIN('06_Secuencia_Optima'!$G$35,MAX(0,'07_Calendario'!$H$51-'06_Secuencia_Optima'!$L$35-'06_Secuencia_Optima'!$AB$35)*'06_Secuencia_Optima'!$H$35/480),6))-INT(ROUND(MIN('06_Secuencia_Optima'!$G$35,MAX(0,'07_Calendario'!$G$51-'06_Secuencia_Optima'!$L$35-'06_Secuencia_Optima'!$AB$35)*'06_Secuencia_Optima'!$H$35/480),6)))</f>
        <v>0</v>
      </c>
      <c r="AY16" s="51">
        <f>IF('07_Calendario'!$E$52=0,"",INT(ROUND(MIN('06_Secuencia_Optima'!$G$35,MAX(0,'07_Calendario'!$H$52-'06_Secuencia_Optima'!$L$35-'06_Secuencia_Optima'!$AB$35)*'06_Secuencia_Optima'!$H$35/480),6))-INT(ROUND(MIN('06_Secuencia_Optima'!$G$35,MAX(0,'07_Calendario'!$G$52-'06_Secuencia_Optima'!$L$35-'06_Secuencia_Optima'!$AB$35)*'06_Secuencia_Optima'!$H$35/480),6)))</f>
        <v>0</v>
      </c>
      <c r="AZ16" s="51">
        <f>IF('07_Calendario'!$E$53=0,"",INT(ROUND(MIN('06_Secuencia_Optima'!$G$35,MAX(0,'07_Calendario'!$H$53-'06_Secuencia_Optima'!$L$35-'06_Secuencia_Optima'!$AB$35)*'06_Secuencia_Optima'!$H$35/480),6))-INT(ROUND(MIN('06_Secuencia_Optima'!$G$35,MAX(0,'07_Calendario'!$G$53-'06_Secuencia_Optima'!$L$35-'06_Secuencia_Optima'!$AB$35)*'06_Secuencia_Optima'!$H$35/480),6)))</f>
        <v>0</v>
      </c>
      <c r="BA16" s="51">
        <f>IF('07_Calendario'!$E$54=0,"",INT(ROUND(MIN('06_Secuencia_Optima'!$G$35,MAX(0,'07_Calendario'!$H$54-'06_Secuencia_Optima'!$L$35-'06_Secuencia_Optima'!$AB$35)*'06_Secuencia_Optima'!$H$35/480),6))-INT(ROUND(MIN('06_Secuencia_Optima'!$G$35,MAX(0,'07_Calendario'!$G$54-'06_Secuencia_Optima'!$L$35-'06_Secuencia_Optima'!$AB$35)*'06_Secuencia_Optima'!$H$35/480),6)))</f>
        <v>0</v>
      </c>
      <c r="BB16" s="51" t="str">
        <f>IF('07_Calendario'!$E$55=0,"",INT(ROUND(MIN('06_Secuencia_Optima'!$G$35,MAX(0,'07_Calendario'!$H$55-'06_Secuencia_Optima'!$L$35-'06_Secuencia_Optima'!$AB$35)*'06_Secuencia_Optima'!$H$35/480),6))-INT(ROUND(MIN('06_Secuencia_Optima'!$G$35,MAX(0,'07_Calendario'!$G$55-'06_Secuencia_Optima'!$L$35-'06_Secuencia_Optima'!$AB$35)*'06_Secuencia_Optima'!$H$35/480),6)))</f>
        <v/>
      </c>
      <c r="BC16" s="51">
        <f>IF('07_Calendario'!$E$56=0,"",INT(ROUND(MIN('06_Secuencia_Optima'!$G$35,MAX(0,'07_Calendario'!$H$56-'06_Secuencia_Optima'!$L$35-'06_Secuencia_Optima'!$AB$35)*'06_Secuencia_Optima'!$H$35/480),6))-INT(ROUND(MIN('06_Secuencia_Optima'!$G$35,MAX(0,'07_Calendario'!$G$56-'06_Secuencia_Optima'!$L$35-'06_Secuencia_Optima'!$AB$35)*'06_Secuencia_Optima'!$H$35/480),6)))</f>
        <v>0</v>
      </c>
      <c r="BD16" s="51">
        <f>IF('07_Calendario'!$E$57=0,"",INT(ROUND(MIN('06_Secuencia_Optima'!$G$35,MAX(0,'07_Calendario'!$H$57-'06_Secuencia_Optima'!$L$35-'06_Secuencia_Optima'!$AB$35)*'06_Secuencia_Optima'!$H$35/480),6))-INT(ROUND(MIN('06_Secuencia_Optima'!$G$35,MAX(0,'07_Calendario'!$G$57-'06_Secuencia_Optima'!$L$35-'06_Secuencia_Optima'!$AB$35)*'06_Secuencia_Optima'!$H$35/480),6)))</f>
        <v>0</v>
      </c>
      <c r="BE16" s="51">
        <f>IF('07_Calendario'!$E$58=0,"",INT(ROUND(MIN('06_Secuencia_Optima'!$G$35,MAX(0,'07_Calendario'!$H$58-'06_Secuencia_Optima'!$L$35-'06_Secuencia_Optima'!$AB$35)*'06_Secuencia_Optima'!$H$35/480),6))-INT(ROUND(MIN('06_Secuencia_Optima'!$G$35,MAX(0,'07_Calendario'!$G$58-'06_Secuencia_Optima'!$L$35-'06_Secuencia_Optima'!$AB$35)*'06_Secuencia_Optima'!$H$35/480),6)))</f>
        <v>0</v>
      </c>
      <c r="BF16" s="51">
        <f>IF('07_Calendario'!$E$59=0,"",INT(ROUND(MIN('06_Secuencia_Optima'!$G$35,MAX(0,'07_Calendario'!$H$59-'06_Secuencia_Optima'!$L$35-'06_Secuencia_Optima'!$AB$35)*'06_Secuencia_Optima'!$H$35/480),6))-INT(ROUND(MIN('06_Secuencia_Optima'!$G$35,MAX(0,'07_Calendario'!$G$59-'06_Secuencia_Optima'!$L$35-'06_Secuencia_Optima'!$AB$35)*'06_Secuencia_Optima'!$H$35/480),6)))</f>
        <v>0</v>
      </c>
      <c r="BG16" s="51">
        <f>IF('07_Calendario'!$E$60=0,"",INT(ROUND(MIN('06_Secuencia_Optima'!$G$35,MAX(0,'07_Calendario'!$H$60-'06_Secuencia_Optima'!$L$35-'06_Secuencia_Optima'!$AB$35)*'06_Secuencia_Optima'!$H$35/480),6))-INT(ROUND(MIN('06_Secuencia_Optima'!$G$35,MAX(0,'07_Calendario'!$G$60-'06_Secuencia_Optima'!$L$35-'06_Secuencia_Optima'!$AB$35)*'06_Secuencia_Optima'!$H$35/480),6)))</f>
        <v>0</v>
      </c>
      <c r="BH16" s="51">
        <f>IF('07_Calendario'!$E$61=0,"",INT(ROUND(MIN('06_Secuencia_Optima'!$G$35,MAX(0,'07_Calendario'!$H$61-'06_Secuencia_Optima'!$L$35-'06_Secuencia_Optima'!$AB$35)*'06_Secuencia_Optima'!$H$35/480),6))-INT(ROUND(MIN('06_Secuencia_Optima'!$G$35,MAX(0,'07_Calendario'!$G$61-'06_Secuencia_Optima'!$L$35-'06_Secuencia_Optima'!$AB$35)*'06_Secuencia_Optima'!$H$35/480),6)))</f>
        <v>0</v>
      </c>
      <c r="BI16" s="51">
        <f>IF('07_Calendario'!$E$62=0,"",INT(ROUND(MIN('06_Secuencia_Optima'!$G$35,MAX(0,'07_Calendario'!$H$62-'06_Secuencia_Optima'!$L$35-'06_Secuencia_Optima'!$AB$35)*'06_Secuencia_Optima'!$H$35/480),6))-INT(ROUND(MIN('06_Secuencia_Optima'!$G$35,MAX(0,'07_Calendario'!$G$62-'06_Secuencia_Optima'!$L$35-'06_Secuencia_Optima'!$AB$35)*'06_Secuencia_Optima'!$H$35/480),6)))</f>
        <v>0</v>
      </c>
      <c r="BJ16" s="51">
        <f>IF('07_Calendario'!$E$63=0,"",INT(ROUND(MIN('06_Secuencia_Optima'!$G$35,MAX(0,'07_Calendario'!$H$63-'06_Secuencia_Optima'!$L$35-'06_Secuencia_Optima'!$AB$35)*'06_Secuencia_Optima'!$H$35/480),6))-INT(ROUND(MIN('06_Secuencia_Optima'!$G$35,MAX(0,'07_Calendario'!$G$63-'06_Secuencia_Optima'!$L$35-'06_Secuencia_Optima'!$AB$35)*'06_Secuencia_Optima'!$H$35/480),6)))</f>
        <v>0</v>
      </c>
      <c r="BK16" s="51">
        <f>IF('07_Calendario'!$E$64=0,"",INT(ROUND(MIN('06_Secuencia_Optima'!$G$35,MAX(0,'07_Calendario'!$H$64-'06_Secuencia_Optima'!$L$35-'06_Secuencia_Optima'!$AB$35)*'06_Secuencia_Optima'!$H$35/480),6))-INT(ROUND(MIN('06_Secuencia_Optima'!$G$35,MAX(0,'07_Calendario'!$G$64-'06_Secuencia_Optima'!$L$35-'06_Secuencia_Optima'!$AB$35)*'06_Secuencia_Optima'!$H$35/480),6)))</f>
        <v>0</v>
      </c>
      <c r="BL16" s="51">
        <f>IF('07_Calendario'!$E$65=0,"",INT(ROUND(MIN('06_Secuencia_Optima'!$G$35,MAX(0,'07_Calendario'!$H$65-'06_Secuencia_Optima'!$L$35-'06_Secuencia_Optima'!$AB$35)*'06_Secuencia_Optima'!$H$35/480),6))-INT(ROUND(MIN('06_Secuencia_Optima'!$G$35,MAX(0,'07_Calendario'!$G$65-'06_Secuencia_Optima'!$L$35-'06_Secuencia_Optima'!$AB$35)*'06_Secuencia_Optima'!$H$35/480),6)))</f>
        <v>0</v>
      </c>
      <c r="BM16" s="51">
        <f>IF('07_Calendario'!$E$66=0,"",INT(ROUND(MIN('06_Secuencia_Optima'!$G$35,MAX(0,'07_Calendario'!$H$66-'06_Secuencia_Optima'!$L$35-'06_Secuencia_Optima'!$AB$35)*'06_Secuencia_Optima'!$H$35/480),6))-INT(ROUND(MIN('06_Secuencia_Optima'!$G$35,MAX(0,'07_Calendario'!$G$66-'06_Secuencia_Optima'!$L$35-'06_Secuencia_Optima'!$AB$35)*'06_Secuencia_Optima'!$H$35/480),6)))</f>
        <v>0</v>
      </c>
      <c r="BN16" s="51">
        <f>IF('07_Calendario'!$E$67=0,"",INT(ROUND(MIN('06_Secuencia_Optima'!$G$35,MAX(0,'07_Calendario'!$H$67-'06_Secuencia_Optima'!$L$35-'06_Secuencia_Optima'!$AB$35)*'06_Secuencia_Optima'!$H$35/480),6))-INT(ROUND(MIN('06_Secuencia_Optima'!$G$35,MAX(0,'07_Calendario'!$G$67-'06_Secuencia_Optima'!$L$35-'06_Secuencia_Optima'!$AB$35)*'06_Secuencia_Optima'!$H$35/480),6)))</f>
        <v>0</v>
      </c>
      <c r="BO16" s="51">
        <f>IF('07_Calendario'!$E$68=0,"",INT(ROUND(MIN('06_Secuencia_Optima'!$G$35,MAX(0,'07_Calendario'!$H$68-'06_Secuencia_Optima'!$L$35-'06_Secuencia_Optima'!$AB$35)*'06_Secuencia_Optima'!$H$35/480),6))-INT(ROUND(MIN('06_Secuencia_Optima'!$G$35,MAX(0,'07_Calendario'!$G$68-'06_Secuencia_Optima'!$L$35-'06_Secuencia_Optima'!$AB$35)*'06_Secuencia_Optima'!$H$35/480),6)))</f>
        <v>0</v>
      </c>
      <c r="BP16" s="51">
        <f>IF('07_Calendario'!$E$69=0,"",INT(ROUND(MIN('06_Secuencia_Optima'!$G$35,MAX(0,'07_Calendario'!$H$69-'06_Secuencia_Optima'!$L$35-'06_Secuencia_Optima'!$AB$35)*'06_Secuencia_Optima'!$H$35/480),6))-INT(ROUND(MIN('06_Secuencia_Optima'!$G$35,MAX(0,'07_Calendario'!$G$69-'06_Secuencia_Optima'!$L$35-'06_Secuencia_Optima'!$AB$35)*'06_Secuencia_Optima'!$H$35/480),6)))</f>
        <v>0</v>
      </c>
      <c r="BQ16" s="51">
        <f>IF('07_Calendario'!$E$70=0,"",INT(ROUND(MIN('06_Secuencia_Optima'!$G$35,MAX(0,'07_Calendario'!$H$70-'06_Secuencia_Optima'!$L$35-'06_Secuencia_Optima'!$AB$35)*'06_Secuencia_Optima'!$H$35/480),6))-INT(ROUND(MIN('06_Secuencia_Optima'!$G$35,MAX(0,'07_Calendario'!$G$70-'06_Secuencia_Optima'!$L$35-'06_Secuencia_Optima'!$AB$35)*'06_Secuencia_Optima'!$H$35/480),6)))</f>
        <v>0</v>
      </c>
      <c r="BR16" s="51">
        <f>IF('07_Calendario'!$E$71=0,"",INT(ROUND(MIN('06_Secuencia_Optima'!$G$35,MAX(0,'07_Calendario'!$H$71-'06_Secuencia_Optima'!$L$35-'06_Secuencia_Optima'!$AB$35)*'06_Secuencia_Optima'!$H$35/480),6))-INT(ROUND(MIN('06_Secuencia_Optima'!$G$35,MAX(0,'07_Calendario'!$G$71-'06_Secuencia_Optima'!$L$35-'06_Secuencia_Optima'!$AB$35)*'06_Secuencia_Optima'!$H$35/480),6)))</f>
        <v>0</v>
      </c>
      <c r="BS16" s="51">
        <f>IF('07_Calendario'!$E$72=0,"",INT(ROUND(MIN('06_Secuencia_Optima'!$G$35,MAX(0,'07_Calendario'!$H$72-'06_Secuencia_Optima'!$L$35-'06_Secuencia_Optima'!$AB$35)*'06_Secuencia_Optima'!$H$35/480),6))-INT(ROUND(MIN('06_Secuencia_Optima'!$G$35,MAX(0,'07_Calendario'!$G$72-'06_Secuencia_Optima'!$L$35-'06_Secuencia_Optima'!$AB$35)*'06_Secuencia_Optima'!$H$35/480),6)))</f>
        <v>0</v>
      </c>
      <c r="BT16" s="51" t="str">
        <f>IF('07_Calendario'!$E$73=0,"",INT(ROUND(MIN('06_Secuencia_Optima'!$G$35,MAX(0,'07_Calendario'!$H$73-'06_Secuencia_Optima'!$L$35-'06_Secuencia_Optima'!$AB$35)*'06_Secuencia_Optima'!$H$35/480),6))-INT(ROUND(MIN('06_Secuencia_Optima'!$G$35,MAX(0,'07_Calendario'!$G$73-'06_Secuencia_Optima'!$L$35-'06_Secuencia_Optima'!$AB$35)*'06_Secuencia_Optima'!$H$35/480),6)))</f>
        <v/>
      </c>
      <c r="BU16" s="51">
        <f>IF('07_Calendario'!$E$74=0,"",INT(ROUND(MIN('06_Secuencia_Optima'!$G$35,MAX(0,'07_Calendario'!$H$74-'06_Secuencia_Optima'!$L$35-'06_Secuencia_Optima'!$AB$35)*'06_Secuencia_Optima'!$H$35/480),6))-INT(ROUND(MIN('06_Secuencia_Optima'!$G$35,MAX(0,'07_Calendario'!$G$74-'06_Secuencia_Optima'!$L$35-'06_Secuencia_Optima'!$AB$35)*'06_Secuencia_Optima'!$H$35/480),6)))</f>
        <v>0</v>
      </c>
      <c r="BV16" s="51">
        <f>IF('07_Calendario'!$E$75=0,"",INT(ROUND(MIN('06_Secuencia_Optima'!$G$35,MAX(0,'07_Calendario'!$H$75-'06_Secuencia_Optima'!$L$35-'06_Secuencia_Optima'!$AB$35)*'06_Secuencia_Optima'!$H$35/480),6))-INT(ROUND(MIN('06_Secuencia_Optima'!$G$35,MAX(0,'07_Calendario'!$G$75-'06_Secuencia_Optima'!$L$35-'06_Secuencia_Optima'!$AB$35)*'06_Secuencia_Optima'!$H$35/480),6)))</f>
        <v>0</v>
      </c>
      <c r="BW16" s="51">
        <f>IF('07_Calendario'!$E$76=0,"",INT(ROUND(MIN('06_Secuencia_Optima'!$G$35,MAX(0,'07_Calendario'!$H$76-'06_Secuencia_Optima'!$L$35-'06_Secuencia_Optima'!$AB$35)*'06_Secuencia_Optima'!$H$35/480),6))-INT(ROUND(MIN('06_Secuencia_Optima'!$G$35,MAX(0,'07_Calendario'!$G$76-'06_Secuencia_Optima'!$L$35-'06_Secuencia_Optima'!$AB$35)*'06_Secuencia_Optima'!$H$35/480),6)))</f>
        <v>0</v>
      </c>
      <c r="BX16" s="51">
        <f>IF('07_Calendario'!$E$77=0,"",INT(ROUND(MIN('06_Secuencia_Optima'!$G$35,MAX(0,'07_Calendario'!$H$77-'06_Secuencia_Optima'!$L$35-'06_Secuencia_Optima'!$AB$35)*'06_Secuencia_Optima'!$H$35/480),6))-INT(ROUND(MIN('06_Secuencia_Optima'!$G$35,MAX(0,'07_Calendario'!$G$77-'06_Secuencia_Optima'!$L$35-'06_Secuencia_Optima'!$AB$35)*'06_Secuencia_Optima'!$H$35/480),6)))</f>
        <v>0</v>
      </c>
      <c r="BY16" s="51">
        <f>IF('07_Calendario'!$E$78=0,"",INT(ROUND(MIN('06_Secuencia_Optima'!$G$35,MAX(0,'07_Calendario'!$H$78-'06_Secuencia_Optima'!$L$35-'06_Secuencia_Optima'!$AB$35)*'06_Secuencia_Optima'!$H$35/480),6))-INT(ROUND(MIN('06_Secuencia_Optima'!$G$35,MAX(0,'07_Calendario'!$G$78-'06_Secuencia_Optima'!$L$35-'06_Secuencia_Optima'!$AB$35)*'06_Secuencia_Optima'!$H$35/480),6)))</f>
        <v>0</v>
      </c>
      <c r="BZ16" s="51">
        <f>IF('07_Calendario'!$E$79=0,"",INT(ROUND(MIN('06_Secuencia_Optima'!$G$35,MAX(0,'07_Calendario'!$H$79-'06_Secuencia_Optima'!$L$35-'06_Secuencia_Optima'!$AB$35)*'06_Secuencia_Optima'!$H$35/480),6))-INT(ROUND(MIN('06_Secuencia_Optima'!$G$35,MAX(0,'07_Calendario'!$G$79-'06_Secuencia_Optima'!$L$35-'06_Secuencia_Optima'!$AB$35)*'06_Secuencia_Optima'!$H$35/480),6)))</f>
        <v>0</v>
      </c>
      <c r="CA16" s="51">
        <f>IF('07_Calendario'!$E$80=0,"",INT(ROUND(MIN('06_Secuencia_Optima'!$G$35,MAX(0,'07_Calendario'!$H$80-'06_Secuencia_Optima'!$L$35-'06_Secuencia_Optima'!$AB$35)*'06_Secuencia_Optima'!$H$35/480),6))-INT(ROUND(MIN('06_Secuencia_Optima'!$G$35,MAX(0,'07_Calendario'!$G$80-'06_Secuencia_Optima'!$L$35-'06_Secuencia_Optima'!$AB$35)*'06_Secuencia_Optima'!$H$35/480),6)))</f>
        <v>0</v>
      </c>
      <c r="CB16" s="51">
        <f>IF('07_Calendario'!$E$81=0,"",INT(ROUND(MIN('06_Secuencia_Optima'!$G$35,MAX(0,'07_Calendario'!$H$81-'06_Secuencia_Optima'!$L$35-'06_Secuencia_Optima'!$AB$35)*'06_Secuencia_Optima'!$H$35/480),6))-INT(ROUND(MIN('06_Secuencia_Optima'!$G$35,MAX(0,'07_Calendario'!$G$81-'06_Secuencia_Optima'!$L$35-'06_Secuencia_Optima'!$AB$35)*'06_Secuencia_Optima'!$H$35/480),6)))</f>
        <v>0</v>
      </c>
      <c r="CC16" s="51">
        <f>IF('07_Calendario'!$E$82=0,"",INT(ROUND(MIN('06_Secuencia_Optima'!$G$35,MAX(0,'07_Calendario'!$H$82-'06_Secuencia_Optima'!$L$35-'06_Secuencia_Optima'!$AB$35)*'06_Secuencia_Optima'!$H$35/480),6))-INT(ROUND(MIN('06_Secuencia_Optima'!$G$35,MAX(0,'07_Calendario'!$G$82-'06_Secuencia_Optima'!$L$35-'06_Secuencia_Optima'!$AB$35)*'06_Secuencia_Optima'!$H$35/480),6)))</f>
        <v>0</v>
      </c>
      <c r="CD16" s="18">
        <f t="shared" si="0"/>
        <v>4440</v>
      </c>
      <c r="CE16" s="19">
        <f>'06_Secuencia_Optima'!$G$35</f>
        <v>4440</v>
      </c>
      <c r="CF16" s="10" t="str">
        <f t="shared" si="1"/>
        <v>OK</v>
      </c>
    </row>
    <row r="17" spans="1:84" x14ac:dyDescent="0.2">
      <c r="A17" s="10">
        <f>'06_Secuencia_Optima'!$B$36</f>
        <v>7590</v>
      </c>
      <c r="B17" s="13" t="str">
        <f>'06_Secuencia_Optima'!$C$36</f>
        <v>SALSA MAYONESA (12DP/1/600g)</v>
      </c>
      <c r="C17" s="14">
        <f>'06_Secuencia_Optima'!$D$36</f>
        <v>3278</v>
      </c>
      <c r="D17" s="51">
        <f>IF('07_Calendario'!$E$5=0,"",INT(ROUND(MIN('06_Secuencia_Optima'!$G$36,MAX(0,'07_Calendario'!$H$5-'06_Secuencia_Optima'!$L$36-'06_Secuencia_Optima'!$AB$36)*'06_Secuencia_Optima'!$H$36/480),6))-INT(ROUND(MIN('06_Secuencia_Optima'!$G$36,MAX(0,'07_Calendario'!$G$5-'06_Secuencia_Optima'!$L$36-'06_Secuencia_Optima'!$AB$36)*'06_Secuencia_Optima'!$H$36/480),6)))</f>
        <v>1496</v>
      </c>
      <c r="E17" s="51">
        <f>IF('07_Calendario'!$E$6=0,"",INT(ROUND(MIN('06_Secuencia_Optima'!$G$36,MAX(0,'07_Calendario'!$H$6-'06_Secuencia_Optima'!$L$36-'06_Secuencia_Optima'!$AB$36)*'06_Secuencia_Optima'!$H$36/480),6))-INT(ROUND(MIN('06_Secuencia_Optima'!$G$36,MAX(0,'07_Calendario'!$G$6-'06_Secuencia_Optima'!$L$36-'06_Secuencia_Optima'!$AB$36)*'06_Secuencia_Optima'!$H$36/480),6)))</f>
        <v>0</v>
      </c>
      <c r="F17" s="51">
        <f>IF('07_Calendario'!$E$7=0,"",INT(ROUND(MIN('06_Secuencia_Optima'!$G$36,MAX(0,'07_Calendario'!$H$7-'06_Secuencia_Optima'!$L$36-'06_Secuencia_Optima'!$AB$36)*'06_Secuencia_Optima'!$H$36/480),6))-INT(ROUND(MIN('06_Secuencia_Optima'!$G$36,MAX(0,'07_Calendario'!$G$7-'06_Secuencia_Optima'!$L$36-'06_Secuencia_Optima'!$AB$36)*'06_Secuencia_Optima'!$H$36/480),6)))</f>
        <v>0</v>
      </c>
      <c r="G17" s="51">
        <f>IF('07_Calendario'!$E$8=0,"",INT(ROUND(MIN('06_Secuencia_Optima'!$G$36,MAX(0,'07_Calendario'!$H$8-'06_Secuencia_Optima'!$L$36-'06_Secuencia_Optima'!$AB$36)*'06_Secuencia_Optima'!$H$36/480),6))-INT(ROUND(MIN('06_Secuencia_Optima'!$G$36,MAX(0,'07_Calendario'!$G$8-'06_Secuencia_Optima'!$L$36-'06_Secuencia_Optima'!$AB$36)*'06_Secuencia_Optima'!$H$36/480),6)))</f>
        <v>0</v>
      </c>
      <c r="H17" s="51">
        <f>IF('07_Calendario'!$E$9=0,"",INT(ROUND(MIN('06_Secuencia_Optima'!$G$36,MAX(0,'07_Calendario'!$H$9-'06_Secuencia_Optima'!$L$36-'06_Secuencia_Optima'!$AB$36)*'06_Secuencia_Optima'!$H$36/480),6))-INT(ROUND(MIN('06_Secuencia_Optima'!$G$36,MAX(0,'07_Calendario'!$G$9-'06_Secuencia_Optima'!$L$36-'06_Secuencia_Optima'!$AB$36)*'06_Secuencia_Optima'!$H$36/480),6)))</f>
        <v>0</v>
      </c>
      <c r="I17" s="51">
        <f>IF('07_Calendario'!$E$10=0,"",INT(ROUND(MIN('06_Secuencia_Optima'!$G$36,MAX(0,'07_Calendario'!$H$10-'06_Secuencia_Optima'!$L$36-'06_Secuencia_Optima'!$AB$36)*'06_Secuencia_Optima'!$H$36/480),6))-INT(ROUND(MIN('06_Secuencia_Optima'!$G$36,MAX(0,'07_Calendario'!$G$10-'06_Secuencia_Optima'!$L$36-'06_Secuencia_Optima'!$AB$36)*'06_Secuencia_Optima'!$H$36/480),6)))</f>
        <v>0</v>
      </c>
      <c r="J17" s="51">
        <f>IF('07_Calendario'!$E$11=0,"",INT(ROUND(MIN('06_Secuencia_Optima'!$G$36,MAX(0,'07_Calendario'!$H$11-'06_Secuencia_Optima'!$L$36-'06_Secuencia_Optima'!$AB$36)*'06_Secuencia_Optima'!$H$36/480),6))-INT(ROUND(MIN('06_Secuencia_Optima'!$G$36,MAX(0,'07_Calendario'!$G$11-'06_Secuencia_Optima'!$L$36-'06_Secuencia_Optima'!$AB$36)*'06_Secuencia_Optima'!$H$36/480),6)))</f>
        <v>0</v>
      </c>
      <c r="K17" s="51">
        <f>IF('07_Calendario'!$E$12=0,"",INT(ROUND(MIN('06_Secuencia_Optima'!$G$36,MAX(0,'07_Calendario'!$H$12-'06_Secuencia_Optima'!$L$36-'06_Secuencia_Optima'!$AB$36)*'06_Secuencia_Optima'!$H$36/480),6))-INT(ROUND(MIN('06_Secuencia_Optima'!$G$36,MAX(0,'07_Calendario'!$G$12-'06_Secuencia_Optima'!$L$36-'06_Secuencia_Optima'!$AB$36)*'06_Secuencia_Optima'!$H$36/480),6)))</f>
        <v>0</v>
      </c>
      <c r="L17" s="51">
        <f>IF('07_Calendario'!$E$13=0,"",INT(ROUND(MIN('06_Secuencia_Optima'!$G$36,MAX(0,'07_Calendario'!$H$13-'06_Secuencia_Optima'!$L$36-'06_Secuencia_Optima'!$AB$36)*'06_Secuencia_Optima'!$H$36/480),6))-INT(ROUND(MIN('06_Secuencia_Optima'!$G$36,MAX(0,'07_Calendario'!$G$13-'06_Secuencia_Optima'!$L$36-'06_Secuencia_Optima'!$AB$36)*'06_Secuencia_Optima'!$H$36/480),6)))</f>
        <v>0</v>
      </c>
      <c r="M17" s="51">
        <f>IF('07_Calendario'!$E$14=0,"",INT(ROUND(MIN('06_Secuencia_Optima'!$G$36,MAX(0,'07_Calendario'!$H$14-'06_Secuencia_Optima'!$L$36-'06_Secuencia_Optima'!$AB$36)*'06_Secuencia_Optima'!$H$36/480),6))-INT(ROUND(MIN('06_Secuencia_Optima'!$G$36,MAX(0,'07_Calendario'!$G$14-'06_Secuencia_Optima'!$L$36-'06_Secuencia_Optima'!$AB$36)*'06_Secuencia_Optima'!$H$36/480),6)))</f>
        <v>0</v>
      </c>
      <c r="N17" s="51">
        <f>IF('07_Calendario'!$E$15=0,"",INT(ROUND(MIN('06_Secuencia_Optima'!$G$36,MAX(0,'07_Calendario'!$H$15-'06_Secuencia_Optima'!$L$36-'06_Secuencia_Optima'!$AB$36)*'06_Secuencia_Optima'!$H$36/480),6))-INT(ROUND(MIN('06_Secuencia_Optima'!$G$36,MAX(0,'07_Calendario'!$G$15-'06_Secuencia_Optima'!$L$36-'06_Secuencia_Optima'!$AB$36)*'06_Secuencia_Optima'!$H$36/480),6)))</f>
        <v>0</v>
      </c>
      <c r="O17" s="51">
        <f>IF('07_Calendario'!$E$16=0,"",INT(ROUND(MIN('06_Secuencia_Optima'!$G$36,MAX(0,'07_Calendario'!$H$16-'06_Secuencia_Optima'!$L$36-'06_Secuencia_Optima'!$AB$36)*'06_Secuencia_Optima'!$H$36/480),6))-INT(ROUND(MIN('06_Secuencia_Optima'!$G$36,MAX(0,'07_Calendario'!$G$16-'06_Secuencia_Optima'!$L$36-'06_Secuencia_Optima'!$AB$36)*'06_Secuencia_Optima'!$H$36/480),6)))</f>
        <v>0</v>
      </c>
      <c r="P17" s="51">
        <f>IF('07_Calendario'!$E$17=0,"",INT(ROUND(MIN('06_Secuencia_Optima'!$G$36,MAX(0,'07_Calendario'!$H$17-'06_Secuencia_Optima'!$L$36-'06_Secuencia_Optima'!$AB$36)*'06_Secuencia_Optima'!$H$36/480),6))-INT(ROUND(MIN('06_Secuencia_Optima'!$G$36,MAX(0,'07_Calendario'!$G$17-'06_Secuencia_Optima'!$L$36-'06_Secuencia_Optima'!$AB$36)*'06_Secuencia_Optima'!$H$36/480),6)))</f>
        <v>0</v>
      </c>
      <c r="Q17" s="51">
        <f>IF('07_Calendario'!$E$18=0,"",INT(ROUND(MIN('06_Secuencia_Optima'!$G$36,MAX(0,'07_Calendario'!$H$18-'06_Secuencia_Optima'!$L$36-'06_Secuencia_Optima'!$AB$36)*'06_Secuencia_Optima'!$H$36/480),6))-INT(ROUND(MIN('06_Secuencia_Optima'!$G$36,MAX(0,'07_Calendario'!$G$18-'06_Secuencia_Optima'!$L$36-'06_Secuencia_Optima'!$AB$36)*'06_Secuencia_Optima'!$H$36/480),6)))</f>
        <v>0</v>
      </c>
      <c r="R17" s="51" t="str">
        <f>IF('07_Calendario'!$E$19=0,"",INT(ROUND(MIN('06_Secuencia_Optima'!$G$36,MAX(0,'07_Calendario'!$H$19-'06_Secuencia_Optima'!$L$36-'06_Secuencia_Optima'!$AB$36)*'06_Secuencia_Optima'!$H$36/480),6))-INT(ROUND(MIN('06_Secuencia_Optima'!$G$36,MAX(0,'07_Calendario'!$G$19-'06_Secuencia_Optima'!$L$36-'06_Secuencia_Optima'!$AB$36)*'06_Secuencia_Optima'!$H$36/480),6)))</f>
        <v/>
      </c>
      <c r="S17" s="51">
        <f>IF('07_Calendario'!$E$20=0,"",INT(ROUND(MIN('06_Secuencia_Optima'!$G$36,MAX(0,'07_Calendario'!$H$20-'06_Secuencia_Optima'!$L$36-'06_Secuencia_Optima'!$AB$36)*'06_Secuencia_Optima'!$H$36/480),6))-INT(ROUND(MIN('06_Secuencia_Optima'!$G$36,MAX(0,'07_Calendario'!$G$20-'06_Secuencia_Optima'!$L$36-'06_Secuencia_Optima'!$AB$36)*'06_Secuencia_Optima'!$H$36/480),6)))</f>
        <v>0</v>
      </c>
      <c r="T17" s="51">
        <f>IF('07_Calendario'!$E$21=0,"",INT(ROUND(MIN('06_Secuencia_Optima'!$G$36,MAX(0,'07_Calendario'!$H$21-'06_Secuencia_Optima'!$L$36-'06_Secuencia_Optima'!$AB$36)*'06_Secuencia_Optima'!$H$36/480),6))-INT(ROUND(MIN('06_Secuencia_Optima'!$G$36,MAX(0,'07_Calendario'!$G$21-'06_Secuencia_Optima'!$L$36-'06_Secuencia_Optima'!$AB$36)*'06_Secuencia_Optima'!$H$36/480),6)))</f>
        <v>0</v>
      </c>
      <c r="U17" s="51">
        <f>IF('07_Calendario'!$E$22=0,"",INT(ROUND(MIN('06_Secuencia_Optima'!$G$36,MAX(0,'07_Calendario'!$H$22-'06_Secuencia_Optima'!$L$36-'06_Secuencia_Optima'!$AB$36)*'06_Secuencia_Optima'!$H$36/480),6))-INT(ROUND(MIN('06_Secuencia_Optima'!$G$36,MAX(0,'07_Calendario'!$G$22-'06_Secuencia_Optima'!$L$36-'06_Secuencia_Optima'!$AB$36)*'06_Secuencia_Optima'!$H$36/480),6)))</f>
        <v>0</v>
      </c>
      <c r="V17" s="51">
        <f>IF('07_Calendario'!$E$23=0,"",INT(ROUND(MIN('06_Secuencia_Optima'!$G$36,MAX(0,'07_Calendario'!$H$23-'06_Secuencia_Optima'!$L$36-'06_Secuencia_Optima'!$AB$36)*'06_Secuencia_Optima'!$H$36/480),6))-INT(ROUND(MIN('06_Secuencia_Optima'!$G$36,MAX(0,'07_Calendario'!$G$23-'06_Secuencia_Optima'!$L$36-'06_Secuencia_Optima'!$AB$36)*'06_Secuencia_Optima'!$H$36/480),6)))</f>
        <v>0</v>
      </c>
      <c r="W17" s="51">
        <f>IF('07_Calendario'!$E$24=0,"",INT(ROUND(MIN('06_Secuencia_Optima'!$G$36,MAX(0,'07_Calendario'!$H$24-'06_Secuencia_Optima'!$L$36-'06_Secuencia_Optima'!$AB$36)*'06_Secuencia_Optima'!$H$36/480),6))-INT(ROUND(MIN('06_Secuencia_Optima'!$G$36,MAX(0,'07_Calendario'!$G$24-'06_Secuencia_Optima'!$L$36-'06_Secuencia_Optima'!$AB$36)*'06_Secuencia_Optima'!$H$36/480),6)))</f>
        <v>0</v>
      </c>
      <c r="X17" s="51">
        <f>IF('07_Calendario'!$E$25=0,"",INT(ROUND(MIN('06_Secuencia_Optima'!$G$36,MAX(0,'07_Calendario'!$H$25-'06_Secuencia_Optima'!$L$36-'06_Secuencia_Optima'!$AB$36)*'06_Secuencia_Optima'!$H$36/480),6))-INT(ROUND(MIN('06_Secuencia_Optima'!$G$36,MAX(0,'07_Calendario'!$G$25-'06_Secuencia_Optima'!$L$36-'06_Secuencia_Optima'!$AB$36)*'06_Secuencia_Optima'!$H$36/480),6)))</f>
        <v>0</v>
      </c>
      <c r="Y17" s="51">
        <f>IF('07_Calendario'!$E$26=0,"",INT(ROUND(MIN('06_Secuencia_Optima'!$G$36,MAX(0,'07_Calendario'!$H$26-'06_Secuencia_Optima'!$L$36-'06_Secuencia_Optima'!$AB$36)*'06_Secuencia_Optima'!$H$36/480),6))-INT(ROUND(MIN('06_Secuencia_Optima'!$G$36,MAX(0,'07_Calendario'!$G$26-'06_Secuencia_Optima'!$L$36-'06_Secuencia_Optima'!$AB$36)*'06_Secuencia_Optima'!$H$36/480),6)))</f>
        <v>0</v>
      </c>
      <c r="Z17" s="51">
        <f>IF('07_Calendario'!$E$27=0,"",INT(ROUND(MIN('06_Secuencia_Optima'!$G$36,MAX(0,'07_Calendario'!$H$27-'06_Secuencia_Optima'!$L$36-'06_Secuencia_Optima'!$AB$36)*'06_Secuencia_Optima'!$H$36/480),6))-INT(ROUND(MIN('06_Secuencia_Optima'!$G$36,MAX(0,'07_Calendario'!$G$27-'06_Secuencia_Optima'!$L$36-'06_Secuencia_Optima'!$AB$36)*'06_Secuencia_Optima'!$H$36/480),6)))</f>
        <v>0</v>
      </c>
      <c r="AA17" s="51">
        <f>IF('07_Calendario'!$E$28=0,"",INT(ROUND(MIN('06_Secuencia_Optima'!$G$36,MAX(0,'07_Calendario'!$H$28-'06_Secuencia_Optima'!$L$36-'06_Secuencia_Optima'!$AB$36)*'06_Secuencia_Optima'!$H$36/480),6))-INT(ROUND(MIN('06_Secuencia_Optima'!$G$36,MAX(0,'07_Calendario'!$G$28-'06_Secuencia_Optima'!$L$36-'06_Secuencia_Optima'!$AB$36)*'06_Secuencia_Optima'!$H$36/480),6)))</f>
        <v>0</v>
      </c>
      <c r="AB17" s="51">
        <f>IF('07_Calendario'!$E$29=0,"",INT(ROUND(MIN('06_Secuencia_Optima'!$G$36,MAX(0,'07_Calendario'!$H$29-'06_Secuencia_Optima'!$L$36-'06_Secuencia_Optima'!$AB$36)*'06_Secuencia_Optima'!$H$36/480),6))-INT(ROUND(MIN('06_Secuencia_Optima'!$G$36,MAX(0,'07_Calendario'!$G$29-'06_Secuencia_Optima'!$L$36-'06_Secuencia_Optima'!$AB$36)*'06_Secuencia_Optima'!$H$36/480),6)))</f>
        <v>0</v>
      </c>
      <c r="AC17" s="51">
        <f>IF('07_Calendario'!$E$30=0,"",INT(ROUND(MIN('06_Secuencia_Optima'!$G$36,MAX(0,'07_Calendario'!$H$30-'06_Secuencia_Optima'!$L$36-'06_Secuencia_Optima'!$AB$36)*'06_Secuencia_Optima'!$H$36/480),6))-INT(ROUND(MIN('06_Secuencia_Optima'!$G$36,MAX(0,'07_Calendario'!$G$30-'06_Secuencia_Optima'!$L$36-'06_Secuencia_Optima'!$AB$36)*'06_Secuencia_Optima'!$H$36/480),6)))</f>
        <v>0</v>
      </c>
      <c r="AD17" s="51">
        <f>IF('07_Calendario'!$E$31=0,"",INT(ROUND(MIN('06_Secuencia_Optima'!$G$36,MAX(0,'07_Calendario'!$H$31-'06_Secuencia_Optima'!$L$36-'06_Secuencia_Optima'!$AB$36)*'06_Secuencia_Optima'!$H$36/480),6))-INT(ROUND(MIN('06_Secuencia_Optima'!$G$36,MAX(0,'07_Calendario'!$G$31-'06_Secuencia_Optima'!$L$36-'06_Secuencia_Optima'!$AB$36)*'06_Secuencia_Optima'!$H$36/480),6)))</f>
        <v>0</v>
      </c>
      <c r="AE17" s="51">
        <f>IF('07_Calendario'!$E$32=0,"",INT(ROUND(MIN('06_Secuencia_Optima'!$G$36,MAX(0,'07_Calendario'!$H$32-'06_Secuencia_Optima'!$L$36-'06_Secuencia_Optima'!$AB$36)*'06_Secuencia_Optima'!$H$36/480),6))-INT(ROUND(MIN('06_Secuencia_Optima'!$G$36,MAX(0,'07_Calendario'!$G$32-'06_Secuencia_Optima'!$L$36-'06_Secuencia_Optima'!$AB$36)*'06_Secuencia_Optima'!$H$36/480),6)))</f>
        <v>0</v>
      </c>
      <c r="AF17" s="51">
        <f>IF('07_Calendario'!$E$33=0,"",INT(ROUND(MIN('06_Secuencia_Optima'!$G$36,MAX(0,'07_Calendario'!$H$33-'06_Secuencia_Optima'!$L$36-'06_Secuencia_Optima'!$AB$36)*'06_Secuencia_Optima'!$H$36/480),6))-INT(ROUND(MIN('06_Secuencia_Optima'!$G$36,MAX(0,'07_Calendario'!$G$33-'06_Secuencia_Optima'!$L$36-'06_Secuencia_Optima'!$AB$36)*'06_Secuencia_Optima'!$H$36/480),6)))</f>
        <v>0</v>
      </c>
      <c r="AG17" s="51">
        <f>IF('07_Calendario'!$E$34=0,"",INT(ROUND(MIN('06_Secuencia_Optima'!$G$36,MAX(0,'07_Calendario'!$H$34-'06_Secuencia_Optima'!$L$36-'06_Secuencia_Optima'!$AB$36)*'06_Secuencia_Optima'!$H$36/480),6))-INT(ROUND(MIN('06_Secuencia_Optima'!$G$36,MAX(0,'07_Calendario'!$G$34-'06_Secuencia_Optima'!$L$36-'06_Secuencia_Optima'!$AB$36)*'06_Secuencia_Optima'!$H$36/480),6)))</f>
        <v>0</v>
      </c>
      <c r="AH17" s="51">
        <f>IF('07_Calendario'!$E$35=0,"",INT(ROUND(MIN('06_Secuencia_Optima'!$G$36,MAX(0,'07_Calendario'!$H$35-'06_Secuencia_Optima'!$L$36-'06_Secuencia_Optima'!$AB$36)*'06_Secuencia_Optima'!$H$36/480),6))-INT(ROUND(MIN('06_Secuencia_Optima'!$G$36,MAX(0,'07_Calendario'!$G$35-'06_Secuencia_Optima'!$L$36-'06_Secuencia_Optima'!$AB$36)*'06_Secuencia_Optima'!$H$36/480),6)))</f>
        <v>0</v>
      </c>
      <c r="AI17" s="51">
        <f>IF('07_Calendario'!$E$36=0,"",INT(ROUND(MIN('06_Secuencia_Optima'!$G$36,MAX(0,'07_Calendario'!$H$36-'06_Secuencia_Optima'!$L$36-'06_Secuencia_Optima'!$AB$36)*'06_Secuencia_Optima'!$H$36/480),6))-INT(ROUND(MIN('06_Secuencia_Optima'!$G$36,MAX(0,'07_Calendario'!$G$36-'06_Secuencia_Optima'!$L$36-'06_Secuencia_Optima'!$AB$36)*'06_Secuencia_Optima'!$H$36/480),6)))</f>
        <v>0</v>
      </c>
      <c r="AJ17" s="51" t="str">
        <f>IF('07_Calendario'!$E$37=0,"",INT(ROUND(MIN('06_Secuencia_Optima'!$G$36,MAX(0,'07_Calendario'!$H$37-'06_Secuencia_Optima'!$L$36-'06_Secuencia_Optima'!$AB$36)*'06_Secuencia_Optima'!$H$36/480),6))-INT(ROUND(MIN('06_Secuencia_Optima'!$G$36,MAX(0,'07_Calendario'!$G$37-'06_Secuencia_Optima'!$L$36-'06_Secuencia_Optima'!$AB$36)*'06_Secuencia_Optima'!$H$36/480),6)))</f>
        <v/>
      </c>
      <c r="AK17" s="51">
        <f>IF('07_Calendario'!$E$38=0,"",INT(ROUND(MIN('06_Secuencia_Optima'!$G$36,MAX(0,'07_Calendario'!$H$38-'06_Secuencia_Optima'!$L$36-'06_Secuencia_Optima'!$AB$36)*'06_Secuencia_Optima'!$H$36/480),6))-INT(ROUND(MIN('06_Secuencia_Optima'!$G$36,MAX(0,'07_Calendario'!$G$38-'06_Secuencia_Optima'!$L$36-'06_Secuencia_Optima'!$AB$36)*'06_Secuencia_Optima'!$H$36/480),6)))</f>
        <v>0</v>
      </c>
      <c r="AL17" s="51">
        <f>IF('07_Calendario'!$E$39=0,"",INT(ROUND(MIN('06_Secuencia_Optima'!$G$36,MAX(0,'07_Calendario'!$H$39-'06_Secuencia_Optima'!$L$36-'06_Secuencia_Optima'!$AB$36)*'06_Secuencia_Optima'!$H$36/480),6))-INT(ROUND(MIN('06_Secuencia_Optima'!$G$36,MAX(0,'07_Calendario'!$G$39-'06_Secuencia_Optima'!$L$36-'06_Secuencia_Optima'!$AB$36)*'06_Secuencia_Optima'!$H$36/480),6)))</f>
        <v>0</v>
      </c>
      <c r="AM17" s="51">
        <f>IF('07_Calendario'!$E$40=0,"",INT(ROUND(MIN('06_Secuencia_Optima'!$G$36,MAX(0,'07_Calendario'!$H$40-'06_Secuencia_Optima'!$L$36-'06_Secuencia_Optima'!$AB$36)*'06_Secuencia_Optima'!$H$36/480),6))-INT(ROUND(MIN('06_Secuencia_Optima'!$G$36,MAX(0,'07_Calendario'!$G$40-'06_Secuencia_Optima'!$L$36-'06_Secuencia_Optima'!$AB$36)*'06_Secuencia_Optima'!$H$36/480),6)))</f>
        <v>0</v>
      </c>
      <c r="AN17" s="51">
        <f>IF('07_Calendario'!$E$41=0,"",INT(ROUND(MIN('06_Secuencia_Optima'!$G$36,MAX(0,'07_Calendario'!$H$41-'06_Secuencia_Optima'!$L$36-'06_Secuencia_Optima'!$AB$36)*'06_Secuencia_Optima'!$H$36/480),6))-INT(ROUND(MIN('06_Secuencia_Optima'!$G$36,MAX(0,'07_Calendario'!$G$41-'06_Secuencia_Optima'!$L$36-'06_Secuencia_Optima'!$AB$36)*'06_Secuencia_Optima'!$H$36/480),6)))</f>
        <v>0</v>
      </c>
      <c r="AO17" s="51">
        <f>IF('07_Calendario'!$E$42=0,"",INT(ROUND(MIN('06_Secuencia_Optima'!$G$36,MAX(0,'07_Calendario'!$H$42-'06_Secuencia_Optima'!$L$36-'06_Secuencia_Optima'!$AB$36)*'06_Secuencia_Optima'!$H$36/480),6))-INT(ROUND(MIN('06_Secuencia_Optima'!$G$36,MAX(0,'07_Calendario'!$G$42-'06_Secuencia_Optima'!$L$36-'06_Secuencia_Optima'!$AB$36)*'06_Secuencia_Optima'!$H$36/480),6)))</f>
        <v>0</v>
      </c>
      <c r="AP17" s="51">
        <f>IF('07_Calendario'!$E$43=0,"",INT(ROUND(MIN('06_Secuencia_Optima'!$G$36,MAX(0,'07_Calendario'!$H$43-'06_Secuencia_Optima'!$L$36-'06_Secuencia_Optima'!$AB$36)*'06_Secuencia_Optima'!$H$36/480),6))-INT(ROUND(MIN('06_Secuencia_Optima'!$G$36,MAX(0,'07_Calendario'!$G$43-'06_Secuencia_Optima'!$L$36-'06_Secuencia_Optima'!$AB$36)*'06_Secuencia_Optima'!$H$36/480),6)))</f>
        <v>0</v>
      </c>
      <c r="AQ17" s="51">
        <f>IF('07_Calendario'!$E$44=0,"",INT(ROUND(MIN('06_Secuencia_Optima'!$G$36,MAX(0,'07_Calendario'!$H$44-'06_Secuencia_Optima'!$L$36-'06_Secuencia_Optima'!$AB$36)*'06_Secuencia_Optima'!$H$36/480),6))-INT(ROUND(MIN('06_Secuencia_Optima'!$G$36,MAX(0,'07_Calendario'!$G$44-'06_Secuencia_Optima'!$L$36-'06_Secuencia_Optima'!$AB$36)*'06_Secuencia_Optima'!$H$36/480),6)))</f>
        <v>0</v>
      </c>
      <c r="AR17" s="51">
        <f>IF('07_Calendario'!$E$45=0,"",INT(ROUND(MIN('06_Secuencia_Optima'!$G$36,MAX(0,'07_Calendario'!$H$45-'06_Secuencia_Optima'!$L$36-'06_Secuencia_Optima'!$AB$36)*'06_Secuencia_Optima'!$H$36/480),6))-INT(ROUND(MIN('06_Secuencia_Optima'!$G$36,MAX(0,'07_Calendario'!$G$45-'06_Secuencia_Optima'!$L$36-'06_Secuencia_Optima'!$AB$36)*'06_Secuencia_Optima'!$H$36/480),6)))</f>
        <v>0</v>
      </c>
      <c r="AS17" s="51">
        <f>IF('07_Calendario'!$E$46=0,"",INT(ROUND(MIN('06_Secuencia_Optima'!$G$36,MAX(0,'07_Calendario'!$H$46-'06_Secuencia_Optima'!$L$36-'06_Secuencia_Optima'!$AB$36)*'06_Secuencia_Optima'!$H$36/480),6))-INT(ROUND(MIN('06_Secuencia_Optima'!$G$36,MAX(0,'07_Calendario'!$G$46-'06_Secuencia_Optima'!$L$36-'06_Secuencia_Optima'!$AB$36)*'06_Secuencia_Optima'!$H$36/480),6)))</f>
        <v>0</v>
      </c>
      <c r="AT17" s="51">
        <f>IF('07_Calendario'!$E$47=0,"",INT(ROUND(MIN('06_Secuencia_Optima'!$G$36,MAX(0,'07_Calendario'!$H$47-'06_Secuencia_Optima'!$L$36-'06_Secuencia_Optima'!$AB$36)*'06_Secuencia_Optima'!$H$36/480),6))-INT(ROUND(MIN('06_Secuencia_Optima'!$G$36,MAX(0,'07_Calendario'!$G$47-'06_Secuencia_Optima'!$L$36-'06_Secuencia_Optima'!$AB$36)*'06_Secuencia_Optima'!$H$36/480),6)))</f>
        <v>0</v>
      </c>
      <c r="AU17" s="51">
        <f>IF('07_Calendario'!$E$48=0,"",INT(ROUND(MIN('06_Secuencia_Optima'!$G$36,MAX(0,'07_Calendario'!$H$48-'06_Secuencia_Optima'!$L$36-'06_Secuencia_Optima'!$AB$36)*'06_Secuencia_Optima'!$H$36/480),6))-INT(ROUND(MIN('06_Secuencia_Optima'!$G$36,MAX(0,'07_Calendario'!$G$48-'06_Secuencia_Optima'!$L$36-'06_Secuencia_Optima'!$AB$36)*'06_Secuencia_Optima'!$H$36/480),6)))</f>
        <v>0</v>
      </c>
      <c r="AV17" s="51">
        <f>IF('07_Calendario'!$E$49=0,"",INT(ROUND(MIN('06_Secuencia_Optima'!$G$36,MAX(0,'07_Calendario'!$H$49-'06_Secuencia_Optima'!$L$36-'06_Secuencia_Optima'!$AB$36)*'06_Secuencia_Optima'!$H$36/480),6))-INT(ROUND(MIN('06_Secuencia_Optima'!$G$36,MAX(0,'07_Calendario'!$G$49-'06_Secuencia_Optima'!$L$36-'06_Secuencia_Optima'!$AB$36)*'06_Secuencia_Optima'!$H$36/480),6)))</f>
        <v>0</v>
      </c>
      <c r="AW17" s="51">
        <f>IF('07_Calendario'!$E$50=0,"",INT(ROUND(MIN('06_Secuencia_Optima'!$G$36,MAX(0,'07_Calendario'!$H$50-'06_Secuencia_Optima'!$L$36-'06_Secuencia_Optima'!$AB$36)*'06_Secuencia_Optima'!$H$36/480),6))-INT(ROUND(MIN('06_Secuencia_Optima'!$G$36,MAX(0,'07_Calendario'!$G$50-'06_Secuencia_Optima'!$L$36-'06_Secuencia_Optima'!$AB$36)*'06_Secuencia_Optima'!$H$36/480),6)))</f>
        <v>0</v>
      </c>
      <c r="AX17" s="51">
        <f>IF('07_Calendario'!$E$51=0,"",INT(ROUND(MIN('06_Secuencia_Optima'!$G$36,MAX(0,'07_Calendario'!$H$51-'06_Secuencia_Optima'!$L$36-'06_Secuencia_Optima'!$AB$36)*'06_Secuencia_Optima'!$H$36/480),6))-INT(ROUND(MIN('06_Secuencia_Optima'!$G$36,MAX(0,'07_Calendario'!$G$51-'06_Secuencia_Optima'!$L$36-'06_Secuencia_Optima'!$AB$36)*'06_Secuencia_Optima'!$H$36/480),6)))</f>
        <v>0</v>
      </c>
      <c r="AY17" s="51">
        <f>IF('07_Calendario'!$E$52=0,"",INT(ROUND(MIN('06_Secuencia_Optima'!$G$36,MAX(0,'07_Calendario'!$H$52-'06_Secuencia_Optima'!$L$36-'06_Secuencia_Optima'!$AB$36)*'06_Secuencia_Optima'!$H$36/480),6))-INT(ROUND(MIN('06_Secuencia_Optima'!$G$36,MAX(0,'07_Calendario'!$G$52-'06_Secuencia_Optima'!$L$36-'06_Secuencia_Optima'!$AB$36)*'06_Secuencia_Optima'!$H$36/480),6)))</f>
        <v>0</v>
      </c>
      <c r="AZ17" s="51">
        <f>IF('07_Calendario'!$E$53=0,"",INT(ROUND(MIN('06_Secuencia_Optima'!$G$36,MAX(0,'07_Calendario'!$H$53-'06_Secuencia_Optima'!$L$36-'06_Secuencia_Optima'!$AB$36)*'06_Secuencia_Optima'!$H$36/480),6))-INT(ROUND(MIN('06_Secuencia_Optima'!$G$36,MAX(0,'07_Calendario'!$G$53-'06_Secuencia_Optima'!$L$36-'06_Secuencia_Optima'!$AB$36)*'06_Secuencia_Optima'!$H$36/480),6)))</f>
        <v>0</v>
      </c>
      <c r="BA17" s="51">
        <f>IF('07_Calendario'!$E$54=0,"",INT(ROUND(MIN('06_Secuencia_Optima'!$G$36,MAX(0,'07_Calendario'!$H$54-'06_Secuencia_Optima'!$L$36-'06_Secuencia_Optima'!$AB$36)*'06_Secuencia_Optima'!$H$36/480),6))-INT(ROUND(MIN('06_Secuencia_Optima'!$G$36,MAX(0,'07_Calendario'!$G$54-'06_Secuencia_Optima'!$L$36-'06_Secuencia_Optima'!$AB$36)*'06_Secuencia_Optima'!$H$36/480),6)))</f>
        <v>0</v>
      </c>
      <c r="BB17" s="51" t="str">
        <f>IF('07_Calendario'!$E$55=0,"",INT(ROUND(MIN('06_Secuencia_Optima'!$G$36,MAX(0,'07_Calendario'!$H$55-'06_Secuencia_Optima'!$L$36-'06_Secuencia_Optima'!$AB$36)*'06_Secuencia_Optima'!$H$36/480),6))-INT(ROUND(MIN('06_Secuencia_Optima'!$G$36,MAX(0,'07_Calendario'!$G$55-'06_Secuencia_Optima'!$L$36-'06_Secuencia_Optima'!$AB$36)*'06_Secuencia_Optima'!$H$36/480),6)))</f>
        <v/>
      </c>
      <c r="BC17" s="51">
        <f>IF('07_Calendario'!$E$56=0,"",INT(ROUND(MIN('06_Secuencia_Optima'!$G$36,MAX(0,'07_Calendario'!$H$56-'06_Secuencia_Optima'!$L$36-'06_Secuencia_Optima'!$AB$36)*'06_Secuencia_Optima'!$H$36/480),6))-INT(ROUND(MIN('06_Secuencia_Optima'!$G$36,MAX(0,'07_Calendario'!$G$56-'06_Secuencia_Optima'!$L$36-'06_Secuencia_Optima'!$AB$36)*'06_Secuencia_Optima'!$H$36/480),6)))</f>
        <v>0</v>
      </c>
      <c r="BD17" s="51">
        <f>IF('07_Calendario'!$E$57=0,"",INT(ROUND(MIN('06_Secuencia_Optima'!$G$36,MAX(0,'07_Calendario'!$H$57-'06_Secuencia_Optima'!$L$36-'06_Secuencia_Optima'!$AB$36)*'06_Secuencia_Optima'!$H$36/480),6))-INT(ROUND(MIN('06_Secuencia_Optima'!$G$36,MAX(0,'07_Calendario'!$G$57-'06_Secuencia_Optima'!$L$36-'06_Secuencia_Optima'!$AB$36)*'06_Secuencia_Optima'!$H$36/480),6)))</f>
        <v>0</v>
      </c>
      <c r="BE17" s="51">
        <f>IF('07_Calendario'!$E$58=0,"",INT(ROUND(MIN('06_Secuencia_Optima'!$G$36,MAX(0,'07_Calendario'!$H$58-'06_Secuencia_Optima'!$L$36-'06_Secuencia_Optima'!$AB$36)*'06_Secuencia_Optima'!$H$36/480),6))-INT(ROUND(MIN('06_Secuencia_Optima'!$G$36,MAX(0,'07_Calendario'!$G$58-'06_Secuencia_Optima'!$L$36-'06_Secuencia_Optima'!$AB$36)*'06_Secuencia_Optima'!$H$36/480),6)))</f>
        <v>0</v>
      </c>
      <c r="BF17" s="51">
        <f>IF('07_Calendario'!$E$59=0,"",INT(ROUND(MIN('06_Secuencia_Optima'!$G$36,MAX(0,'07_Calendario'!$H$59-'06_Secuencia_Optima'!$L$36-'06_Secuencia_Optima'!$AB$36)*'06_Secuencia_Optima'!$H$36/480),6))-INT(ROUND(MIN('06_Secuencia_Optima'!$G$36,MAX(0,'07_Calendario'!$G$59-'06_Secuencia_Optima'!$L$36-'06_Secuencia_Optima'!$AB$36)*'06_Secuencia_Optima'!$H$36/480),6)))</f>
        <v>0</v>
      </c>
      <c r="BG17" s="51">
        <f>IF('07_Calendario'!$E$60=0,"",INT(ROUND(MIN('06_Secuencia_Optima'!$G$36,MAX(0,'07_Calendario'!$H$60-'06_Secuencia_Optima'!$L$36-'06_Secuencia_Optima'!$AB$36)*'06_Secuencia_Optima'!$H$36/480),6))-INT(ROUND(MIN('06_Secuencia_Optima'!$G$36,MAX(0,'07_Calendario'!$G$60-'06_Secuencia_Optima'!$L$36-'06_Secuencia_Optima'!$AB$36)*'06_Secuencia_Optima'!$H$36/480),6)))</f>
        <v>0</v>
      </c>
      <c r="BH17" s="51">
        <f>IF('07_Calendario'!$E$61=0,"",INT(ROUND(MIN('06_Secuencia_Optima'!$G$36,MAX(0,'07_Calendario'!$H$61-'06_Secuencia_Optima'!$L$36-'06_Secuencia_Optima'!$AB$36)*'06_Secuencia_Optima'!$H$36/480),6))-INT(ROUND(MIN('06_Secuencia_Optima'!$G$36,MAX(0,'07_Calendario'!$G$61-'06_Secuencia_Optima'!$L$36-'06_Secuencia_Optima'!$AB$36)*'06_Secuencia_Optima'!$H$36/480),6)))</f>
        <v>0</v>
      </c>
      <c r="BI17" s="51">
        <f>IF('07_Calendario'!$E$62=0,"",INT(ROUND(MIN('06_Secuencia_Optima'!$G$36,MAX(0,'07_Calendario'!$H$62-'06_Secuencia_Optima'!$L$36-'06_Secuencia_Optima'!$AB$36)*'06_Secuencia_Optima'!$H$36/480),6))-INT(ROUND(MIN('06_Secuencia_Optima'!$G$36,MAX(0,'07_Calendario'!$G$62-'06_Secuencia_Optima'!$L$36-'06_Secuencia_Optima'!$AB$36)*'06_Secuencia_Optima'!$H$36/480),6)))</f>
        <v>0</v>
      </c>
      <c r="BJ17" s="51">
        <f>IF('07_Calendario'!$E$63=0,"",INT(ROUND(MIN('06_Secuencia_Optima'!$G$36,MAX(0,'07_Calendario'!$H$63-'06_Secuencia_Optima'!$L$36-'06_Secuencia_Optima'!$AB$36)*'06_Secuencia_Optima'!$H$36/480),6))-INT(ROUND(MIN('06_Secuencia_Optima'!$G$36,MAX(0,'07_Calendario'!$G$63-'06_Secuencia_Optima'!$L$36-'06_Secuencia_Optima'!$AB$36)*'06_Secuencia_Optima'!$H$36/480),6)))</f>
        <v>0</v>
      </c>
      <c r="BK17" s="51">
        <f>IF('07_Calendario'!$E$64=0,"",INT(ROUND(MIN('06_Secuencia_Optima'!$G$36,MAX(0,'07_Calendario'!$H$64-'06_Secuencia_Optima'!$L$36-'06_Secuencia_Optima'!$AB$36)*'06_Secuencia_Optima'!$H$36/480),6))-INT(ROUND(MIN('06_Secuencia_Optima'!$G$36,MAX(0,'07_Calendario'!$G$64-'06_Secuencia_Optima'!$L$36-'06_Secuencia_Optima'!$AB$36)*'06_Secuencia_Optima'!$H$36/480),6)))</f>
        <v>0</v>
      </c>
      <c r="BL17" s="51">
        <f>IF('07_Calendario'!$E$65=0,"",INT(ROUND(MIN('06_Secuencia_Optima'!$G$36,MAX(0,'07_Calendario'!$H$65-'06_Secuencia_Optima'!$L$36-'06_Secuencia_Optima'!$AB$36)*'06_Secuencia_Optima'!$H$36/480),6))-INT(ROUND(MIN('06_Secuencia_Optima'!$G$36,MAX(0,'07_Calendario'!$G$65-'06_Secuencia_Optima'!$L$36-'06_Secuencia_Optima'!$AB$36)*'06_Secuencia_Optima'!$H$36/480),6)))</f>
        <v>0</v>
      </c>
      <c r="BM17" s="51">
        <f>IF('07_Calendario'!$E$66=0,"",INT(ROUND(MIN('06_Secuencia_Optima'!$G$36,MAX(0,'07_Calendario'!$H$66-'06_Secuencia_Optima'!$L$36-'06_Secuencia_Optima'!$AB$36)*'06_Secuencia_Optima'!$H$36/480),6))-INT(ROUND(MIN('06_Secuencia_Optima'!$G$36,MAX(0,'07_Calendario'!$G$66-'06_Secuencia_Optima'!$L$36-'06_Secuencia_Optima'!$AB$36)*'06_Secuencia_Optima'!$H$36/480),6)))</f>
        <v>0</v>
      </c>
      <c r="BN17" s="51">
        <f>IF('07_Calendario'!$E$67=0,"",INT(ROUND(MIN('06_Secuencia_Optima'!$G$36,MAX(0,'07_Calendario'!$H$67-'06_Secuencia_Optima'!$L$36-'06_Secuencia_Optima'!$AB$36)*'06_Secuencia_Optima'!$H$36/480),6))-INT(ROUND(MIN('06_Secuencia_Optima'!$G$36,MAX(0,'07_Calendario'!$G$67-'06_Secuencia_Optima'!$L$36-'06_Secuencia_Optima'!$AB$36)*'06_Secuencia_Optima'!$H$36/480),6)))</f>
        <v>0</v>
      </c>
      <c r="BO17" s="51">
        <f>IF('07_Calendario'!$E$68=0,"",INT(ROUND(MIN('06_Secuencia_Optima'!$G$36,MAX(0,'07_Calendario'!$H$68-'06_Secuencia_Optima'!$L$36-'06_Secuencia_Optima'!$AB$36)*'06_Secuencia_Optima'!$H$36/480),6))-INT(ROUND(MIN('06_Secuencia_Optima'!$G$36,MAX(0,'07_Calendario'!$G$68-'06_Secuencia_Optima'!$L$36-'06_Secuencia_Optima'!$AB$36)*'06_Secuencia_Optima'!$H$36/480),6)))</f>
        <v>0</v>
      </c>
      <c r="BP17" s="51">
        <f>IF('07_Calendario'!$E$69=0,"",INT(ROUND(MIN('06_Secuencia_Optima'!$G$36,MAX(0,'07_Calendario'!$H$69-'06_Secuencia_Optima'!$L$36-'06_Secuencia_Optima'!$AB$36)*'06_Secuencia_Optima'!$H$36/480),6))-INT(ROUND(MIN('06_Secuencia_Optima'!$G$36,MAX(0,'07_Calendario'!$G$69-'06_Secuencia_Optima'!$L$36-'06_Secuencia_Optima'!$AB$36)*'06_Secuencia_Optima'!$H$36/480),6)))</f>
        <v>0</v>
      </c>
      <c r="BQ17" s="51">
        <f>IF('07_Calendario'!$E$70=0,"",INT(ROUND(MIN('06_Secuencia_Optima'!$G$36,MAX(0,'07_Calendario'!$H$70-'06_Secuencia_Optima'!$L$36-'06_Secuencia_Optima'!$AB$36)*'06_Secuencia_Optima'!$H$36/480),6))-INT(ROUND(MIN('06_Secuencia_Optima'!$G$36,MAX(0,'07_Calendario'!$G$70-'06_Secuencia_Optima'!$L$36-'06_Secuencia_Optima'!$AB$36)*'06_Secuencia_Optima'!$H$36/480),6)))</f>
        <v>0</v>
      </c>
      <c r="BR17" s="51">
        <f>IF('07_Calendario'!$E$71=0,"",INT(ROUND(MIN('06_Secuencia_Optima'!$G$36,MAX(0,'07_Calendario'!$H$71-'06_Secuencia_Optima'!$L$36-'06_Secuencia_Optima'!$AB$36)*'06_Secuencia_Optima'!$H$36/480),6))-INT(ROUND(MIN('06_Secuencia_Optima'!$G$36,MAX(0,'07_Calendario'!$G$71-'06_Secuencia_Optima'!$L$36-'06_Secuencia_Optima'!$AB$36)*'06_Secuencia_Optima'!$H$36/480),6)))</f>
        <v>0</v>
      </c>
      <c r="BS17" s="51">
        <f>IF('07_Calendario'!$E$72=0,"",INT(ROUND(MIN('06_Secuencia_Optima'!$G$36,MAX(0,'07_Calendario'!$H$72-'06_Secuencia_Optima'!$L$36-'06_Secuencia_Optima'!$AB$36)*'06_Secuencia_Optima'!$H$36/480),6))-INT(ROUND(MIN('06_Secuencia_Optima'!$G$36,MAX(0,'07_Calendario'!$G$72-'06_Secuencia_Optima'!$L$36-'06_Secuencia_Optima'!$AB$36)*'06_Secuencia_Optima'!$H$36/480),6)))</f>
        <v>0</v>
      </c>
      <c r="BT17" s="51" t="str">
        <f>IF('07_Calendario'!$E$73=0,"",INT(ROUND(MIN('06_Secuencia_Optima'!$G$36,MAX(0,'07_Calendario'!$H$73-'06_Secuencia_Optima'!$L$36-'06_Secuencia_Optima'!$AB$36)*'06_Secuencia_Optima'!$H$36/480),6))-INT(ROUND(MIN('06_Secuencia_Optima'!$G$36,MAX(0,'07_Calendario'!$G$73-'06_Secuencia_Optima'!$L$36-'06_Secuencia_Optima'!$AB$36)*'06_Secuencia_Optima'!$H$36/480),6)))</f>
        <v/>
      </c>
      <c r="BU17" s="51">
        <f>IF('07_Calendario'!$E$74=0,"",INT(ROUND(MIN('06_Secuencia_Optima'!$G$36,MAX(0,'07_Calendario'!$H$74-'06_Secuencia_Optima'!$L$36-'06_Secuencia_Optima'!$AB$36)*'06_Secuencia_Optima'!$H$36/480),6))-INT(ROUND(MIN('06_Secuencia_Optima'!$G$36,MAX(0,'07_Calendario'!$G$74-'06_Secuencia_Optima'!$L$36-'06_Secuencia_Optima'!$AB$36)*'06_Secuencia_Optima'!$H$36/480),6)))</f>
        <v>0</v>
      </c>
      <c r="BV17" s="51">
        <f>IF('07_Calendario'!$E$75=0,"",INT(ROUND(MIN('06_Secuencia_Optima'!$G$36,MAX(0,'07_Calendario'!$H$75-'06_Secuencia_Optima'!$L$36-'06_Secuencia_Optima'!$AB$36)*'06_Secuencia_Optima'!$H$36/480),6))-INT(ROUND(MIN('06_Secuencia_Optima'!$G$36,MAX(0,'07_Calendario'!$G$75-'06_Secuencia_Optima'!$L$36-'06_Secuencia_Optima'!$AB$36)*'06_Secuencia_Optima'!$H$36/480),6)))</f>
        <v>0</v>
      </c>
      <c r="BW17" s="51">
        <f>IF('07_Calendario'!$E$76=0,"",INT(ROUND(MIN('06_Secuencia_Optima'!$G$36,MAX(0,'07_Calendario'!$H$76-'06_Secuencia_Optima'!$L$36-'06_Secuencia_Optima'!$AB$36)*'06_Secuencia_Optima'!$H$36/480),6))-INT(ROUND(MIN('06_Secuencia_Optima'!$G$36,MAX(0,'07_Calendario'!$G$76-'06_Secuencia_Optima'!$L$36-'06_Secuencia_Optima'!$AB$36)*'06_Secuencia_Optima'!$H$36/480),6)))</f>
        <v>0</v>
      </c>
      <c r="BX17" s="51">
        <f>IF('07_Calendario'!$E$77=0,"",INT(ROUND(MIN('06_Secuencia_Optima'!$G$36,MAX(0,'07_Calendario'!$H$77-'06_Secuencia_Optima'!$L$36-'06_Secuencia_Optima'!$AB$36)*'06_Secuencia_Optima'!$H$36/480),6))-INT(ROUND(MIN('06_Secuencia_Optima'!$G$36,MAX(0,'07_Calendario'!$G$77-'06_Secuencia_Optima'!$L$36-'06_Secuencia_Optima'!$AB$36)*'06_Secuencia_Optima'!$H$36/480),6)))</f>
        <v>0</v>
      </c>
      <c r="BY17" s="51">
        <f>IF('07_Calendario'!$E$78=0,"",INT(ROUND(MIN('06_Secuencia_Optima'!$G$36,MAX(0,'07_Calendario'!$H$78-'06_Secuencia_Optima'!$L$36-'06_Secuencia_Optima'!$AB$36)*'06_Secuencia_Optima'!$H$36/480),6))-INT(ROUND(MIN('06_Secuencia_Optima'!$G$36,MAX(0,'07_Calendario'!$G$78-'06_Secuencia_Optima'!$L$36-'06_Secuencia_Optima'!$AB$36)*'06_Secuencia_Optima'!$H$36/480),6)))</f>
        <v>0</v>
      </c>
      <c r="BZ17" s="51">
        <f>IF('07_Calendario'!$E$79=0,"",INT(ROUND(MIN('06_Secuencia_Optima'!$G$36,MAX(0,'07_Calendario'!$H$79-'06_Secuencia_Optima'!$L$36-'06_Secuencia_Optima'!$AB$36)*'06_Secuencia_Optima'!$H$36/480),6))-INT(ROUND(MIN('06_Secuencia_Optima'!$G$36,MAX(0,'07_Calendario'!$G$79-'06_Secuencia_Optima'!$L$36-'06_Secuencia_Optima'!$AB$36)*'06_Secuencia_Optima'!$H$36/480),6)))</f>
        <v>0</v>
      </c>
      <c r="CA17" s="51">
        <f>IF('07_Calendario'!$E$80=0,"",INT(ROUND(MIN('06_Secuencia_Optima'!$G$36,MAX(0,'07_Calendario'!$H$80-'06_Secuencia_Optima'!$L$36-'06_Secuencia_Optima'!$AB$36)*'06_Secuencia_Optima'!$H$36/480),6))-INT(ROUND(MIN('06_Secuencia_Optima'!$G$36,MAX(0,'07_Calendario'!$G$80-'06_Secuencia_Optima'!$L$36-'06_Secuencia_Optima'!$AB$36)*'06_Secuencia_Optima'!$H$36/480),6)))</f>
        <v>0</v>
      </c>
      <c r="CB17" s="51">
        <f>IF('07_Calendario'!$E$81=0,"",INT(ROUND(MIN('06_Secuencia_Optima'!$G$36,MAX(0,'07_Calendario'!$H$81-'06_Secuencia_Optima'!$L$36-'06_Secuencia_Optima'!$AB$36)*'06_Secuencia_Optima'!$H$36/480),6))-INT(ROUND(MIN('06_Secuencia_Optima'!$G$36,MAX(0,'07_Calendario'!$G$81-'06_Secuencia_Optima'!$L$36-'06_Secuencia_Optima'!$AB$36)*'06_Secuencia_Optima'!$H$36/480),6)))</f>
        <v>0</v>
      </c>
      <c r="CC17" s="51">
        <f>IF('07_Calendario'!$E$82=0,"",INT(ROUND(MIN('06_Secuencia_Optima'!$G$36,MAX(0,'07_Calendario'!$H$82-'06_Secuencia_Optima'!$L$36-'06_Secuencia_Optima'!$AB$36)*'06_Secuencia_Optima'!$H$36/480),6))-INT(ROUND(MIN('06_Secuencia_Optima'!$G$36,MAX(0,'07_Calendario'!$G$82-'06_Secuencia_Optima'!$L$36-'06_Secuencia_Optima'!$AB$36)*'06_Secuencia_Optima'!$H$36/480),6)))</f>
        <v>0</v>
      </c>
      <c r="CD17" s="18">
        <f t="shared" si="0"/>
        <v>1496</v>
      </c>
      <c r="CE17" s="19">
        <f>'06_Secuencia_Optima'!$G$36</f>
        <v>1496</v>
      </c>
      <c r="CF17" s="10" t="str">
        <f t="shared" si="1"/>
        <v>OK</v>
      </c>
    </row>
    <row r="18" spans="1:84" x14ac:dyDescent="0.2">
      <c r="A18" s="10">
        <f>'06_Secuencia_Optima'!$B$37</f>
        <v>15795</v>
      </c>
      <c r="B18" s="13" t="str">
        <f>'06_Secuencia_Optima'!$C$37</f>
        <v>SALSA MAYONESA-V(12DP/1/380g)</v>
      </c>
      <c r="C18" s="14">
        <f>'06_Secuencia_Optima'!$D$37</f>
        <v>3278</v>
      </c>
      <c r="D18" s="51">
        <f>IF('07_Calendario'!$E$5=0,"",INT(ROUND(MIN('06_Secuencia_Optima'!$G$37,MAX(0,'07_Calendario'!$H$5-'06_Secuencia_Optima'!$L$37-'06_Secuencia_Optima'!$AB$37)*'06_Secuencia_Optima'!$H$37/480),6))-INT(ROUND(MIN('06_Secuencia_Optima'!$G$37,MAX(0,'07_Calendario'!$G$5-'06_Secuencia_Optima'!$L$37-'06_Secuencia_Optima'!$AB$37)*'06_Secuencia_Optima'!$H$37/480),6)))</f>
        <v>1284</v>
      </c>
      <c r="E18" s="51">
        <f>IF('07_Calendario'!$E$6=0,"",INT(ROUND(MIN('06_Secuencia_Optima'!$G$37,MAX(0,'07_Calendario'!$H$6-'06_Secuencia_Optima'!$L$37-'06_Secuencia_Optima'!$AB$37)*'06_Secuencia_Optima'!$H$37/480),6))-INT(ROUND(MIN('06_Secuencia_Optima'!$G$37,MAX(0,'07_Calendario'!$G$6-'06_Secuencia_Optima'!$L$37-'06_Secuencia_Optima'!$AB$37)*'06_Secuencia_Optima'!$H$37/480),6)))</f>
        <v>0</v>
      </c>
      <c r="F18" s="51">
        <f>IF('07_Calendario'!$E$7=0,"",INT(ROUND(MIN('06_Secuencia_Optima'!$G$37,MAX(0,'07_Calendario'!$H$7-'06_Secuencia_Optima'!$L$37-'06_Secuencia_Optima'!$AB$37)*'06_Secuencia_Optima'!$H$37/480),6))-INT(ROUND(MIN('06_Secuencia_Optima'!$G$37,MAX(0,'07_Calendario'!$G$7-'06_Secuencia_Optima'!$L$37-'06_Secuencia_Optima'!$AB$37)*'06_Secuencia_Optima'!$H$37/480),6)))</f>
        <v>0</v>
      </c>
      <c r="G18" s="51">
        <f>IF('07_Calendario'!$E$8=0,"",INT(ROUND(MIN('06_Secuencia_Optima'!$G$37,MAX(0,'07_Calendario'!$H$8-'06_Secuencia_Optima'!$L$37-'06_Secuencia_Optima'!$AB$37)*'06_Secuencia_Optima'!$H$37/480),6))-INT(ROUND(MIN('06_Secuencia_Optima'!$G$37,MAX(0,'07_Calendario'!$G$8-'06_Secuencia_Optima'!$L$37-'06_Secuencia_Optima'!$AB$37)*'06_Secuencia_Optima'!$H$37/480),6)))</f>
        <v>0</v>
      </c>
      <c r="H18" s="51">
        <f>IF('07_Calendario'!$E$9=0,"",INT(ROUND(MIN('06_Secuencia_Optima'!$G$37,MAX(0,'07_Calendario'!$H$9-'06_Secuencia_Optima'!$L$37-'06_Secuencia_Optima'!$AB$37)*'06_Secuencia_Optima'!$H$37/480),6))-INT(ROUND(MIN('06_Secuencia_Optima'!$G$37,MAX(0,'07_Calendario'!$G$9-'06_Secuencia_Optima'!$L$37-'06_Secuencia_Optima'!$AB$37)*'06_Secuencia_Optima'!$H$37/480),6)))</f>
        <v>0</v>
      </c>
      <c r="I18" s="51">
        <f>IF('07_Calendario'!$E$10=0,"",INT(ROUND(MIN('06_Secuencia_Optima'!$G$37,MAX(0,'07_Calendario'!$H$10-'06_Secuencia_Optima'!$L$37-'06_Secuencia_Optima'!$AB$37)*'06_Secuencia_Optima'!$H$37/480),6))-INT(ROUND(MIN('06_Secuencia_Optima'!$G$37,MAX(0,'07_Calendario'!$G$10-'06_Secuencia_Optima'!$L$37-'06_Secuencia_Optima'!$AB$37)*'06_Secuencia_Optima'!$H$37/480),6)))</f>
        <v>0</v>
      </c>
      <c r="J18" s="51">
        <f>IF('07_Calendario'!$E$11=0,"",INT(ROUND(MIN('06_Secuencia_Optima'!$G$37,MAX(0,'07_Calendario'!$H$11-'06_Secuencia_Optima'!$L$37-'06_Secuencia_Optima'!$AB$37)*'06_Secuencia_Optima'!$H$37/480),6))-INT(ROUND(MIN('06_Secuencia_Optima'!$G$37,MAX(0,'07_Calendario'!$G$11-'06_Secuencia_Optima'!$L$37-'06_Secuencia_Optima'!$AB$37)*'06_Secuencia_Optima'!$H$37/480),6)))</f>
        <v>0</v>
      </c>
      <c r="K18" s="51">
        <f>IF('07_Calendario'!$E$12=0,"",INT(ROUND(MIN('06_Secuencia_Optima'!$G$37,MAX(0,'07_Calendario'!$H$12-'06_Secuencia_Optima'!$L$37-'06_Secuencia_Optima'!$AB$37)*'06_Secuencia_Optima'!$H$37/480),6))-INT(ROUND(MIN('06_Secuencia_Optima'!$G$37,MAX(0,'07_Calendario'!$G$12-'06_Secuencia_Optima'!$L$37-'06_Secuencia_Optima'!$AB$37)*'06_Secuencia_Optima'!$H$37/480),6)))</f>
        <v>0</v>
      </c>
      <c r="L18" s="51">
        <f>IF('07_Calendario'!$E$13=0,"",INT(ROUND(MIN('06_Secuencia_Optima'!$G$37,MAX(0,'07_Calendario'!$H$13-'06_Secuencia_Optima'!$L$37-'06_Secuencia_Optima'!$AB$37)*'06_Secuencia_Optima'!$H$37/480),6))-INT(ROUND(MIN('06_Secuencia_Optima'!$G$37,MAX(0,'07_Calendario'!$G$13-'06_Secuencia_Optima'!$L$37-'06_Secuencia_Optima'!$AB$37)*'06_Secuencia_Optima'!$H$37/480),6)))</f>
        <v>0</v>
      </c>
      <c r="M18" s="51">
        <f>IF('07_Calendario'!$E$14=0,"",INT(ROUND(MIN('06_Secuencia_Optima'!$G$37,MAX(0,'07_Calendario'!$H$14-'06_Secuencia_Optima'!$L$37-'06_Secuencia_Optima'!$AB$37)*'06_Secuencia_Optima'!$H$37/480),6))-INT(ROUND(MIN('06_Secuencia_Optima'!$G$37,MAX(0,'07_Calendario'!$G$14-'06_Secuencia_Optima'!$L$37-'06_Secuencia_Optima'!$AB$37)*'06_Secuencia_Optima'!$H$37/480),6)))</f>
        <v>0</v>
      </c>
      <c r="N18" s="51">
        <f>IF('07_Calendario'!$E$15=0,"",INT(ROUND(MIN('06_Secuencia_Optima'!$G$37,MAX(0,'07_Calendario'!$H$15-'06_Secuencia_Optima'!$L$37-'06_Secuencia_Optima'!$AB$37)*'06_Secuencia_Optima'!$H$37/480),6))-INT(ROUND(MIN('06_Secuencia_Optima'!$G$37,MAX(0,'07_Calendario'!$G$15-'06_Secuencia_Optima'!$L$37-'06_Secuencia_Optima'!$AB$37)*'06_Secuencia_Optima'!$H$37/480),6)))</f>
        <v>0</v>
      </c>
      <c r="O18" s="51">
        <f>IF('07_Calendario'!$E$16=0,"",INT(ROUND(MIN('06_Secuencia_Optima'!$G$37,MAX(0,'07_Calendario'!$H$16-'06_Secuencia_Optima'!$L$37-'06_Secuencia_Optima'!$AB$37)*'06_Secuencia_Optima'!$H$37/480),6))-INT(ROUND(MIN('06_Secuencia_Optima'!$G$37,MAX(0,'07_Calendario'!$G$16-'06_Secuencia_Optima'!$L$37-'06_Secuencia_Optima'!$AB$37)*'06_Secuencia_Optima'!$H$37/480),6)))</f>
        <v>0</v>
      </c>
      <c r="P18" s="51">
        <f>IF('07_Calendario'!$E$17=0,"",INT(ROUND(MIN('06_Secuencia_Optima'!$G$37,MAX(0,'07_Calendario'!$H$17-'06_Secuencia_Optima'!$L$37-'06_Secuencia_Optima'!$AB$37)*'06_Secuencia_Optima'!$H$37/480),6))-INT(ROUND(MIN('06_Secuencia_Optima'!$G$37,MAX(0,'07_Calendario'!$G$17-'06_Secuencia_Optima'!$L$37-'06_Secuencia_Optima'!$AB$37)*'06_Secuencia_Optima'!$H$37/480),6)))</f>
        <v>0</v>
      </c>
      <c r="Q18" s="51">
        <f>IF('07_Calendario'!$E$18=0,"",INT(ROUND(MIN('06_Secuencia_Optima'!$G$37,MAX(0,'07_Calendario'!$H$18-'06_Secuencia_Optima'!$L$37-'06_Secuencia_Optima'!$AB$37)*'06_Secuencia_Optima'!$H$37/480),6))-INT(ROUND(MIN('06_Secuencia_Optima'!$G$37,MAX(0,'07_Calendario'!$G$18-'06_Secuencia_Optima'!$L$37-'06_Secuencia_Optima'!$AB$37)*'06_Secuencia_Optima'!$H$37/480),6)))</f>
        <v>0</v>
      </c>
      <c r="R18" s="51" t="str">
        <f>IF('07_Calendario'!$E$19=0,"",INT(ROUND(MIN('06_Secuencia_Optima'!$G$37,MAX(0,'07_Calendario'!$H$19-'06_Secuencia_Optima'!$L$37-'06_Secuencia_Optima'!$AB$37)*'06_Secuencia_Optima'!$H$37/480),6))-INT(ROUND(MIN('06_Secuencia_Optima'!$G$37,MAX(0,'07_Calendario'!$G$19-'06_Secuencia_Optima'!$L$37-'06_Secuencia_Optima'!$AB$37)*'06_Secuencia_Optima'!$H$37/480),6)))</f>
        <v/>
      </c>
      <c r="S18" s="51">
        <f>IF('07_Calendario'!$E$20=0,"",INT(ROUND(MIN('06_Secuencia_Optima'!$G$37,MAX(0,'07_Calendario'!$H$20-'06_Secuencia_Optima'!$L$37-'06_Secuencia_Optima'!$AB$37)*'06_Secuencia_Optima'!$H$37/480),6))-INT(ROUND(MIN('06_Secuencia_Optima'!$G$37,MAX(0,'07_Calendario'!$G$20-'06_Secuencia_Optima'!$L$37-'06_Secuencia_Optima'!$AB$37)*'06_Secuencia_Optima'!$H$37/480),6)))</f>
        <v>0</v>
      </c>
      <c r="T18" s="51">
        <f>IF('07_Calendario'!$E$21=0,"",INT(ROUND(MIN('06_Secuencia_Optima'!$G$37,MAX(0,'07_Calendario'!$H$21-'06_Secuencia_Optima'!$L$37-'06_Secuencia_Optima'!$AB$37)*'06_Secuencia_Optima'!$H$37/480),6))-INT(ROUND(MIN('06_Secuencia_Optima'!$G$37,MAX(0,'07_Calendario'!$G$21-'06_Secuencia_Optima'!$L$37-'06_Secuencia_Optima'!$AB$37)*'06_Secuencia_Optima'!$H$37/480),6)))</f>
        <v>0</v>
      </c>
      <c r="U18" s="51">
        <f>IF('07_Calendario'!$E$22=0,"",INT(ROUND(MIN('06_Secuencia_Optima'!$G$37,MAX(0,'07_Calendario'!$H$22-'06_Secuencia_Optima'!$L$37-'06_Secuencia_Optima'!$AB$37)*'06_Secuencia_Optima'!$H$37/480),6))-INT(ROUND(MIN('06_Secuencia_Optima'!$G$37,MAX(0,'07_Calendario'!$G$22-'06_Secuencia_Optima'!$L$37-'06_Secuencia_Optima'!$AB$37)*'06_Secuencia_Optima'!$H$37/480),6)))</f>
        <v>0</v>
      </c>
      <c r="V18" s="51">
        <f>IF('07_Calendario'!$E$23=0,"",INT(ROUND(MIN('06_Secuencia_Optima'!$G$37,MAX(0,'07_Calendario'!$H$23-'06_Secuencia_Optima'!$L$37-'06_Secuencia_Optima'!$AB$37)*'06_Secuencia_Optima'!$H$37/480),6))-INT(ROUND(MIN('06_Secuencia_Optima'!$G$37,MAX(0,'07_Calendario'!$G$23-'06_Secuencia_Optima'!$L$37-'06_Secuencia_Optima'!$AB$37)*'06_Secuencia_Optima'!$H$37/480),6)))</f>
        <v>0</v>
      </c>
      <c r="W18" s="51">
        <f>IF('07_Calendario'!$E$24=0,"",INT(ROUND(MIN('06_Secuencia_Optima'!$G$37,MAX(0,'07_Calendario'!$H$24-'06_Secuencia_Optima'!$L$37-'06_Secuencia_Optima'!$AB$37)*'06_Secuencia_Optima'!$H$37/480),6))-INT(ROUND(MIN('06_Secuencia_Optima'!$G$37,MAX(0,'07_Calendario'!$G$24-'06_Secuencia_Optima'!$L$37-'06_Secuencia_Optima'!$AB$37)*'06_Secuencia_Optima'!$H$37/480),6)))</f>
        <v>0</v>
      </c>
      <c r="X18" s="51">
        <f>IF('07_Calendario'!$E$25=0,"",INT(ROUND(MIN('06_Secuencia_Optima'!$G$37,MAX(0,'07_Calendario'!$H$25-'06_Secuencia_Optima'!$L$37-'06_Secuencia_Optima'!$AB$37)*'06_Secuencia_Optima'!$H$37/480),6))-INT(ROUND(MIN('06_Secuencia_Optima'!$G$37,MAX(0,'07_Calendario'!$G$25-'06_Secuencia_Optima'!$L$37-'06_Secuencia_Optima'!$AB$37)*'06_Secuencia_Optima'!$H$37/480),6)))</f>
        <v>0</v>
      </c>
      <c r="Y18" s="51">
        <f>IF('07_Calendario'!$E$26=0,"",INT(ROUND(MIN('06_Secuencia_Optima'!$G$37,MAX(0,'07_Calendario'!$H$26-'06_Secuencia_Optima'!$L$37-'06_Secuencia_Optima'!$AB$37)*'06_Secuencia_Optima'!$H$37/480),6))-INT(ROUND(MIN('06_Secuencia_Optima'!$G$37,MAX(0,'07_Calendario'!$G$26-'06_Secuencia_Optima'!$L$37-'06_Secuencia_Optima'!$AB$37)*'06_Secuencia_Optima'!$H$37/480),6)))</f>
        <v>0</v>
      </c>
      <c r="Z18" s="51">
        <f>IF('07_Calendario'!$E$27=0,"",INT(ROUND(MIN('06_Secuencia_Optima'!$G$37,MAX(0,'07_Calendario'!$H$27-'06_Secuencia_Optima'!$L$37-'06_Secuencia_Optima'!$AB$37)*'06_Secuencia_Optima'!$H$37/480),6))-INT(ROUND(MIN('06_Secuencia_Optima'!$G$37,MAX(0,'07_Calendario'!$G$27-'06_Secuencia_Optima'!$L$37-'06_Secuencia_Optima'!$AB$37)*'06_Secuencia_Optima'!$H$37/480),6)))</f>
        <v>0</v>
      </c>
      <c r="AA18" s="51">
        <f>IF('07_Calendario'!$E$28=0,"",INT(ROUND(MIN('06_Secuencia_Optima'!$G$37,MAX(0,'07_Calendario'!$H$28-'06_Secuencia_Optima'!$L$37-'06_Secuencia_Optima'!$AB$37)*'06_Secuencia_Optima'!$H$37/480),6))-INT(ROUND(MIN('06_Secuencia_Optima'!$G$37,MAX(0,'07_Calendario'!$G$28-'06_Secuencia_Optima'!$L$37-'06_Secuencia_Optima'!$AB$37)*'06_Secuencia_Optima'!$H$37/480),6)))</f>
        <v>0</v>
      </c>
      <c r="AB18" s="51">
        <f>IF('07_Calendario'!$E$29=0,"",INT(ROUND(MIN('06_Secuencia_Optima'!$G$37,MAX(0,'07_Calendario'!$H$29-'06_Secuencia_Optima'!$L$37-'06_Secuencia_Optima'!$AB$37)*'06_Secuencia_Optima'!$H$37/480),6))-INT(ROUND(MIN('06_Secuencia_Optima'!$G$37,MAX(0,'07_Calendario'!$G$29-'06_Secuencia_Optima'!$L$37-'06_Secuencia_Optima'!$AB$37)*'06_Secuencia_Optima'!$H$37/480),6)))</f>
        <v>0</v>
      </c>
      <c r="AC18" s="51">
        <f>IF('07_Calendario'!$E$30=0,"",INT(ROUND(MIN('06_Secuencia_Optima'!$G$37,MAX(0,'07_Calendario'!$H$30-'06_Secuencia_Optima'!$L$37-'06_Secuencia_Optima'!$AB$37)*'06_Secuencia_Optima'!$H$37/480),6))-INT(ROUND(MIN('06_Secuencia_Optima'!$G$37,MAX(0,'07_Calendario'!$G$30-'06_Secuencia_Optima'!$L$37-'06_Secuencia_Optima'!$AB$37)*'06_Secuencia_Optima'!$H$37/480),6)))</f>
        <v>0</v>
      </c>
      <c r="AD18" s="51">
        <f>IF('07_Calendario'!$E$31=0,"",INT(ROUND(MIN('06_Secuencia_Optima'!$G$37,MAX(0,'07_Calendario'!$H$31-'06_Secuencia_Optima'!$L$37-'06_Secuencia_Optima'!$AB$37)*'06_Secuencia_Optima'!$H$37/480),6))-INT(ROUND(MIN('06_Secuencia_Optima'!$G$37,MAX(0,'07_Calendario'!$G$31-'06_Secuencia_Optima'!$L$37-'06_Secuencia_Optima'!$AB$37)*'06_Secuencia_Optima'!$H$37/480),6)))</f>
        <v>0</v>
      </c>
      <c r="AE18" s="51">
        <f>IF('07_Calendario'!$E$32=0,"",INT(ROUND(MIN('06_Secuencia_Optima'!$G$37,MAX(0,'07_Calendario'!$H$32-'06_Secuencia_Optima'!$L$37-'06_Secuencia_Optima'!$AB$37)*'06_Secuencia_Optima'!$H$37/480),6))-INT(ROUND(MIN('06_Secuencia_Optima'!$G$37,MAX(0,'07_Calendario'!$G$32-'06_Secuencia_Optima'!$L$37-'06_Secuencia_Optima'!$AB$37)*'06_Secuencia_Optima'!$H$37/480),6)))</f>
        <v>0</v>
      </c>
      <c r="AF18" s="51">
        <f>IF('07_Calendario'!$E$33=0,"",INT(ROUND(MIN('06_Secuencia_Optima'!$G$37,MAX(0,'07_Calendario'!$H$33-'06_Secuencia_Optima'!$L$37-'06_Secuencia_Optima'!$AB$37)*'06_Secuencia_Optima'!$H$37/480),6))-INT(ROUND(MIN('06_Secuencia_Optima'!$G$37,MAX(0,'07_Calendario'!$G$33-'06_Secuencia_Optima'!$L$37-'06_Secuencia_Optima'!$AB$37)*'06_Secuencia_Optima'!$H$37/480),6)))</f>
        <v>0</v>
      </c>
      <c r="AG18" s="51">
        <f>IF('07_Calendario'!$E$34=0,"",INT(ROUND(MIN('06_Secuencia_Optima'!$G$37,MAX(0,'07_Calendario'!$H$34-'06_Secuencia_Optima'!$L$37-'06_Secuencia_Optima'!$AB$37)*'06_Secuencia_Optima'!$H$37/480),6))-INT(ROUND(MIN('06_Secuencia_Optima'!$G$37,MAX(0,'07_Calendario'!$G$34-'06_Secuencia_Optima'!$L$37-'06_Secuencia_Optima'!$AB$37)*'06_Secuencia_Optima'!$H$37/480),6)))</f>
        <v>0</v>
      </c>
      <c r="AH18" s="51">
        <f>IF('07_Calendario'!$E$35=0,"",INT(ROUND(MIN('06_Secuencia_Optima'!$G$37,MAX(0,'07_Calendario'!$H$35-'06_Secuencia_Optima'!$L$37-'06_Secuencia_Optima'!$AB$37)*'06_Secuencia_Optima'!$H$37/480),6))-INT(ROUND(MIN('06_Secuencia_Optima'!$G$37,MAX(0,'07_Calendario'!$G$35-'06_Secuencia_Optima'!$L$37-'06_Secuencia_Optima'!$AB$37)*'06_Secuencia_Optima'!$H$37/480),6)))</f>
        <v>0</v>
      </c>
      <c r="AI18" s="51">
        <f>IF('07_Calendario'!$E$36=0,"",INT(ROUND(MIN('06_Secuencia_Optima'!$G$37,MAX(0,'07_Calendario'!$H$36-'06_Secuencia_Optima'!$L$37-'06_Secuencia_Optima'!$AB$37)*'06_Secuencia_Optima'!$H$37/480),6))-INT(ROUND(MIN('06_Secuencia_Optima'!$G$37,MAX(0,'07_Calendario'!$G$36-'06_Secuencia_Optima'!$L$37-'06_Secuencia_Optima'!$AB$37)*'06_Secuencia_Optima'!$H$37/480),6)))</f>
        <v>0</v>
      </c>
      <c r="AJ18" s="51" t="str">
        <f>IF('07_Calendario'!$E$37=0,"",INT(ROUND(MIN('06_Secuencia_Optima'!$G$37,MAX(0,'07_Calendario'!$H$37-'06_Secuencia_Optima'!$L$37-'06_Secuencia_Optima'!$AB$37)*'06_Secuencia_Optima'!$H$37/480),6))-INT(ROUND(MIN('06_Secuencia_Optima'!$G$37,MAX(0,'07_Calendario'!$G$37-'06_Secuencia_Optima'!$L$37-'06_Secuencia_Optima'!$AB$37)*'06_Secuencia_Optima'!$H$37/480),6)))</f>
        <v/>
      </c>
      <c r="AK18" s="51">
        <f>IF('07_Calendario'!$E$38=0,"",INT(ROUND(MIN('06_Secuencia_Optima'!$G$37,MAX(0,'07_Calendario'!$H$38-'06_Secuencia_Optima'!$L$37-'06_Secuencia_Optima'!$AB$37)*'06_Secuencia_Optima'!$H$37/480),6))-INT(ROUND(MIN('06_Secuencia_Optima'!$G$37,MAX(0,'07_Calendario'!$G$38-'06_Secuencia_Optima'!$L$37-'06_Secuencia_Optima'!$AB$37)*'06_Secuencia_Optima'!$H$37/480),6)))</f>
        <v>0</v>
      </c>
      <c r="AL18" s="51">
        <f>IF('07_Calendario'!$E$39=0,"",INT(ROUND(MIN('06_Secuencia_Optima'!$G$37,MAX(0,'07_Calendario'!$H$39-'06_Secuencia_Optima'!$L$37-'06_Secuencia_Optima'!$AB$37)*'06_Secuencia_Optima'!$H$37/480),6))-INT(ROUND(MIN('06_Secuencia_Optima'!$G$37,MAX(0,'07_Calendario'!$G$39-'06_Secuencia_Optima'!$L$37-'06_Secuencia_Optima'!$AB$37)*'06_Secuencia_Optima'!$H$37/480),6)))</f>
        <v>0</v>
      </c>
      <c r="AM18" s="51">
        <f>IF('07_Calendario'!$E$40=0,"",INT(ROUND(MIN('06_Secuencia_Optima'!$G$37,MAX(0,'07_Calendario'!$H$40-'06_Secuencia_Optima'!$L$37-'06_Secuencia_Optima'!$AB$37)*'06_Secuencia_Optima'!$H$37/480),6))-INT(ROUND(MIN('06_Secuencia_Optima'!$G$37,MAX(0,'07_Calendario'!$G$40-'06_Secuencia_Optima'!$L$37-'06_Secuencia_Optima'!$AB$37)*'06_Secuencia_Optima'!$H$37/480),6)))</f>
        <v>0</v>
      </c>
      <c r="AN18" s="51">
        <f>IF('07_Calendario'!$E$41=0,"",INT(ROUND(MIN('06_Secuencia_Optima'!$G$37,MAX(0,'07_Calendario'!$H$41-'06_Secuencia_Optima'!$L$37-'06_Secuencia_Optima'!$AB$37)*'06_Secuencia_Optima'!$H$37/480),6))-INT(ROUND(MIN('06_Secuencia_Optima'!$G$37,MAX(0,'07_Calendario'!$G$41-'06_Secuencia_Optima'!$L$37-'06_Secuencia_Optima'!$AB$37)*'06_Secuencia_Optima'!$H$37/480),6)))</f>
        <v>0</v>
      </c>
      <c r="AO18" s="51">
        <f>IF('07_Calendario'!$E$42=0,"",INT(ROUND(MIN('06_Secuencia_Optima'!$G$37,MAX(0,'07_Calendario'!$H$42-'06_Secuencia_Optima'!$L$37-'06_Secuencia_Optima'!$AB$37)*'06_Secuencia_Optima'!$H$37/480),6))-INT(ROUND(MIN('06_Secuencia_Optima'!$G$37,MAX(0,'07_Calendario'!$G$42-'06_Secuencia_Optima'!$L$37-'06_Secuencia_Optima'!$AB$37)*'06_Secuencia_Optima'!$H$37/480),6)))</f>
        <v>0</v>
      </c>
      <c r="AP18" s="51">
        <f>IF('07_Calendario'!$E$43=0,"",INT(ROUND(MIN('06_Secuencia_Optima'!$G$37,MAX(0,'07_Calendario'!$H$43-'06_Secuencia_Optima'!$L$37-'06_Secuencia_Optima'!$AB$37)*'06_Secuencia_Optima'!$H$37/480),6))-INT(ROUND(MIN('06_Secuencia_Optima'!$G$37,MAX(0,'07_Calendario'!$G$43-'06_Secuencia_Optima'!$L$37-'06_Secuencia_Optima'!$AB$37)*'06_Secuencia_Optima'!$H$37/480),6)))</f>
        <v>0</v>
      </c>
      <c r="AQ18" s="51">
        <f>IF('07_Calendario'!$E$44=0,"",INT(ROUND(MIN('06_Secuencia_Optima'!$G$37,MAX(0,'07_Calendario'!$H$44-'06_Secuencia_Optima'!$L$37-'06_Secuencia_Optima'!$AB$37)*'06_Secuencia_Optima'!$H$37/480),6))-INT(ROUND(MIN('06_Secuencia_Optima'!$G$37,MAX(0,'07_Calendario'!$G$44-'06_Secuencia_Optima'!$L$37-'06_Secuencia_Optima'!$AB$37)*'06_Secuencia_Optima'!$H$37/480),6)))</f>
        <v>0</v>
      </c>
      <c r="AR18" s="51">
        <f>IF('07_Calendario'!$E$45=0,"",INT(ROUND(MIN('06_Secuencia_Optima'!$G$37,MAX(0,'07_Calendario'!$H$45-'06_Secuencia_Optima'!$L$37-'06_Secuencia_Optima'!$AB$37)*'06_Secuencia_Optima'!$H$37/480),6))-INT(ROUND(MIN('06_Secuencia_Optima'!$G$37,MAX(0,'07_Calendario'!$G$45-'06_Secuencia_Optima'!$L$37-'06_Secuencia_Optima'!$AB$37)*'06_Secuencia_Optima'!$H$37/480),6)))</f>
        <v>0</v>
      </c>
      <c r="AS18" s="51">
        <f>IF('07_Calendario'!$E$46=0,"",INT(ROUND(MIN('06_Secuencia_Optima'!$G$37,MAX(0,'07_Calendario'!$H$46-'06_Secuencia_Optima'!$L$37-'06_Secuencia_Optima'!$AB$37)*'06_Secuencia_Optima'!$H$37/480),6))-INT(ROUND(MIN('06_Secuencia_Optima'!$G$37,MAX(0,'07_Calendario'!$G$46-'06_Secuencia_Optima'!$L$37-'06_Secuencia_Optima'!$AB$37)*'06_Secuencia_Optima'!$H$37/480),6)))</f>
        <v>0</v>
      </c>
      <c r="AT18" s="51">
        <f>IF('07_Calendario'!$E$47=0,"",INT(ROUND(MIN('06_Secuencia_Optima'!$G$37,MAX(0,'07_Calendario'!$H$47-'06_Secuencia_Optima'!$L$37-'06_Secuencia_Optima'!$AB$37)*'06_Secuencia_Optima'!$H$37/480),6))-INT(ROUND(MIN('06_Secuencia_Optima'!$G$37,MAX(0,'07_Calendario'!$G$47-'06_Secuencia_Optima'!$L$37-'06_Secuencia_Optima'!$AB$37)*'06_Secuencia_Optima'!$H$37/480),6)))</f>
        <v>0</v>
      </c>
      <c r="AU18" s="51">
        <f>IF('07_Calendario'!$E$48=0,"",INT(ROUND(MIN('06_Secuencia_Optima'!$G$37,MAX(0,'07_Calendario'!$H$48-'06_Secuencia_Optima'!$L$37-'06_Secuencia_Optima'!$AB$37)*'06_Secuencia_Optima'!$H$37/480),6))-INT(ROUND(MIN('06_Secuencia_Optima'!$G$37,MAX(0,'07_Calendario'!$G$48-'06_Secuencia_Optima'!$L$37-'06_Secuencia_Optima'!$AB$37)*'06_Secuencia_Optima'!$H$37/480),6)))</f>
        <v>0</v>
      </c>
      <c r="AV18" s="51">
        <f>IF('07_Calendario'!$E$49=0,"",INT(ROUND(MIN('06_Secuencia_Optima'!$G$37,MAX(0,'07_Calendario'!$H$49-'06_Secuencia_Optima'!$L$37-'06_Secuencia_Optima'!$AB$37)*'06_Secuencia_Optima'!$H$37/480),6))-INT(ROUND(MIN('06_Secuencia_Optima'!$G$37,MAX(0,'07_Calendario'!$G$49-'06_Secuencia_Optima'!$L$37-'06_Secuencia_Optima'!$AB$37)*'06_Secuencia_Optima'!$H$37/480),6)))</f>
        <v>0</v>
      </c>
      <c r="AW18" s="51">
        <f>IF('07_Calendario'!$E$50=0,"",INT(ROUND(MIN('06_Secuencia_Optima'!$G$37,MAX(0,'07_Calendario'!$H$50-'06_Secuencia_Optima'!$L$37-'06_Secuencia_Optima'!$AB$37)*'06_Secuencia_Optima'!$H$37/480),6))-INT(ROUND(MIN('06_Secuencia_Optima'!$G$37,MAX(0,'07_Calendario'!$G$50-'06_Secuencia_Optima'!$L$37-'06_Secuencia_Optima'!$AB$37)*'06_Secuencia_Optima'!$H$37/480),6)))</f>
        <v>0</v>
      </c>
      <c r="AX18" s="51">
        <f>IF('07_Calendario'!$E$51=0,"",INT(ROUND(MIN('06_Secuencia_Optima'!$G$37,MAX(0,'07_Calendario'!$H$51-'06_Secuencia_Optima'!$L$37-'06_Secuencia_Optima'!$AB$37)*'06_Secuencia_Optima'!$H$37/480),6))-INT(ROUND(MIN('06_Secuencia_Optima'!$G$37,MAX(0,'07_Calendario'!$G$51-'06_Secuencia_Optima'!$L$37-'06_Secuencia_Optima'!$AB$37)*'06_Secuencia_Optima'!$H$37/480),6)))</f>
        <v>0</v>
      </c>
      <c r="AY18" s="51">
        <f>IF('07_Calendario'!$E$52=0,"",INT(ROUND(MIN('06_Secuencia_Optima'!$G$37,MAX(0,'07_Calendario'!$H$52-'06_Secuencia_Optima'!$L$37-'06_Secuencia_Optima'!$AB$37)*'06_Secuencia_Optima'!$H$37/480),6))-INT(ROUND(MIN('06_Secuencia_Optima'!$G$37,MAX(0,'07_Calendario'!$G$52-'06_Secuencia_Optima'!$L$37-'06_Secuencia_Optima'!$AB$37)*'06_Secuencia_Optima'!$H$37/480),6)))</f>
        <v>0</v>
      </c>
      <c r="AZ18" s="51">
        <f>IF('07_Calendario'!$E$53=0,"",INT(ROUND(MIN('06_Secuencia_Optima'!$G$37,MAX(0,'07_Calendario'!$H$53-'06_Secuencia_Optima'!$L$37-'06_Secuencia_Optima'!$AB$37)*'06_Secuencia_Optima'!$H$37/480),6))-INT(ROUND(MIN('06_Secuencia_Optima'!$G$37,MAX(0,'07_Calendario'!$G$53-'06_Secuencia_Optima'!$L$37-'06_Secuencia_Optima'!$AB$37)*'06_Secuencia_Optima'!$H$37/480),6)))</f>
        <v>0</v>
      </c>
      <c r="BA18" s="51">
        <f>IF('07_Calendario'!$E$54=0,"",INT(ROUND(MIN('06_Secuencia_Optima'!$G$37,MAX(0,'07_Calendario'!$H$54-'06_Secuencia_Optima'!$L$37-'06_Secuencia_Optima'!$AB$37)*'06_Secuencia_Optima'!$H$37/480),6))-INT(ROUND(MIN('06_Secuencia_Optima'!$G$37,MAX(0,'07_Calendario'!$G$54-'06_Secuencia_Optima'!$L$37-'06_Secuencia_Optima'!$AB$37)*'06_Secuencia_Optima'!$H$37/480),6)))</f>
        <v>0</v>
      </c>
      <c r="BB18" s="51" t="str">
        <f>IF('07_Calendario'!$E$55=0,"",INT(ROUND(MIN('06_Secuencia_Optima'!$G$37,MAX(0,'07_Calendario'!$H$55-'06_Secuencia_Optima'!$L$37-'06_Secuencia_Optima'!$AB$37)*'06_Secuencia_Optima'!$H$37/480),6))-INT(ROUND(MIN('06_Secuencia_Optima'!$G$37,MAX(0,'07_Calendario'!$G$55-'06_Secuencia_Optima'!$L$37-'06_Secuencia_Optima'!$AB$37)*'06_Secuencia_Optima'!$H$37/480),6)))</f>
        <v/>
      </c>
      <c r="BC18" s="51">
        <f>IF('07_Calendario'!$E$56=0,"",INT(ROUND(MIN('06_Secuencia_Optima'!$G$37,MAX(0,'07_Calendario'!$H$56-'06_Secuencia_Optima'!$L$37-'06_Secuencia_Optima'!$AB$37)*'06_Secuencia_Optima'!$H$37/480),6))-INT(ROUND(MIN('06_Secuencia_Optima'!$G$37,MAX(0,'07_Calendario'!$G$56-'06_Secuencia_Optima'!$L$37-'06_Secuencia_Optima'!$AB$37)*'06_Secuencia_Optima'!$H$37/480),6)))</f>
        <v>0</v>
      </c>
      <c r="BD18" s="51">
        <f>IF('07_Calendario'!$E$57=0,"",INT(ROUND(MIN('06_Secuencia_Optima'!$G$37,MAX(0,'07_Calendario'!$H$57-'06_Secuencia_Optima'!$L$37-'06_Secuencia_Optima'!$AB$37)*'06_Secuencia_Optima'!$H$37/480),6))-INT(ROUND(MIN('06_Secuencia_Optima'!$G$37,MAX(0,'07_Calendario'!$G$57-'06_Secuencia_Optima'!$L$37-'06_Secuencia_Optima'!$AB$37)*'06_Secuencia_Optima'!$H$37/480),6)))</f>
        <v>0</v>
      </c>
      <c r="BE18" s="51">
        <f>IF('07_Calendario'!$E$58=0,"",INT(ROUND(MIN('06_Secuencia_Optima'!$G$37,MAX(0,'07_Calendario'!$H$58-'06_Secuencia_Optima'!$L$37-'06_Secuencia_Optima'!$AB$37)*'06_Secuencia_Optima'!$H$37/480),6))-INT(ROUND(MIN('06_Secuencia_Optima'!$G$37,MAX(0,'07_Calendario'!$G$58-'06_Secuencia_Optima'!$L$37-'06_Secuencia_Optima'!$AB$37)*'06_Secuencia_Optima'!$H$37/480),6)))</f>
        <v>0</v>
      </c>
      <c r="BF18" s="51">
        <f>IF('07_Calendario'!$E$59=0,"",INT(ROUND(MIN('06_Secuencia_Optima'!$G$37,MAX(0,'07_Calendario'!$H$59-'06_Secuencia_Optima'!$L$37-'06_Secuencia_Optima'!$AB$37)*'06_Secuencia_Optima'!$H$37/480),6))-INT(ROUND(MIN('06_Secuencia_Optima'!$G$37,MAX(0,'07_Calendario'!$G$59-'06_Secuencia_Optima'!$L$37-'06_Secuencia_Optima'!$AB$37)*'06_Secuencia_Optima'!$H$37/480),6)))</f>
        <v>0</v>
      </c>
      <c r="BG18" s="51">
        <f>IF('07_Calendario'!$E$60=0,"",INT(ROUND(MIN('06_Secuencia_Optima'!$G$37,MAX(0,'07_Calendario'!$H$60-'06_Secuencia_Optima'!$L$37-'06_Secuencia_Optima'!$AB$37)*'06_Secuencia_Optima'!$H$37/480),6))-INT(ROUND(MIN('06_Secuencia_Optima'!$G$37,MAX(0,'07_Calendario'!$G$60-'06_Secuencia_Optima'!$L$37-'06_Secuencia_Optima'!$AB$37)*'06_Secuencia_Optima'!$H$37/480),6)))</f>
        <v>0</v>
      </c>
      <c r="BH18" s="51">
        <f>IF('07_Calendario'!$E$61=0,"",INT(ROUND(MIN('06_Secuencia_Optima'!$G$37,MAX(0,'07_Calendario'!$H$61-'06_Secuencia_Optima'!$L$37-'06_Secuencia_Optima'!$AB$37)*'06_Secuencia_Optima'!$H$37/480),6))-INT(ROUND(MIN('06_Secuencia_Optima'!$G$37,MAX(0,'07_Calendario'!$G$61-'06_Secuencia_Optima'!$L$37-'06_Secuencia_Optima'!$AB$37)*'06_Secuencia_Optima'!$H$37/480),6)))</f>
        <v>0</v>
      </c>
      <c r="BI18" s="51">
        <f>IF('07_Calendario'!$E$62=0,"",INT(ROUND(MIN('06_Secuencia_Optima'!$G$37,MAX(0,'07_Calendario'!$H$62-'06_Secuencia_Optima'!$L$37-'06_Secuencia_Optima'!$AB$37)*'06_Secuencia_Optima'!$H$37/480),6))-INT(ROUND(MIN('06_Secuencia_Optima'!$G$37,MAX(0,'07_Calendario'!$G$62-'06_Secuencia_Optima'!$L$37-'06_Secuencia_Optima'!$AB$37)*'06_Secuencia_Optima'!$H$37/480),6)))</f>
        <v>0</v>
      </c>
      <c r="BJ18" s="51">
        <f>IF('07_Calendario'!$E$63=0,"",INT(ROUND(MIN('06_Secuencia_Optima'!$G$37,MAX(0,'07_Calendario'!$H$63-'06_Secuencia_Optima'!$L$37-'06_Secuencia_Optima'!$AB$37)*'06_Secuencia_Optima'!$H$37/480),6))-INT(ROUND(MIN('06_Secuencia_Optima'!$G$37,MAX(0,'07_Calendario'!$G$63-'06_Secuencia_Optima'!$L$37-'06_Secuencia_Optima'!$AB$37)*'06_Secuencia_Optima'!$H$37/480),6)))</f>
        <v>0</v>
      </c>
      <c r="BK18" s="51">
        <f>IF('07_Calendario'!$E$64=0,"",INT(ROUND(MIN('06_Secuencia_Optima'!$G$37,MAX(0,'07_Calendario'!$H$64-'06_Secuencia_Optima'!$L$37-'06_Secuencia_Optima'!$AB$37)*'06_Secuencia_Optima'!$H$37/480),6))-INT(ROUND(MIN('06_Secuencia_Optima'!$G$37,MAX(0,'07_Calendario'!$G$64-'06_Secuencia_Optima'!$L$37-'06_Secuencia_Optima'!$AB$37)*'06_Secuencia_Optima'!$H$37/480),6)))</f>
        <v>0</v>
      </c>
      <c r="BL18" s="51">
        <f>IF('07_Calendario'!$E$65=0,"",INT(ROUND(MIN('06_Secuencia_Optima'!$G$37,MAX(0,'07_Calendario'!$H$65-'06_Secuencia_Optima'!$L$37-'06_Secuencia_Optima'!$AB$37)*'06_Secuencia_Optima'!$H$37/480),6))-INT(ROUND(MIN('06_Secuencia_Optima'!$G$37,MAX(0,'07_Calendario'!$G$65-'06_Secuencia_Optima'!$L$37-'06_Secuencia_Optima'!$AB$37)*'06_Secuencia_Optima'!$H$37/480),6)))</f>
        <v>0</v>
      </c>
      <c r="BM18" s="51">
        <f>IF('07_Calendario'!$E$66=0,"",INT(ROUND(MIN('06_Secuencia_Optima'!$G$37,MAX(0,'07_Calendario'!$H$66-'06_Secuencia_Optima'!$L$37-'06_Secuencia_Optima'!$AB$37)*'06_Secuencia_Optima'!$H$37/480),6))-INT(ROUND(MIN('06_Secuencia_Optima'!$G$37,MAX(0,'07_Calendario'!$G$66-'06_Secuencia_Optima'!$L$37-'06_Secuencia_Optima'!$AB$37)*'06_Secuencia_Optima'!$H$37/480),6)))</f>
        <v>0</v>
      </c>
      <c r="BN18" s="51">
        <f>IF('07_Calendario'!$E$67=0,"",INT(ROUND(MIN('06_Secuencia_Optima'!$G$37,MAX(0,'07_Calendario'!$H$67-'06_Secuencia_Optima'!$L$37-'06_Secuencia_Optima'!$AB$37)*'06_Secuencia_Optima'!$H$37/480),6))-INT(ROUND(MIN('06_Secuencia_Optima'!$G$37,MAX(0,'07_Calendario'!$G$67-'06_Secuencia_Optima'!$L$37-'06_Secuencia_Optima'!$AB$37)*'06_Secuencia_Optima'!$H$37/480),6)))</f>
        <v>0</v>
      </c>
      <c r="BO18" s="51">
        <f>IF('07_Calendario'!$E$68=0,"",INT(ROUND(MIN('06_Secuencia_Optima'!$G$37,MAX(0,'07_Calendario'!$H$68-'06_Secuencia_Optima'!$L$37-'06_Secuencia_Optima'!$AB$37)*'06_Secuencia_Optima'!$H$37/480),6))-INT(ROUND(MIN('06_Secuencia_Optima'!$G$37,MAX(0,'07_Calendario'!$G$68-'06_Secuencia_Optima'!$L$37-'06_Secuencia_Optima'!$AB$37)*'06_Secuencia_Optima'!$H$37/480),6)))</f>
        <v>0</v>
      </c>
      <c r="BP18" s="51">
        <f>IF('07_Calendario'!$E$69=0,"",INT(ROUND(MIN('06_Secuencia_Optima'!$G$37,MAX(0,'07_Calendario'!$H$69-'06_Secuencia_Optima'!$L$37-'06_Secuencia_Optima'!$AB$37)*'06_Secuencia_Optima'!$H$37/480),6))-INT(ROUND(MIN('06_Secuencia_Optima'!$G$37,MAX(0,'07_Calendario'!$G$69-'06_Secuencia_Optima'!$L$37-'06_Secuencia_Optima'!$AB$37)*'06_Secuencia_Optima'!$H$37/480),6)))</f>
        <v>0</v>
      </c>
      <c r="BQ18" s="51">
        <f>IF('07_Calendario'!$E$70=0,"",INT(ROUND(MIN('06_Secuencia_Optima'!$G$37,MAX(0,'07_Calendario'!$H$70-'06_Secuencia_Optima'!$L$37-'06_Secuencia_Optima'!$AB$37)*'06_Secuencia_Optima'!$H$37/480),6))-INT(ROUND(MIN('06_Secuencia_Optima'!$G$37,MAX(0,'07_Calendario'!$G$70-'06_Secuencia_Optima'!$L$37-'06_Secuencia_Optima'!$AB$37)*'06_Secuencia_Optima'!$H$37/480),6)))</f>
        <v>0</v>
      </c>
      <c r="BR18" s="51">
        <f>IF('07_Calendario'!$E$71=0,"",INT(ROUND(MIN('06_Secuencia_Optima'!$G$37,MAX(0,'07_Calendario'!$H$71-'06_Secuencia_Optima'!$L$37-'06_Secuencia_Optima'!$AB$37)*'06_Secuencia_Optima'!$H$37/480),6))-INT(ROUND(MIN('06_Secuencia_Optima'!$G$37,MAX(0,'07_Calendario'!$G$71-'06_Secuencia_Optima'!$L$37-'06_Secuencia_Optima'!$AB$37)*'06_Secuencia_Optima'!$H$37/480),6)))</f>
        <v>0</v>
      </c>
      <c r="BS18" s="51">
        <f>IF('07_Calendario'!$E$72=0,"",INT(ROUND(MIN('06_Secuencia_Optima'!$G$37,MAX(0,'07_Calendario'!$H$72-'06_Secuencia_Optima'!$L$37-'06_Secuencia_Optima'!$AB$37)*'06_Secuencia_Optima'!$H$37/480),6))-INT(ROUND(MIN('06_Secuencia_Optima'!$G$37,MAX(0,'07_Calendario'!$G$72-'06_Secuencia_Optima'!$L$37-'06_Secuencia_Optima'!$AB$37)*'06_Secuencia_Optima'!$H$37/480),6)))</f>
        <v>0</v>
      </c>
      <c r="BT18" s="51" t="str">
        <f>IF('07_Calendario'!$E$73=0,"",INT(ROUND(MIN('06_Secuencia_Optima'!$G$37,MAX(0,'07_Calendario'!$H$73-'06_Secuencia_Optima'!$L$37-'06_Secuencia_Optima'!$AB$37)*'06_Secuencia_Optima'!$H$37/480),6))-INT(ROUND(MIN('06_Secuencia_Optima'!$G$37,MAX(0,'07_Calendario'!$G$73-'06_Secuencia_Optima'!$L$37-'06_Secuencia_Optima'!$AB$37)*'06_Secuencia_Optima'!$H$37/480),6)))</f>
        <v/>
      </c>
      <c r="BU18" s="51">
        <f>IF('07_Calendario'!$E$74=0,"",INT(ROUND(MIN('06_Secuencia_Optima'!$G$37,MAX(0,'07_Calendario'!$H$74-'06_Secuencia_Optima'!$L$37-'06_Secuencia_Optima'!$AB$37)*'06_Secuencia_Optima'!$H$37/480),6))-INT(ROUND(MIN('06_Secuencia_Optima'!$G$37,MAX(0,'07_Calendario'!$G$74-'06_Secuencia_Optima'!$L$37-'06_Secuencia_Optima'!$AB$37)*'06_Secuencia_Optima'!$H$37/480),6)))</f>
        <v>0</v>
      </c>
      <c r="BV18" s="51">
        <f>IF('07_Calendario'!$E$75=0,"",INT(ROUND(MIN('06_Secuencia_Optima'!$G$37,MAX(0,'07_Calendario'!$H$75-'06_Secuencia_Optima'!$L$37-'06_Secuencia_Optima'!$AB$37)*'06_Secuencia_Optima'!$H$37/480),6))-INT(ROUND(MIN('06_Secuencia_Optima'!$G$37,MAX(0,'07_Calendario'!$G$75-'06_Secuencia_Optima'!$L$37-'06_Secuencia_Optima'!$AB$37)*'06_Secuencia_Optima'!$H$37/480),6)))</f>
        <v>0</v>
      </c>
      <c r="BW18" s="51">
        <f>IF('07_Calendario'!$E$76=0,"",INT(ROUND(MIN('06_Secuencia_Optima'!$G$37,MAX(0,'07_Calendario'!$H$76-'06_Secuencia_Optima'!$L$37-'06_Secuencia_Optima'!$AB$37)*'06_Secuencia_Optima'!$H$37/480),6))-INT(ROUND(MIN('06_Secuencia_Optima'!$G$37,MAX(0,'07_Calendario'!$G$76-'06_Secuencia_Optima'!$L$37-'06_Secuencia_Optima'!$AB$37)*'06_Secuencia_Optima'!$H$37/480),6)))</f>
        <v>0</v>
      </c>
      <c r="BX18" s="51">
        <f>IF('07_Calendario'!$E$77=0,"",INT(ROUND(MIN('06_Secuencia_Optima'!$G$37,MAX(0,'07_Calendario'!$H$77-'06_Secuencia_Optima'!$L$37-'06_Secuencia_Optima'!$AB$37)*'06_Secuencia_Optima'!$H$37/480),6))-INT(ROUND(MIN('06_Secuencia_Optima'!$G$37,MAX(0,'07_Calendario'!$G$77-'06_Secuencia_Optima'!$L$37-'06_Secuencia_Optima'!$AB$37)*'06_Secuencia_Optima'!$H$37/480),6)))</f>
        <v>0</v>
      </c>
      <c r="BY18" s="51">
        <f>IF('07_Calendario'!$E$78=0,"",INT(ROUND(MIN('06_Secuencia_Optima'!$G$37,MAX(0,'07_Calendario'!$H$78-'06_Secuencia_Optima'!$L$37-'06_Secuencia_Optima'!$AB$37)*'06_Secuencia_Optima'!$H$37/480),6))-INT(ROUND(MIN('06_Secuencia_Optima'!$G$37,MAX(0,'07_Calendario'!$G$78-'06_Secuencia_Optima'!$L$37-'06_Secuencia_Optima'!$AB$37)*'06_Secuencia_Optima'!$H$37/480),6)))</f>
        <v>0</v>
      </c>
      <c r="BZ18" s="51">
        <f>IF('07_Calendario'!$E$79=0,"",INT(ROUND(MIN('06_Secuencia_Optima'!$G$37,MAX(0,'07_Calendario'!$H$79-'06_Secuencia_Optima'!$L$37-'06_Secuencia_Optima'!$AB$37)*'06_Secuencia_Optima'!$H$37/480),6))-INT(ROUND(MIN('06_Secuencia_Optima'!$G$37,MAX(0,'07_Calendario'!$G$79-'06_Secuencia_Optima'!$L$37-'06_Secuencia_Optima'!$AB$37)*'06_Secuencia_Optima'!$H$37/480),6)))</f>
        <v>0</v>
      </c>
      <c r="CA18" s="51">
        <f>IF('07_Calendario'!$E$80=0,"",INT(ROUND(MIN('06_Secuencia_Optima'!$G$37,MAX(0,'07_Calendario'!$H$80-'06_Secuencia_Optima'!$L$37-'06_Secuencia_Optima'!$AB$37)*'06_Secuencia_Optima'!$H$37/480),6))-INT(ROUND(MIN('06_Secuencia_Optima'!$G$37,MAX(0,'07_Calendario'!$G$80-'06_Secuencia_Optima'!$L$37-'06_Secuencia_Optima'!$AB$37)*'06_Secuencia_Optima'!$H$37/480),6)))</f>
        <v>0</v>
      </c>
      <c r="CB18" s="51">
        <f>IF('07_Calendario'!$E$81=0,"",INT(ROUND(MIN('06_Secuencia_Optima'!$G$37,MAX(0,'07_Calendario'!$H$81-'06_Secuencia_Optima'!$L$37-'06_Secuencia_Optima'!$AB$37)*'06_Secuencia_Optima'!$H$37/480),6))-INT(ROUND(MIN('06_Secuencia_Optima'!$G$37,MAX(0,'07_Calendario'!$G$81-'06_Secuencia_Optima'!$L$37-'06_Secuencia_Optima'!$AB$37)*'06_Secuencia_Optima'!$H$37/480),6)))</f>
        <v>0</v>
      </c>
      <c r="CC18" s="51">
        <f>IF('07_Calendario'!$E$82=0,"",INT(ROUND(MIN('06_Secuencia_Optima'!$G$37,MAX(0,'07_Calendario'!$H$82-'06_Secuencia_Optima'!$L$37-'06_Secuencia_Optima'!$AB$37)*'06_Secuencia_Optima'!$H$37/480),6))-INT(ROUND(MIN('06_Secuencia_Optima'!$G$37,MAX(0,'07_Calendario'!$G$82-'06_Secuencia_Optima'!$L$37-'06_Secuencia_Optima'!$AB$37)*'06_Secuencia_Optima'!$H$37/480),6)))</f>
        <v>0</v>
      </c>
      <c r="CD18" s="18">
        <f t="shared" si="0"/>
        <v>1284</v>
      </c>
      <c r="CE18" s="19">
        <f>'06_Secuencia_Optima'!$G$37</f>
        <v>1284</v>
      </c>
      <c r="CF18" s="10" t="str">
        <f t="shared" si="1"/>
        <v>OK</v>
      </c>
    </row>
    <row r="19" spans="1:84" x14ac:dyDescent="0.2">
      <c r="A19" s="10">
        <f>'06_Secuencia_Optima'!$B$38</f>
        <v>16816</v>
      </c>
      <c r="B19" s="13" t="str">
        <f>'06_Secuencia_Optima'!$C$38</f>
        <v>SALSA DE MAYONESA ZEV (24DP/1/400G)</v>
      </c>
      <c r="C19" s="14">
        <f>'06_Secuencia_Optima'!$D$38</f>
        <v>3278</v>
      </c>
      <c r="D19" s="51">
        <f>IF('07_Calendario'!$E$5=0,"",INT(ROUND(MIN('06_Secuencia_Optima'!$G$38,MAX(0,'07_Calendario'!$H$5-'06_Secuencia_Optima'!$L$38-'06_Secuencia_Optima'!$AB$38)*'06_Secuencia_Optima'!$H$38/480),6))-INT(ROUND(MIN('06_Secuencia_Optima'!$G$38,MAX(0,'07_Calendario'!$G$5-'06_Secuencia_Optima'!$L$38-'06_Secuencia_Optima'!$AB$38)*'06_Secuencia_Optima'!$H$38/480),6)))</f>
        <v>1200</v>
      </c>
      <c r="E19" s="51">
        <f>IF('07_Calendario'!$E$6=0,"",INT(ROUND(MIN('06_Secuencia_Optima'!$G$38,MAX(0,'07_Calendario'!$H$6-'06_Secuencia_Optima'!$L$38-'06_Secuencia_Optima'!$AB$38)*'06_Secuencia_Optima'!$H$38/480),6))-INT(ROUND(MIN('06_Secuencia_Optima'!$G$38,MAX(0,'07_Calendario'!$G$6-'06_Secuencia_Optima'!$L$38-'06_Secuencia_Optima'!$AB$38)*'06_Secuencia_Optima'!$H$38/480),6)))</f>
        <v>1200</v>
      </c>
      <c r="F19" s="51">
        <f>IF('07_Calendario'!$E$7=0,"",INT(ROUND(MIN('06_Secuencia_Optima'!$G$38,MAX(0,'07_Calendario'!$H$7-'06_Secuencia_Optima'!$L$38-'06_Secuencia_Optima'!$AB$38)*'06_Secuencia_Optima'!$H$38/480),6))-INT(ROUND(MIN('06_Secuencia_Optima'!$G$38,MAX(0,'07_Calendario'!$G$7-'06_Secuencia_Optima'!$L$38-'06_Secuencia_Optima'!$AB$38)*'06_Secuencia_Optima'!$H$38/480),6)))</f>
        <v>1200</v>
      </c>
      <c r="G19" s="51">
        <f>IF('07_Calendario'!$E$8=0,"",INT(ROUND(MIN('06_Secuencia_Optima'!$G$38,MAX(0,'07_Calendario'!$H$8-'06_Secuencia_Optima'!$L$38-'06_Secuencia_Optima'!$AB$38)*'06_Secuencia_Optima'!$H$38/480),6))-INT(ROUND(MIN('06_Secuencia_Optima'!$G$38,MAX(0,'07_Calendario'!$G$8-'06_Secuencia_Optima'!$L$38-'06_Secuencia_Optima'!$AB$38)*'06_Secuencia_Optima'!$H$38/480),6)))</f>
        <v>1200</v>
      </c>
      <c r="H19" s="51">
        <f>IF('07_Calendario'!$E$9=0,"",INT(ROUND(MIN('06_Secuencia_Optima'!$G$38,MAX(0,'07_Calendario'!$H$9-'06_Secuencia_Optima'!$L$38-'06_Secuencia_Optima'!$AB$38)*'06_Secuencia_Optima'!$H$38/480),6))-INT(ROUND(MIN('06_Secuencia_Optima'!$G$38,MAX(0,'07_Calendario'!$G$9-'06_Secuencia_Optima'!$L$38-'06_Secuencia_Optima'!$AB$38)*'06_Secuencia_Optima'!$H$38/480),6)))</f>
        <v>1200</v>
      </c>
      <c r="I19" s="51">
        <f>IF('07_Calendario'!$E$10=0,"",INT(ROUND(MIN('06_Secuencia_Optima'!$G$38,MAX(0,'07_Calendario'!$H$10-'06_Secuencia_Optima'!$L$38-'06_Secuencia_Optima'!$AB$38)*'06_Secuencia_Optima'!$H$38/480),6))-INT(ROUND(MIN('06_Secuencia_Optima'!$G$38,MAX(0,'07_Calendario'!$G$10-'06_Secuencia_Optima'!$L$38-'06_Secuencia_Optima'!$AB$38)*'06_Secuencia_Optima'!$H$38/480),6)))</f>
        <v>1200</v>
      </c>
      <c r="J19" s="51">
        <f>IF('07_Calendario'!$E$11=0,"",INT(ROUND(MIN('06_Secuencia_Optima'!$G$38,MAX(0,'07_Calendario'!$H$11-'06_Secuencia_Optima'!$L$38-'06_Secuencia_Optima'!$AB$38)*'06_Secuencia_Optima'!$H$38/480),6))-INT(ROUND(MIN('06_Secuencia_Optima'!$G$38,MAX(0,'07_Calendario'!$G$11-'06_Secuencia_Optima'!$L$38-'06_Secuencia_Optima'!$AB$38)*'06_Secuencia_Optima'!$H$38/480),6)))</f>
        <v>1200</v>
      </c>
      <c r="K19" s="51">
        <f>IF('07_Calendario'!$E$12=0,"",INT(ROUND(MIN('06_Secuencia_Optima'!$G$38,MAX(0,'07_Calendario'!$H$12-'06_Secuencia_Optima'!$L$38-'06_Secuencia_Optima'!$AB$38)*'06_Secuencia_Optima'!$H$38/480),6))-INT(ROUND(MIN('06_Secuencia_Optima'!$G$38,MAX(0,'07_Calendario'!$G$12-'06_Secuencia_Optima'!$L$38-'06_Secuencia_Optima'!$AB$38)*'06_Secuencia_Optima'!$H$38/480),6)))</f>
        <v>1200</v>
      </c>
      <c r="L19" s="51">
        <f>IF('07_Calendario'!$E$13=0,"",INT(ROUND(MIN('06_Secuencia_Optima'!$G$38,MAX(0,'07_Calendario'!$H$13-'06_Secuencia_Optima'!$L$38-'06_Secuencia_Optima'!$AB$38)*'06_Secuencia_Optima'!$H$38/480),6))-INT(ROUND(MIN('06_Secuencia_Optima'!$G$38,MAX(0,'07_Calendario'!$G$13-'06_Secuencia_Optima'!$L$38-'06_Secuencia_Optima'!$AB$38)*'06_Secuencia_Optima'!$H$38/480),6)))</f>
        <v>1200</v>
      </c>
      <c r="M19" s="51">
        <f>IF('07_Calendario'!$E$14=0,"",INT(ROUND(MIN('06_Secuencia_Optima'!$G$38,MAX(0,'07_Calendario'!$H$14-'06_Secuencia_Optima'!$L$38-'06_Secuencia_Optima'!$AB$38)*'06_Secuencia_Optima'!$H$38/480),6))-INT(ROUND(MIN('06_Secuencia_Optima'!$G$38,MAX(0,'07_Calendario'!$G$14-'06_Secuencia_Optima'!$L$38-'06_Secuencia_Optima'!$AB$38)*'06_Secuencia_Optima'!$H$38/480),6)))</f>
        <v>1200</v>
      </c>
      <c r="N19" s="51">
        <f>IF('07_Calendario'!$E$15=0,"",INT(ROUND(MIN('06_Secuencia_Optima'!$G$38,MAX(0,'07_Calendario'!$H$15-'06_Secuencia_Optima'!$L$38-'06_Secuencia_Optima'!$AB$38)*'06_Secuencia_Optima'!$H$38/480),6))-INT(ROUND(MIN('06_Secuencia_Optima'!$G$38,MAX(0,'07_Calendario'!$G$15-'06_Secuencia_Optima'!$L$38-'06_Secuencia_Optima'!$AB$38)*'06_Secuencia_Optima'!$H$38/480),6)))</f>
        <v>1200</v>
      </c>
      <c r="O19" s="51">
        <f>IF('07_Calendario'!$E$16=0,"",INT(ROUND(MIN('06_Secuencia_Optima'!$G$38,MAX(0,'07_Calendario'!$H$16-'06_Secuencia_Optima'!$L$38-'06_Secuencia_Optima'!$AB$38)*'06_Secuencia_Optima'!$H$38/480),6))-INT(ROUND(MIN('06_Secuencia_Optima'!$G$38,MAX(0,'07_Calendario'!$G$16-'06_Secuencia_Optima'!$L$38-'06_Secuencia_Optima'!$AB$38)*'06_Secuencia_Optima'!$H$38/480),6)))</f>
        <v>1200</v>
      </c>
      <c r="P19" s="51">
        <f>IF('07_Calendario'!$E$17=0,"",INT(ROUND(MIN('06_Secuencia_Optima'!$G$38,MAX(0,'07_Calendario'!$H$17-'06_Secuencia_Optima'!$L$38-'06_Secuencia_Optima'!$AB$38)*'06_Secuencia_Optima'!$H$38/480),6))-INT(ROUND(MIN('06_Secuencia_Optima'!$G$38,MAX(0,'07_Calendario'!$G$17-'06_Secuencia_Optima'!$L$38-'06_Secuencia_Optima'!$AB$38)*'06_Secuencia_Optima'!$H$38/480),6)))</f>
        <v>1200</v>
      </c>
      <c r="Q19" s="51">
        <f>IF('07_Calendario'!$E$18=0,"",INT(ROUND(MIN('06_Secuencia_Optima'!$G$38,MAX(0,'07_Calendario'!$H$18-'06_Secuencia_Optima'!$L$38-'06_Secuencia_Optima'!$AB$38)*'06_Secuencia_Optima'!$H$38/480),6))-INT(ROUND(MIN('06_Secuencia_Optima'!$G$38,MAX(0,'07_Calendario'!$G$18-'06_Secuencia_Optima'!$L$38-'06_Secuencia_Optima'!$AB$38)*'06_Secuencia_Optima'!$H$38/480),6)))</f>
        <v>1200</v>
      </c>
      <c r="R19" s="51" t="str">
        <f>IF('07_Calendario'!$E$19=0,"",INT(ROUND(MIN('06_Secuencia_Optima'!$G$38,MAX(0,'07_Calendario'!$H$19-'06_Secuencia_Optima'!$L$38-'06_Secuencia_Optima'!$AB$38)*'06_Secuencia_Optima'!$H$38/480),6))-INT(ROUND(MIN('06_Secuencia_Optima'!$G$38,MAX(0,'07_Calendario'!$G$19-'06_Secuencia_Optima'!$L$38-'06_Secuencia_Optima'!$AB$38)*'06_Secuencia_Optima'!$H$38/480),6)))</f>
        <v/>
      </c>
      <c r="S19" s="51">
        <f>IF('07_Calendario'!$E$20=0,"",INT(ROUND(MIN('06_Secuencia_Optima'!$G$38,MAX(0,'07_Calendario'!$H$20-'06_Secuencia_Optima'!$L$38-'06_Secuencia_Optima'!$AB$38)*'06_Secuencia_Optima'!$H$38/480),6))-INT(ROUND(MIN('06_Secuencia_Optima'!$G$38,MAX(0,'07_Calendario'!$G$20-'06_Secuencia_Optima'!$L$38-'06_Secuencia_Optima'!$AB$38)*'06_Secuencia_Optima'!$H$38/480),6)))</f>
        <v>1200</v>
      </c>
      <c r="T19" s="51">
        <f>IF('07_Calendario'!$E$21=0,"",INT(ROUND(MIN('06_Secuencia_Optima'!$G$38,MAX(0,'07_Calendario'!$H$21-'06_Secuencia_Optima'!$L$38-'06_Secuencia_Optima'!$AB$38)*'06_Secuencia_Optima'!$H$38/480),6))-INT(ROUND(MIN('06_Secuencia_Optima'!$G$38,MAX(0,'07_Calendario'!$G$21-'06_Secuencia_Optima'!$L$38-'06_Secuencia_Optima'!$AB$38)*'06_Secuencia_Optima'!$H$38/480),6)))</f>
        <v>1200</v>
      </c>
      <c r="U19" s="51">
        <f>IF('07_Calendario'!$E$22=0,"",INT(ROUND(MIN('06_Secuencia_Optima'!$G$38,MAX(0,'07_Calendario'!$H$22-'06_Secuencia_Optima'!$L$38-'06_Secuencia_Optima'!$AB$38)*'06_Secuencia_Optima'!$H$38/480),6))-INT(ROUND(MIN('06_Secuencia_Optima'!$G$38,MAX(0,'07_Calendario'!$G$22-'06_Secuencia_Optima'!$L$38-'06_Secuencia_Optima'!$AB$38)*'06_Secuencia_Optima'!$H$38/480),6)))</f>
        <v>0</v>
      </c>
      <c r="V19" s="51">
        <f>IF('07_Calendario'!$E$23=0,"",INT(ROUND(MIN('06_Secuencia_Optima'!$G$38,MAX(0,'07_Calendario'!$H$23-'06_Secuencia_Optima'!$L$38-'06_Secuencia_Optima'!$AB$38)*'06_Secuencia_Optima'!$H$38/480),6))-INT(ROUND(MIN('06_Secuencia_Optima'!$G$38,MAX(0,'07_Calendario'!$G$23-'06_Secuencia_Optima'!$L$38-'06_Secuencia_Optima'!$AB$38)*'06_Secuencia_Optima'!$H$38/480),6)))</f>
        <v>0</v>
      </c>
      <c r="W19" s="51">
        <f>IF('07_Calendario'!$E$24=0,"",INT(ROUND(MIN('06_Secuencia_Optima'!$G$38,MAX(0,'07_Calendario'!$H$24-'06_Secuencia_Optima'!$L$38-'06_Secuencia_Optima'!$AB$38)*'06_Secuencia_Optima'!$H$38/480),6))-INT(ROUND(MIN('06_Secuencia_Optima'!$G$38,MAX(0,'07_Calendario'!$G$24-'06_Secuencia_Optima'!$L$38-'06_Secuencia_Optima'!$AB$38)*'06_Secuencia_Optima'!$H$38/480),6)))</f>
        <v>0</v>
      </c>
      <c r="X19" s="51">
        <f>IF('07_Calendario'!$E$25=0,"",INT(ROUND(MIN('06_Secuencia_Optima'!$G$38,MAX(0,'07_Calendario'!$H$25-'06_Secuencia_Optima'!$L$38-'06_Secuencia_Optima'!$AB$38)*'06_Secuencia_Optima'!$H$38/480),6))-INT(ROUND(MIN('06_Secuencia_Optima'!$G$38,MAX(0,'07_Calendario'!$G$25-'06_Secuencia_Optima'!$L$38-'06_Secuencia_Optima'!$AB$38)*'06_Secuencia_Optima'!$H$38/480),6)))</f>
        <v>0</v>
      </c>
      <c r="Y19" s="51">
        <f>IF('07_Calendario'!$E$26=0,"",INT(ROUND(MIN('06_Secuencia_Optima'!$G$38,MAX(0,'07_Calendario'!$H$26-'06_Secuencia_Optima'!$L$38-'06_Secuencia_Optima'!$AB$38)*'06_Secuencia_Optima'!$H$38/480),6))-INT(ROUND(MIN('06_Secuencia_Optima'!$G$38,MAX(0,'07_Calendario'!$G$26-'06_Secuencia_Optima'!$L$38-'06_Secuencia_Optima'!$AB$38)*'06_Secuencia_Optima'!$H$38/480),6)))</f>
        <v>0</v>
      </c>
      <c r="Z19" s="51">
        <f>IF('07_Calendario'!$E$27=0,"",INT(ROUND(MIN('06_Secuencia_Optima'!$G$38,MAX(0,'07_Calendario'!$H$27-'06_Secuencia_Optima'!$L$38-'06_Secuencia_Optima'!$AB$38)*'06_Secuencia_Optima'!$H$38/480),6))-INT(ROUND(MIN('06_Secuencia_Optima'!$G$38,MAX(0,'07_Calendario'!$G$27-'06_Secuencia_Optima'!$L$38-'06_Secuencia_Optima'!$AB$38)*'06_Secuencia_Optima'!$H$38/480),6)))</f>
        <v>0</v>
      </c>
      <c r="AA19" s="51">
        <f>IF('07_Calendario'!$E$28=0,"",INT(ROUND(MIN('06_Secuencia_Optima'!$G$38,MAX(0,'07_Calendario'!$H$28-'06_Secuencia_Optima'!$L$38-'06_Secuencia_Optima'!$AB$38)*'06_Secuencia_Optima'!$H$38/480),6))-INT(ROUND(MIN('06_Secuencia_Optima'!$G$38,MAX(0,'07_Calendario'!$G$28-'06_Secuencia_Optima'!$L$38-'06_Secuencia_Optima'!$AB$38)*'06_Secuencia_Optima'!$H$38/480),6)))</f>
        <v>0</v>
      </c>
      <c r="AB19" s="51">
        <f>IF('07_Calendario'!$E$29=0,"",INT(ROUND(MIN('06_Secuencia_Optima'!$G$38,MAX(0,'07_Calendario'!$H$29-'06_Secuencia_Optima'!$L$38-'06_Secuencia_Optima'!$AB$38)*'06_Secuencia_Optima'!$H$38/480),6))-INT(ROUND(MIN('06_Secuencia_Optima'!$G$38,MAX(0,'07_Calendario'!$G$29-'06_Secuencia_Optima'!$L$38-'06_Secuencia_Optima'!$AB$38)*'06_Secuencia_Optima'!$H$38/480),6)))</f>
        <v>0</v>
      </c>
      <c r="AC19" s="51">
        <f>IF('07_Calendario'!$E$30=0,"",INT(ROUND(MIN('06_Secuencia_Optima'!$G$38,MAX(0,'07_Calendario'!$H$30-'06_Secuencia_Optima'!$L$38-'06_Secuencia_Optima'!$AB$38)*'06_Secuencia_Optima'!$H$38/480),6))-INT(ROUND(MIN('06_Secuencia_Optima'!$G$38,MAX(0,'07_Calendario'!$G$30-'06_Secuencia_Optima'!$L$38-'06_Secuencia_Optima'!$AB$38)*'06_Secuencia_Optima'!$H$38/480),6)))</f>
        <v>0</v>
      </c>
      <c r="AD19" s="51">
        <f>IF('07_Calendario'!$E$31=0,"",INT(ROUND(MIN('06_Secuencia_Optima'!$G$38,MAX(0,'07_Calendario'!$H$31-'06_Secuencia_Optima'!$L$38-'06_Secuencia_Optima'!$AB$38)*'06_Secuencia_Optima'!$H$38/480),6))-INT(ROUND(MIN('06_Secuencia_Optima'!$G$38,MAX(0,'07_Calendario'!$G$31-'06_Secuencia_Optima'!$L$38-'06_Secuencia_Optima'!$AB$38)*'06_Secuencia_Optima'!$H$38/480),6)))</f>
        <v>0</v>
      </c>
      <c r="AE19" s="51">
        <f>IF('07_Calendario'!$E$32=0,"",INT(ROUND(MIN('06_Secuencia_Optima'!$G$38,MAX(0,'07_Calendario'!$H$32-'06_Secuencia_Optima'!$L$38-'06_Secuencia_Optima'!$AB$38)*'06_Secuencia_Optima'!$H$38/480),6))-INT(ROUND(MIN('06_Secuencia_Optima'!$G$38,MAX(0,'07_Calendario'!$G$32-'06_Secuencia_Optima'!$L$38-'06_Secuencia_Optima'!$AB$38)*'06_Secuencia_Optima'!$H$38/480),6)))</f>
        <v>0</v>
      </c>
      <c r="AF19" s="51">
        <f>IF('07_Calendario'!$E$33=0,"",INT(ROUND(MIN('06_Secuencia_Optima'!$G$38,MAX(0,'07_Calendario'!$H$33-'06_Secuencia_Optima'!$L$38-'06_Secuencia_Optima'!$AB$38)*'06_Secuencia_Optima'!$H$38/480),6))-INT(ROUND(MIN('06_Secuencia_Optima'!$G$38,MAX(0,'07_Calendario'!$G$33-'06_Secuencia_Optima'!$L$38-'06_Secuencia_Optima'!$AB$38)*'06_Secuencia_Optima'!$H$38/480),6)))</f>
        <v>0</v>
      </c>
      <c r="AG19" s="51">
        <f>IF('07_Calendario'!$E$34=0,"",INT(ROUND(MIN('06_Secuencia_Optima'!$G$38,MAX(0,'07_Calendario'!$H$34-'06_Secuencia_Optima'!$L$38-'06_Secuencia_Optima'!$AB$38)*'06_Secuencia_Optima'!$H$38/480),6))-INT(ROUND(MIN('06_Secuencia_Optima'!$G$38,MAX(0,'07_Calendario'!$G$34-'06_Secuencia_Optima'!$L$38-'06_Secuencia_Optima'!$AB$38)*'06_Secuencia_Optima'!$H$38/480),6)))</f>
        <v>0</v>
      </c>
      <c r="AH19" s="51">
        <f>IF('07_Calendario'!$E$35=0,"",INT(ROUND(MIN('06_Secuencia_Optima'!$G$38,MAX(0,'07_Calendario'!$H$35-'06_Secuencia_Optima'!$L$38-'06_Secuencia_Optima'!$AB$38)*'06_Secuencia_Optima'!$H$38/480),6))-INT(ROUND(MIN('06_Secuencia_Optima'!$G$38,MAX(0,'07_Calendario'!$G$35-'06_Secuencia_Optima'!$L$38-'06_Secuencia_Optima'!$AB$38)*'06_Secuencia_Optima'!$H$38/480),6)))</f>
        <v>0</v>
      </c>
      <c r="AI19" s="51">
        <f>IF('07_Calendario'!$E$36=0,"",INT(ROUND(MIN('06_Secuencia_Optima'!$G$38,MAX(0,'07_Calendario'!$H$36-'06_Secuencia_Optima'!$L$38-'06_Secuencia_Optima'!$AB$38)*'06_Secuencia_Optima'!$H$38/480),6))-INT(ROUND(MIN('06_Secuencia_Optima'!$G$38,MAX(0,'07_Calendario'!$G$36-'06_Secuencia_Optima'!$L$38-'06_Secuencia_Optima'!$AB$38)*'06_Secuencia_Optima'!$H$38/480),6)))</f>
        <v>0</v>
      </c>
      <c r="AJ19" s="51" t="str">
        <f>IF('07_Calendario'!$E$37=0,"",INT(ROUND(MIN('06_Secuencia_Optima'!$G$38,MAX(0,'07_Calendario'!$H$37-'06_Secuencia_Optima'!$L$38-'06_Secuencia_Optima'!$AB$38)*'06_Secuencia_Optima'!$H$38/480),6))-INT(ROUND(MIN('06_Secuencia_Optima'!$G$38,MAX(0,'07_Calendario'!$G$37-'06_Secuencia_Optima'!$L$38-'06_Secuencia_Optima'!$AB$38)*'06_Secuencia_Optima'!$H$38/480),6)))</f>
        <v/>
      </c>
      <c r="AK19" s="51">
        <f>IF('07_Calendario'!$E$38=0,"",INT(ROUND(MIN('06_Secuencia_Optima'!$G$38,MAX(0,'07_Calendario'!$H$38-'06_Secuencia_Optima'!$L$38-'06_Secuencia_Optima'!$AB$38)*'06_Secuencia_Optima'!$H$38/480),6))-INT(ROUND(MIN('06_Secuencia_Optima'!$G$38,MAX(0,'07_Calendario'!$G$38-'06_Secuencia_Optima'!$L$38-'06_Secuencia_Optima'!$AB$38)*'06_Secuencia_Optima'!$H$38/480),6)))</f>
        <v>0</v>
      </c>
      <c r="AL19" s="51">
        <f>IF('07_Calendario'!$E$39=0,"",INT(ROUND(MIN('06_Secuencia_Optima'!$G$38,MAX(0,'07_Calendario'!$H$39-'06_Secuencia_Optima'!$L$38-'06_Secuencia_Optima'!$AB$38)*'06_Secuencia_Optima'!$H$38/480),6))-INT(ROUND(MIN('06_Secuencia_Optima'!$G$38,MAX(0,'07_Calendario'!$G$39-'06_Secuencia_Optima'!$L$38-'06_Secuencia_Optima'!$AB$38)*'06_Secuencia_Optima'!$H$38/480),6)))</f>
        <v>0</v>
      </c>
      <c r="AM19" s="51">
        <f>IF('07_Calendario'!$E$40=0,"",INT(ROUND(MIN('06_Secuencia_Optima'!$G$38,MAX(0,'07_Calendario'!$H$40-'06_Secuencia_Optima'!$L$38-'06_Secuencia_Optima'!$AB$38)*'06_Secuencia_Optima'!$H$38/480),6))-INT(ROUND(MIN('06_Secuencia_Optima'!$G$38,MAX(0,'07_Calendario'!$G$40-'06_Secuencia_Optima'!$L$38-'06_Secuencia_Optima'!$AB$38)*'06_Secuencia_Optima'!$H$38/480),6)))</f>
        <v>0</v>
      </c>
      <c r="AN19" s="51">
        <f>IF('07_Calendario'!$E$41=0,"",INT(ROUND(MIN('06_Secuencia_Optima'!$G$38,MAX(0,'07_Calendario'!$H$41-'06_Secuencia_Optima'!$L$38-'06_Secuencia_Optima'!$AB$38)*'06_Secuencia_Optima'!$H$38/480),6))-INT(ROUND(MIN('06_Secuencia_Optima'!$G$38,MAX(0,'07_Calendario'!$G$41-'06_Secuencia_Optima'!$L$38-'06_Secuencia_Optima'!$AB$38)*'06_Secuencia_Optima'!$H$38/480),6)))</f>
        <v>0</v>
      </c>
      <c r="AO19" s="51">
        <f>IF('07_Calendario'!$E$42=0,"",INT(ROUND(MIN('06_Secuencia_Optima'!$G$38,MAX(0,'07_Calendario'!$H$42-'06_Secuencia_Optima'!$L$38-'06_Secuencia_Optima'!$AB$38)*'06_Secuencia_Optima'!$H$38/480),6))-INT(ROUND(MIN('06_Secuencia_Optima'!$G$38,MAX(0,'07_Calendario'!$G$42-'06_Secuencia_Optima'!$L$38-'06_Secuencia_Optima'!$AB$38)*'06_Secuencia_Optima'!$H$38/480),6)))</f>
        <v>0</v>
      </c>
      <c r="AP19" s="51">
        <f>IF('07_Calendario'!$E$43=0,"",INT(ROUND(MIN('06_Secuencia_Optima'!$G$38,MAX(0,'07_Calendario'!$H$43-'06_Secuencia_Optima'!$L$38-'06_Secuencia_Optima'!$AB$38)*'06_Secuencia_Optima'!$H$38/480),6))-INT(ROUND(MIN('06_Secuencia_Optima'!$G$38,MAX(0,'07_Calendario'!$G$43-'06_Secuencia_Optima'!$L$38-'06_Secuencia_Optima'!$AB$38)*'06_Secuencia_Optima'!$H$38/480),6)))</f>
        <v>0</v>
      </c>
      <c r="AQ19" s="51">
        <f>IF('07_Calendario'!$E$44=0,"",INT(ROUND(MIN('06_Secuencia_Optima'!$G$38,MAX(0,'07_Calendario'!$H$44-'06_Secuencia_Optima'!$L$38-'06_Secuencia_Optima'!$AB$38)*'06_Secuencia_Optima'!$H$38/480),6))-INT(ROUND(MIN('06_Secuencia_Optima'!$G$38,MAX(0,'07_Calendario'!$G$44-'06_Secuencia_Optima'!$L$38-'06_Secuencia_Optima'!$AB$38)*'06_Secuencia_Optima'!$H$38/480),6)))</f>
        <v>0</v>
      </c>
      <c r="AR19" s="51">
        <f>IF('07_Calendario'!$E$45=0,"",INT(ROUND(MIN('06_Secuencia_Optima'!$G$38,MAX(0,'07_Calendario'!$H$45-'06_Secuencia_Optima'!$L$38-'06_Secuencia_Optima'!$AB$38)*'06_Secuencia_Optima'!$H$38/480),6))-INT(ROUND(MIN('06_Secuencia_Optima'!$G$38,MAX(0,'07_Calendario'!$G$45-'06_Secuencia_Optima'!$L$38-'06_Secuencia_Optima'!$AB$38)*'06_Secuencia_Optima'!$H$38/480),6)))</f>
        <v>0</v>
      </c>
      <c r="AS19" s="51">
        <f>IF('07_Calendario'!$E$46=0,"",INT(ROUND(MIN('06_Secuencia_Optima'!$G$38,MAX(0,'07_Calendario'!$H$46-'06_Secuencia_Optima'!$L$38-'06_Secuencia_Optima'!$AB$38)*'06_Secuencia_Optima'!$H$38/480),6))-INT(ROUND(MIN('06_Secuencia_Optima'!$G$38,MAX(0,'07_Calendario'!$G$46-'06_Secuencia_Optima'!$L$38-'06_Secuencia_Optima'!$AB$38)*'06_Secuencia_Optima'!$H$38/480),6)))</f>
        <v>0</v>
      </c>
      <c r="AT19" s="51">
        <f>IF('07_Calendario'!$E$47=0,"",INT(ROUND(MIN('06_Secuencia_Optima'!$G$38,MAX(0,'07_Calendario'!$H$47-'06_Secuencia_Optima'!$L$38-'06_Secuencia_Optima'!$AB$38)*'06_Secuencia_Optima'!$H$38/480),6))-INT(ROUND(MIN('06_Secuencia_Optima'!$G$38,MAX(0,'07_Calendario'!$G$47-'06_Secuencia_Optima'!$L$38-'06_Secuencia_Optima'!$AB$38)*'06_Secuencia_Optima'!$H$38/480),6)))</f>
        <v>0</v>
      </c>
      <c r="AU19" s="51">
        <f>IF('07_Calendario'!$E$48=0,"",INT(ROUND(MIN('06_Secuencia_Optima'!$G$38,MAX(0,'07_Calendario'!$H$48-'06_Secuencia_Optima'!$L$38-'06_Secuencia_Optima'!$AB$38)*'06_Secuencia_Optima'!$H$38/480),6))-INT(ROUND(MIN('06_Secuencia_Optima'!$G$38,MAX(0,'07_Calendario'!$G$48-'06_Secuencia_Optima'!$L$38-'06_Secuencia_Optima'!$AB$38)*'06_Secuencia_Optima'!$H$38/480),6)))</f>
        <v>0</v>
      </c>
      <c r="AV19" s="51">
        <f>IF('07_Calendario'!$E$49=0,"",INT(ROUND(MIN('06_Secuencia_Optima'!$G$38,MAX(0,'07_Calendario'!$H$49-'06_Secuencia_Optima'!$L$38-'06_Secuencia_Optima'!$AB$38)*'06_Secuencia_Optima'!$H$38/480),6))-INT(ROUND(MIN('06_Secuencia_Optima'!$G$38,MAX(0,'07_Calendario'!$G$49-'06_Secuencia_Optima'!$L$38-'06_Secuencia_Optima'!$AB$38)*'06_Secuencia_Optima'!$H$38/480),6)))</f>
        <v>0</v>
      </c>
      <c r="AW19" s="51">
        <f>IF('07_Calendario'!$E$50=0,"",INT(ROUND(MIN('06_Secuencia_Optima'!$G$38,MAX(0,'07_Calendario'!$H$50-'06_Secuencia_Optima'!$L$38-'06_Secuencia_Optima'!$AB$38)*'06_Secuencia_Optima'!$H$38/480),6))-INT(ROUND(MIN('06_Secuencia_Optima'!$G$38,MAX(0,'07_Calendario'!$G$50-'06_Secuencia_Optima'!$L$38-'06_Secuencia_Optima'!$AB$38)*'06_Secuencia_Optima'!$H$38/480),6)))</f>
        <v>0</v>
      </c>
      <c r="AX19" s="51">
        <f>IF('07_Calendario'!$E$51=0,"",INT(ROUND(MIN('06_Secuencia_Optima'!$G$38,MAX(0,'07_Calendario'!$H$51-'06_Secuencia_Optima'!$L$38-'06_Secuencia_Optima'!$AB$38)*'06_Secuencia_Optima'!$H$38/480),6))-INT(ROUND(MIN('06_Secuencia_Optima'!$G$38,MAX(0,'07_Calendario'!$G$51-'06_Secuencia_Optima'!$L$38-'06_Secuencia_Optima'!$AB$38)*'06_Secuencia_Optima'!$H$38/480),6)))</f>
        <v>0</v>
      </c>
      <c r="AY19" s="51">
        <f>IF('07_Calendario'!$E$52=0,"",INT(ROUND(MIN('06_Secuencia_Optima'!$G$38,MAX(0,'07_Calendario'!$H$52-'06_Secuencia_Optima'!$L$38-'06_Secuencia_Optima'!$AB$38)*'06_Secuencia_Optima'!$H$38/480),6))-INT(ROUND(MIN('06_Secuencia_Optima'!$G$38,MAX(0,'07_Calendario'!$G$52-'06_Secuencia_Optima'!$L$38-'06_Secuencia_Optima'!$AB$38)*'06_Secuencia_Optima'!$H$38/480),6)))</f>
        <v>0</v>
      </c>
      <c r="AZ19" s="51">
        <f>IF('07_Calendario'!$E$53=0,"",INT(ROUND(MIN('06_Secuencia_Optima'!$G$38,MAX(0,'07_Calendario'!$H$53-'06_Secuencia_Optima'!$L$38-'06_Secuencia_Optima'!$AB$38)*'06_Secuencia_Optima'!$H$38/480),6))-INT(ROUND(MIN('06_Secuencia_Optima'!$G$38,MAX(0,'07_Calendario'!$G$53-'06_Secuencia_Optima'!$L$38-'06_Secuencia_Optima'!$AB$38)*'06_Secuencia_Optima'!$H$38/480),6)))</f>
        <v>0</v>
      </c>
      <c r="BA19" s="51">
        <f>IF('07_Calendario'!$E$54=0,"",INT(ROUND(MIN('06_Secuencia_Optima'!$G$38,MAX(0,'07_Calendario'!$H$54-'06_Secuencia_Optima'!$L$38-'06_Secuencia_Optima'!$AB$38)*'06_Secuencia_Optima'!$H$38/480),6))-INT(ROUND(MIN('06_Secuencia_Optima'!$G$38,MAX(0,'07_Calendario'!$G$54-'06_Secuencia_Optima'!$L$38-'06_Secuencia_Optima'!$AB$38)*'06_Secuencia_Optima'!$H$38/480),6)))</f>
        <v>0</v>
      </c>
      <c r="BB19" s="51" t="str">
        <f>IF('07_Calendario'!$E$55=0,"",INT(ROUND(MIN('06_Secuencia_Optima'!$G$38,MAX(0,'07_Calendario'!$H$55-'06_Secuencia_Optima'!$L$38-'06_Secuencia_Optima'!$AB$38)*'06_Secuencia_Optima'!$H$38/480),6))-INT(ROUND(MIN('06_Secuencia_Optima'!$G$38,MAX(0,'07_Calendario'!$G$55-'06_Secuencia_Optima'!$L$38-'06_Secuencia_Optima'!$AB$38)*'06_Secuencia_Optima'!$H$38/480),6)))</f>
        <v/>
      </c>
      <c r="BC19" s="51">
        <f>IF('07_Calendario'!$E$56=0,"",INT(ROUND(MIN('06_Secuencia_Optima'!$G$38,MAX(0,'07_Calendario'!$H$56-'06_Secuencia_Optima'!$L$38-'06_Secuencia_Optima'!$AB$38)*'06_Secuencia_Optima'!$H$38/480),6))-INT(ROUND(MIN('06_Secuencia_Optima'!$G$38,MAX(0,'07_Calendario'!$G$56-'06_Secuencia_Optima'!$L$38-'06_Secuencia_Optima'!$AB$38)*'06_Secuencia_Optima'!$H$38/480),6)))</f>
        <v>0</v>
      </c>
      <c r="BD19" s="51">
        <f>IF('07_Calendario'!$E$57=0,"",INT(ROUND(MIN('06_Secuencia_Optima'!$G$38,MAX(0,'07_Calendario'!$H$57-'06_Secuencia_Optima'!$L$38-'06_Secuencia_Optima'!$AB$38)*'06_Secuencia_Optima'!$H$38/480),6))-INT(ROUND(MIN('06_Secuencia_Optima'!$G$38,MAX(0,'07_Calendario'!$G$57-'06_Secuencia_Optima'!$L$38-'06_Secuencia_Optima'!$AB$38)*'06_Secuencia_Optima'!$H$38/480),6)))</f>
        <v>0</v>
      </c>
      <c r="BE19" s="51">
        <f>IF('07_Calendario'!$E$58=0,"",INT(ROUND(MIN('06_Secuencia_Optima'!$G$38,MAX(0,'07_Calendario'!$H$58-'06_Secuencia_Optima'!$L$38-'06_Secuencia_Optima'!$AB$38)*'06_Secuencia_Optima'!$H$38/480),6))-INT(ROUND(MIN('06_Secuencia_Optima'!$G$38,MAX(0,'07_Calendario'!$G$58-'06_Secuencia_Optima'!$L$38-'06_Secuencia_Optima'!$AB$38)*'06_Secuencia_Optima'!$H$38/480),6)))</f>
        <v>0</v>
      </c>
      <c r="BF19" s="51">
        <f>IF('07_Calendario'!$E$59=0,"",INT(ROUND(MIN('06_Secuencia_Optima'!$G$38,MAX(0,'07_Calendario'!$H$59-'06_Secuencia_Optima'!$L$38-'06_Secuencia_Optima'!$AB$38)*'06_Secuencia_Optima'!$H$38/480),6))-INT(ROUND(MIN('06_Secuencia_Optima'!$G$38,MAX(0,'07_Calendario'!$G$59-'06_Secuencia_Optima'!$L$38-'06_Secuencia_Optima'!$AB$38)*'06_Secuencia_Optima'!$H$38/480),6)))</f>
        <v>0</v>
      </c>
      <c r="BG19" s="51">
        <f>IF('07_Calendario'!$E$60=0,"",INT(ROUND(MIN('06_Secuencia_Optima'!$G$38,MAX(0,'07_Calendario'!$H$60-'06_Secuencia_Optima'!$L$38-'06_Secuencia_Optima'!$AB$38)*'06_Secuencia_Optima'!$H$38/480),6))-INT(ROUND(MIN('06_Secuencia_Optima'!$G$38,MAX(0,'07_Calendario'!$G$60-'06_Secuencia_Optima'!$L$38-'06_Secuencia_Optima'!$AB$38)*'06_Secuencia_Optima'!$H$38/480),6)))</f>
        <v>0</v>
      </c>
      <c r="BH19" s="51">
        <f>IF('07_Calendario'!$E$61=0,"",INT(ROUND(MIN('06_Secuencia_Optima'!$G$38,MAX(0,'07_Calendario'!$H$61-'06_Secuencia_Optima'!$L$38-'06_Secuencia_Optima'!$AB$38)*'06_Secuencia_Optima'!$H$38/480),6))-INT(ROUND(MIN('06_Secuencia_Optima'!$G$38,MAX(0,'07_Calendario'!$G$61-'06_Secuencia_Optima'!$L$38-'06_Secuencia_Optima'!$AB$38)*'06_Secuencia_Optima'!$H$38/480),6)))</f>
        <v>0</v>
      </c>
      <c r="BI19" s="51">
        <f>IF('07_Calendario'!$E$62=0,"",INT(ROUND(MIN('06_Secuencia_Optima'!$G$38,MAX(0,'07_Calendario'!$H$62-'06_Secuencia_Optima'!$L$38-'06_Secuencia_Optima'!$AB$38)*'06_Secuencia_Optima'!$H$38/480),6))-INT(ROUND(MIN('06_Secuencia_Optima'!$G$38,MAX(0,'07_Calendario'!$G$62-'06_Secuencia_Optima'!$L$38-'06_Secuencia_Optima'!$AB$38)*'06_Secuencia_Optima'!$H$38/480),6)))</f>
        <v>0</v>
      </c>
      <c r="BJ19" s="51">
        <f>IF('07_Calendario'!$E$63=0,"",INT(ROUND(MIN('06_Secuencia_Optima'!$G$38,MAX(0,'07_Calendario'!$H$63-'06_Secuencia_Optima'!$L$38-'06_Secuencia_Optima'!$AB$38)*'06_Secuencia_Optima'!$H$38/480),6))-INT(ROUND(MIN('06_Secuencia_Optima'!$G$38,MAX(0,'07_Calendario'!$G$63-'06_Secuencia_Optima'!$L$38-'06_Secuencia_Optima'!$AB$38)*'06_Secuencia_Optima'!$H$38/480),6)))</f>
        <v>0</v>
      </c>
      <c r="BK19" s="51">
        <f>IF('07_Calendario'!$E$64=0,"",INT(ROUND(MIN('06_Secuencia_Optima'!$G$38,MAX(0,'07_Calendario'!$H$64-'06_Secuencia_Optima'!$L$38-'06_Secuencia_Optima'!$AB$38)*'06_Secuencia_Optima'!$H$38/480),6))-INT(ROUND(MIN('06_Secuencia_Optima'!$G$38,MAX(0,'07_Calendario'!$G$64-'06_Secuencia_Optima'!$L$38-'06_Secuencia_Optima'!$AB$38)*'06_Secuencia_Optima'!$H$38/480),6)))</f>
        <v>0</v>
      </c>
      <c r="BL19" s="51">
        <f>IF('07_Calendario'!$E$65=0,"",INT(ROUND(MIN('06_Secuencia_Optima'!$G$38,MAX(0,'07_Calendario'!$H$65-'06_Secuencia_Optima'!$L$38-'06_Secuencia_Optima'!$AB$38)*'06_Secuencia_Optima'!$H$38/480),6))-INT(ROUND(MIN('06_Secuencia_Optima'!$G$38,MAX(0,'07_Calendario'!$G$65-'06_Secuencia_Optima'!$L$38-'06_Secuencia_Optima'!$AB$38)*'06_Secuencia_Optima'!$H$38/480),6)))</f>
        <v>0</v>
      </c>
      <c r="BM19" s="51">
        <f>IF('07_Calendario'!$E$66=0,"",INT(ROUND(MIN('06_Secuencia_Optima'!$G$38,MAX(0,'07_Calendario'!$H$66-'06_Secuencia_Optima'!$L$38-'06_Secuencia_Optima'!$AB$38)*'06_Secuencia_Optima'!$H$38/480),6))-INT(ROUND(MIN('06_Secuencia_Optima'!$G$38,MAX(0,'07_Calendario'!$G$66-'06_Secuencia_Optima'!$L$38-'06_Secuencia_Optima'!$AB$38)*'06_Secuencia_Optima'!$H$38/480),6)))</f>
        <v>0</v>
      </c>
      <c r="BN19" s="51">
        <f>IF('07_Calendario'!$E$67=0,"",INT(ROUND(MIN('06_Secuencia_Optima'!$G$38,MAX(0,'07_Calendario'!$H$67-'06_Secuencia_Optima'!$L$38-'06_Secuencia_Optima'!$AB$38)*'06_Secuencia_Optima'!$H$38/480),6))-INT(ROUND(MIN('06_Secuencia_Optima'!$G$38,MAX(0,'07_Calendario'!$G$67-'06_Secuencia_Optima'!$L$38-'06_Secuencia_Optima'!$AB$38)*'06_Secuencia_Optima'!$H$38/480),6)))</f>
        <v>0</v>
      </c>
      <c r="BO19" s="51">
        <f>IF('07_Calendario'!$E$68=0,"",INT(ROUND(MIN('06_Secuencia_Optima'!$G$38,MAX(0,'07_Calendario'!$H$68-'06_Secuencia_Optima'!$L$38-'06_Secuencia_Optima'!$AB$38)*'06_Secuencia_Optima'!$H$38/480),6))-INT(ROUND(MIN('06_Secuencia_Optima'!$G$38,MAX(0,'07_Calendario'!$G$68-'06_Secuencia_Optima'!$L$38-'06_Secuencia_Optima'!$AB$38)*'06_Secuencia_Optima'!$H$38/480),6)))</f>
        <v>0</v>
      </c>
      <c r="BP19" s="51">
        <f>IF('07_Calendario'!$E$69=0,"",INT(ROUND(MIN('06_Secuencia_Optima'!$G$38,MAX(0,'07_Calendario'!$H$69-'06_Secuencia_Optima'!$L$38-'06_Secuencia_Optima'!$AB$38)*'06_Secuencia_Optima'!$H$38/480),6))-INT(ROUND(MIN('06_Secuencia_Optima'!$G$38,MAX(0,'07_Calendario'!$G$69-'06_Secuencia_Optima'!$L$38-'06_Secuencia_Optima'!$AB$38)*'06_Secuencia_Optima'!$H$38/480),6)))</f>
        <v>0</v>
      </c>
      <c r="BQ19" s="51">
        <f>IF('07_Calendario'!$E$70=0,"",INT(ROUND(MIN('06_Secuencia_Optima'!$G$38,MAX(0,'07_Calendario'!$H$70-'06_Secuencia_Optima'!$L$38-'06_Secuencia_Optima'!$AB$38)*'06_Secuencia_Optima'!$H$38/480),6))-INT(ROUND(MIN('06_Secuencia_Optima'!$G$38,MAX(0,'07_Calendario'!$G$70-'06_Secuencia_Optima'!$L$38-'06_Secuencia_Optima'!$AB$38)*'06_Secuencia_Optima'!$H$38/480),6)))</f>
        <v>0</v>
      </c>
      <c r="BR19" s="51">
        <f>IF('07_Calendario'!$E$71=0,"",INT(ROUND(MIN('06_Secuencia_Optima'!$G$38,MAX(0,'07_Calendario'!$H$71-'06_Secuencia_Optima'!$L$38-'06_Secuencia_Optima'!$AB$38)*'06_Secuencia_Optima'!$H$38/480),6))-INT(ROUND(MIN('06_Secuencia_Optima'!$G$38,MAX(0,'07_Calendario'!$G$71-'06_Secuencia_Optima'!$L$38-'06_Secuencia_Optima'!$AB$38)*'06_Secuencia_Optima'!$H$38/480),6)))</f>
        <v>0</v>
      </c>
      <c r="BS19" s="51">
        <f>IF('07_Calendario'!$E$72=0,"",INT(ROUND(MIN('06_Secuencia_Optima'!$G$38,MAX(0,'07_Calendario'!$H$72-'06_Secuencia_Optima'!$L$38-'06_Secuencia_Optima'!$AB$38)*'06_Secuencia_Optima'!$H$38/480),6))-INT(ROUND(MIN('06_Secuencia_Optima'!$G$38,MAX(0,'07_Calendario'!$G$72-'06_Secuencia_Optima'!$L$38-'06_Secuencia_Optima'!$AB$38)*'06_Secuencia_Optima'!$H$38/480),6)))</f>
        <v>0</v>
      </c>
      <c r="BT19" s="51" t="str">
        <f>IF('07_Calendario'!$E$73=0,"",INT(ROUND(MIN('06_Secuencia_Optima'!$G$38,MAX(0,'07_Calendario'!$H$73-'06_Secuencia_Optima'!$L$38-'06_Secuencia_Optima'!$AB$38)*'06_Secuencia_Optima'!$H$38/480),6))-INT(ROUND(MIN('06_Secuencia_Optima'!$G$38,MAX(0,'07_Calendario'!$G$73-'06_Secuencia_Optima'!$L$38-'06_Secuencia_Optima'!$AB$38)*'06_Secuencia_Optima'!$H$38/480),6)))</f>
        <v/>
      </c>
      <c r="BU19" s="51">
        <f>IF('07_Calendario'!$E$74=0,"",INT(ROUND(MIN('06_Secuencia_Optima'!$G$38,MAX(0,'07_Calendario'!$H$74-'06_Secuencia_Optima'!$L$38-'06_Secuencia_Optima'!$AB$38)*'06_Secuencia_Optima'!$H$38/480),6))-INT(ROUND(MIN('06_Secuencia_Optima'!$G$38,MAX(0,'07_Calendario'!$G$74-'06_Secuencia_Optima'!$L$38-'06_Secuencia_Optima'!$AB$38)*'06_Secuencia_Optima'!$H$38/480),6)))</f>
        <v>0</v>
      </c>
      <c r="BV19" s="51">
        <f>IF('07_Calendario'!$E$75=0,"",INT(ROUND(MIN('06_Secuencia_Optima'!$G$38,MAX(0,'07_Calendario'!$H$75-'06_Secuencia_Optima'!$L$38-'06_Secuencia_Optima'!$AB$38)*'06_Secuencia_Optima'!$H$38/480),6))-INT(ROUND(MIN('06_Secuencia_Optima'!$G$38,MAX(0,'07_Calendario'!$G$75-'06_Secuencia_Optima'!$L$38-'06_Secuencia_Optima'!$AB$38)*'06_Secuencia_Optima'!$H$38/480),6)))</f>
        <v>0</v>
      </c>
      <c r="BW19" s="51">
        <f>IF('07_Calendario'!$E$76=0,"",INT(ROUND(MIN('06_Secuencia_Optima'!$G$38,MAX(0,'07_Calendario'!$H$76-'06_Secuencia_Optima'!$L$38-'06_Secuencia_Optima'!$AB$38)*'06_Secuencia_Optima'!$H$38/480),6))-INT(ROUND(MIN('06_Secuencia_Optima'!$G$38,MAX(0,'07_Calendario'!$G$76-'06_Secuencia_Optima'!$L$38-'06_Secuencia_Optima'!$AB$38)*'06_Secuencia_Optima'!$H$38/480),6)))</f>
        <v>0</v>
      </c>
      <c r="BX19" s="51">
        <f>IF('07_Calendario'!$E$77=0,"",INT(ROUND(MIN('06_Secuencia_Optima'!$G$38,MAX(0,'07_Calendario'!$H$77-'06_Secuencia_Optima'!$L$38-'06_Secuencia_Optima'!$AB$38)*'06_Secuencia_Optima'!$H$38/480),6))-INT(ROUND(MIN('06_Secuencia_Optima'!$G$38,MAX(0,'07_Calendario'!$G$77-'06_Secuencia_Optima'!$L$38-'06_Secuencia_Optima'!$AB$38)*'06_Secuencia_Optima'!$H$38/480),6)))</f>
        <v>0</v>
      </c>
      <c r="BY19" s="51">
        <f>IF('07_Calendario'!$E$78=0,"",INT(ROUND(MIN('06_Secuencia_Optima'!$G$38,MAX(0,'07_Calendario'!$H$78-'06_Secuencia_Optima'!$L$38-'06_Secuencia_Optima'!$AB$38)*'06_Secuencia_Optima'!$H$38/480),6))-INT(ROUND(MIN('06_Secuencia_Optima'!$G$38,MAX(0,'07_Calendario'!$G$78-'06_Secuencia_Optima'!$L$38-'06_Secuencia_Optima'!$AB$38)*'06_Secuencia_Optima'!$H$38/480),6)))</f>
        <v>0</v>
      </c>
      <c r="BZ19" s="51">
        <f>IF('07_Calendario'!$E$79=0,"",INT(ROUND(MIN('06_Secuencia_Optima'!$G$38,MAX(0,'07_Calendario'!$H$79-'06_Secuencia_Optima'!$L$38-'06_Secuencia_Optima'!$AB$38)*'06_Secuencia_Optima'!$H$38/480),6))-INT(ROUND(MIN('06_Secuencia_Optima'!$G$38,MAX(0,'07_Calendario'!$G$79-'06_Secuencia_Optima'!$L$38-'06_Secuencia_Optima'!$AB$38)*'06_Secuencia_Optima'!$H$38/480),6)))</f>
        <v>0</v>
      </c>
      <c r="CA19" s="51">
        <f>IF('07_Calendario'!$E$80=0,"",INT(ROUND(MIN('06_Secuencia_Optima'!$G$38,MAX(0,'07_Calendario'!$H$80-'06_Secuencia_Optima'!$L$38-'06_Secuencia_Optima'!$AB$38)*'06_Secuencia_Optima'!$H$38/480),6))-INT(ROUND(MIN('06_Secuencia_Optima'!$G$38,MAX(0,'07_Calendario'!$G$80-'06_Secuencia_Optima'!$L$38-'06_Secuencia_Optima'!$AB$38)*'06_Secuencia_Optima'!$H$38/480),6)))</f>
        <v>0</v>
      </c>
      <c r="CB19" s="51">
        <f>IF('07_Calendario'!$E$81=0,"",INT(ROUND(MIN('06_Secuencia_Optima'!$G$38,MAX(0,'07_Calendario'!$H$81-'06_Secuencia_Optima'!$L$38-'06_Secuencia_Optima'!$AB$38)*'06_Secuencia_Optima'!$H$38/480),6))-INT(ROUND(MIN('06_Secuencia_Optima'!$G$38,MAX(0,'07_Calendario'!$G$81-'06_Secuencia_Optima'!$L$38-'06_Secuencia_Optima'!$AB$38)*'06_Secuencia_Optima'!$H$38/480),6)))</f>
        <v>0</v>
      </c>
      <c r="CC19" s="51">
        <f>IF('07_Calendario'!$E$82=0,"",INT(ROUND(MIN('06_Secuencia_Optima'!$G$38,MAX(0,'07_Calendario'!$H$82-'06_Secuencia_Optima'!$L$38-'06_Secuencia_Optima'!$AB$38)*'06_Secuencia_Optima'!$H$38/480),6))-INT(ROUND(MIN('06_Secuencia_Optima'!$G$38,MAX(0,'07_Calendario'!$G$82-'06_Secuencia_Optima'!$L$38-'06_Secuencia_Optima'!$AB$38)*'06_Secuencia_Optima'!$H$38/480),6)))</f>
        <v>0</v>
      </c>
      <c r="CD19" s="18">
        <f t="shared" si="0"/>
        <v>19200</v>
      </c>
      <c r="CE19" s="19">
        <f>'06_Secuencia_Optima'!$G$38</f>
        <v>19200</v>
      </c>
      <c r="CF19" s="10" t="str">
        <f t="shared" si="1"/>
        <v>OK</v>
      </c>
    </row>
    <row r="20" spans="1:84" x14ac:dyDescent="0.2">
      <c r="A20" s="10">
        <f>'06_Secuencia_Optima'!$B$39</f>
        <v>17246</v>
      </c>
      <c r="B20" s="13" t="str">
        <f>'06_Secuencia_Optima'!$C$39</f>
        <v>SALSA DE MAYONESA LINE (21DP/1/500G)</v>
      </c>
      <c r="C20" s="14">
        <f>'06_Secuencia_Optima'!$D$39</f>
        <v>3278</v>
      </c>
      <c r="D20" s="51">
        <f>IF('07_Calendario'!$E$5=0,"",INT(ROUND(MIN('06_Secuencia_Optima'!$G$39,MAX(0,'07_Calendario'!$H$5-'06_Secuencia_Optima'!$L$39-'06_Secuencia_Optima'!$AB$39)*'06_Secuencia_Optima'!$H$39/480),6))-INT(ROUND(MIN('06_Secuencia_Optima'!$G$39,MAX(0,'07_Calendario'!$G$5-'06_Secuencia_Optima'!$L$39-'06_Secuencia_Optima'!$AB$39)*'06_Secuencia_Optima'!$H$39/480),6)))</f>
        <v>1144</v>
      </c>
      <c r="E20" s="51">
        <f>IF('07_Calendario'!$E$6=0,"",INT(ROUND(MIN('06_Secuencia_Optima'!$G$39,MAX(0,'07_Calendario'!$H$6-'06_Secuencia_Optima'!$L$39-'06_Secuencia_Optima'!$AB$39)*'06_Secuencia_Optima'!$H$39/480),6))-INT(ROUND(MIN('06_Secuencia_Optima'!$G$39,MAX(0,'07_Calendario'!$G$6-'06_Secuencia_Optima'!$L$39-'06_Secuencia_Optima'!$AB$39)*'06_Secuencia_Optima'!$H$39/480),6)))</f>
        <v>1144</v>
      </c>
      <c r="F20" s="51">
        <f>IF('07_Calendario'!$E$7=0,"",INT(ROUND(MIN('06_Secuencia_Optima'!$G$39,MAX(0,'07_Calendario'!$H$7-'06_Secuencia_Optima'!$L$39-'06_Secuencia_Optima'!$AB$39)*'06_Secuencia_Optima'!$H$39/480),6))-INT(ROUND(MIN('06_Secuencia_Optima'!$G$39,MAX(0,'07_Calendario'!$G$7-'06_Secuencia_Optima'!$L$39-'06_Secuencia_Optima'!$AB$39)*'06_Secuencia_Optima'!$H$39/480),6)))</f>
        <v>1144</v>
      </c>
      <c r="G20" s="51">
        <f>IF('07_Calendario'!$E$8=0,"",INT(ROUND(MIN('06_Secuencia_Optima'!$G$39,MAX(0,'07_Calendario'!$H$8-'06_Secuencia_Optima'!$L$39-'06_Secuencia_Optima'!$AB$39)*'06_Secuencia_Optima'!$H$39/480),6))-INT(ROUND(MIN('06_Secuencia_Optima'!$G$39,MAX(0,'07_Calendario'!$G$8-'06_Secuencia_Optima'!$L$39-'06_Secuencia_Optima'!$AB$39)*'06_Secuencia_Optima'!$H$39/480),6)))</f>
        <v>1144</v>
      </c>
      <c r="H20" s="51">
        <f>IF('07_Calendario'!$E$9=0,"",INT(ROUND(MIN('06_Secuencia_Optima'!$G$39,MAX(0,'07_Calendario'!$H$9-'06_Secuencia_Optima'!$L$39-'06_Secuencia_Optima'!$AB$39)*'06_Secuencia_Optima'!$H$39/480),6))-INT(ROUND(MIN('06_Secuencia_Optima'!$G$39,MAX(0,'07_Calendario'!$G$9-'06_Secuencia_Optima'!$L$39-'06_Secuencia_Optima'!$AB$39)*'06_Secuencia_Optima'!$H$39/480),6)))</f>
        <v>1144</v>
      </c>
      <c r="I20" s="51">
        <f>IF('07_Calendario'!$E$10=0,"",INT(ROUND(MIN('06_Secuencia_Optima'!$G$39,MAX(0,'07_Calendario'!$H$10-'06_Secuencia_Optima'!$L$39-'06_Secuencia_Optima'!$AB$39)*'06_Secuencia_Optima'!$H$39/480),6))-INT(ROUND(MIN('06_Secuencia_Optima'!$G$39,MAX(0,'07_Calendario'!$G$10-'06_Secuencia_Optima'!$L$39-'06_Secuencia_Optima'!$AB$39)*'06_Secuencia_Optima'!$H$39/480),6)))</f>
        <v>1144</v>
      </c>
      <c r="J20" s="51">
        <f>IF('07_Calendario'!$E$11=0,"",INT(ROUND(MIN('06_Secuencia_Optima'!$G$39,MAX(0,'07_Calendario'!$H$11-'06_Secuencia_Optima'!$L$39-'06_Secuencia_Optima'!$AB$39)*'06_Secuencia_Optima'!$H$39/480),6))-INT(ROUND(MIN('06_Secuencia_Optima'!$G$39,MAX(0,'07_Calendario'!$G$11-'06_Secuencia_Optima'!$L$39-'06_Secuencia_Optima'!$AB$39)*'06_Secuencia_Optima'!$H$39/480),6)))</f>
        <v>336</v>
      </c>
      <c r="K20" s="51">
        <f>IF('07_Calendario'!$E$12=0,"",INT(ROUND(MIN('06_Secuencia_Optima'!$G$39,MAX(0,'07_Calendario'!$H$12-'06_Secuencia_Optima'!$L$39-'06_Secuencia_Optima'!$AB$39)*'06_Secuencia_Optima'!$H$39/480),6))-INT(ROUND(MIN('06_Secuencia_Optima'!$G$39,MAX(0,'07_Calendario'!$G$12-'06_Secuencia_Optima'!$L$39-'06_Secuencia_Optima'!$AB$39)*'06_Secuencia_Optima'!$H$39/480),6)))</f>
        <v>0</v>
      </c>
      <c r="L20" s="51">
        <f>IF('07_Calendario'!$E$13=0,"",INT(ROUND(MIN('06_Secuencia_Optima'!$G$39,MAX(0,'07_Calendario'!$H$13-'06_Secuencia_Optima'!$L$39-'06_Secuencia_Optima'!$AB$39)*'06_Secuencia_Optima'!$H$39/480),6))-INT(ROUND(MIN('06_Secuencia_Optima'!$G$39,MAX(0,'07_Calendario'!$G$13-'06_Secuencia_Optima'!$L$39-'06_Secuencia_Optima'!$AB$39)*'06_Secuencia_Optima'!$H$39/480),6)))</f>
        <v>0</v>
      </c>
      <c r="M20" s="51">
        <f>IF('07_Calendario'!$E$14=0,"",INT(ROUND(MIN('06_Secuencia_Optima'!$G$39,MAX(0,'07_Calendario'!$H$14-'06_Secuencia_Optima'!$L$39-'06_Secuencia_Optima'!$AB$39)*'06_Secuencia_Optima'!$H$39/480),6))-INT(ROUND(MIN('06_Secuencia_Optima'!$G$39,MAX(0,'07_Calendario'!$G$14-'06_Secuencia_Optima'!$L$39-'06_Secuencia_Optima'!$AB$39)*'06_Secuencia_Optima'!$H$39/480),6)))</f>
        <v>0</v>
      </c>
      <c r="N20" s="51">
        <f>IF('07_Calendario'!$E$15=0,"",INT(ROUND(MIN('06_Secuencia_Optima'!$G$39,MAX(0,'07_Calendario'!$H$15-'06_Secuencia_Optima'!$L$39-'06_Secuencia_Optima'!$AB$39)*'06_Secuencia_Optima'!$H$39/480),6))-INT(ROUND(MIN('06_Secuencia_Optima'!$G$39,MAX(0,'07_Calendario'!$G$15-'06_Secuencia_Optima'!$L$39-'06_Secuencia_Optima'!$AB$39)*'06_Secuencia_Optima'!$H$39/480),6)))</f>
        <v>0</v>
      </c>
      <c r="O20" s="51">
        <f>IF('07_Calendario'!$E$16=0,"",INT(ROUND(MIN('06_Secuencia_Optima'!$G$39,MAX(0,'07_Calendario'!$H$16-'06_Secuencia_Optima'!$L$39-'06_Secuencia_Optima'!$AB$39)*'06_Secuencia_Optima'!$H$39/480),6))-INT(ROUND(MIN('06_Secuencia_Optima'!$G$39,MAX(0,'07_Calendario'!$G$16-'06_Secuencia_Optima'!$L$39-'06_Secuencia_Optima'!$AB$39)*'06_Secuencia_Optima'!$H$39/480),6)))</f>
        <v>0</v>
      </c>
      <c r="P20" s="51">
        <f>IF('07_Calendario'!$E$17=0,"",INT(ROUND(MIN('06_Secuencia_Optima'!$G$39,MAX(0,'07_Calendario'!$H$17-'06_Secuencia_Optima'!$L$39-'06_Secuencia_Optima'!$AB$39)*'06_Secuencia_Optima'!$H$39/480),6))-INT(ROUND(MIN('06_Secuencia_Optima'!$G$39,MAX(0,'07_Calendario'!$G$17-'06_Secuencia_Optima'!$L$39-'06_Secuencia_Optima'!$AB$39)*'06_Secuencia_Optima'!$H$39/480),6)))</f>
        <v>0</v>
      </c>
      <c r="Q20" s="51">
        <f>IF('07_Calendario'!$E$18=0,"",INT(ROUND(MIN('06_Secuencia_Optima'!$G$39,MAX(0,'07_Calendario'!$H$18-'06_Secuencia_Optima'!$L$39-'06_Secuencia_Optima'!$AB$39)*'06_Secuencia_Optima'!$H$39/480),6))-INT(ROUND(MIN('06_Secuencia_Optima'!$G$39,MAX(0,'07_Calendario'!$G$18-'06_Secuencia_Optima'!$L$39-'06_Secuencia_Optima'!$AB$39)*'06_Secuencia_Optima'!$H$39/480),6)))</f>
        <v>0</v>
      </c>
      <c r="R20" s="51" t="str">
        <f>IF('07_Calendario'!$E$19=0,"",INT(ROUND(MIN('06_Secuencia_Optima'!$G$39,MAX(0,'07_Calendario'!$H$19-'06_Secuencia_Optima'!$L$39-'06_Secuencia_Optima'!$AB$39)*'06_Secuencia_Optima'!$H$39/480),6))-INT(ROUND(MIN('06_Secuencia_Optima'!$G$39,MAX(0,'07_Calendario'!$G$19-'06_Secuencia_Optima'!$L$39-'06_Secuencia_Optima'!$AB$39)*'06_Secuencia_Optima'!$H$39/480),6)))</f>
        <v/>
      </c>
      <c r="S20" s="51">
        <f>IF('07_Calendario'!$E$20=0,"",INT(ROUND(MIN('06_Secuencia_Optima'!$G$39,MAX(0,'07_Calendario'!$H$20-'06_Secuencia_Optima'!$L$39-'06_Secuencia_Optima'!$AB$39)*'06_Secuencia_Optima'!$H$39/480),6))-INT(ROUND(MIN('06_Secuencia_Optima'!$G$39,MAX(0,'07_Calendario'!$G$20-'06_Secuencia_Optima'!$L$39-'06_Secuencia_Optima'!$AB$39)*'06_Secuencia_Optima'!$H$39/480),6)))</f>
        <v>0</v>
      </c>
      <c r="T20" s="51">
        <f>IF('07_Calendario'!$E$21=0,"",INT(ROUND(MIN('06_Secuencia_Optima'!$G$39,MAX(0,'07_Calendario'!$H$21-'06_Secuencia_Optima'!$L$39-'06_Secuencia_Optima'!$AB$39)*'06_Secuencia_Optima'!$H$39/480),6))-INT(ROUND(MIN('06_Secuencia_Optima'!$G$39,MAX(0,'07_Calendario'!$G$21-'06_Secuencia_Optima'!$L$39-'06_Secuencia_Optima'!$AB$39)*'06_Secuencia_Optima'!$H$39/480),6)))</f>
        <v>0</v>
      </c>
      <c r="U20" s="51">
        <f>IF('07_Calendario'!$E$22=0,"",INT(ROUND(MIN('06_Secuencia_Optima'!$G$39,MAX(0,'07_Calendario'!$H$22-'06_Secuencia_Optima'!$L$39-'06_Secuencia_Optima'!$AB$39)*'06_Secuencia_Optima'!$H$39/480),6))-INT(ROUND(MIN('06_Secuencia_Optima'!$G$39,MAX(0,'07_Calendario'!$G$22-'06_Secuencia_Optima'!$L$39-'06_Secuencia_Optima'!$AB$39)*'06_Secuencia_Optima'!$H$39/480),6)))</f>
        <v>0</v>
      </c>
      <c r="V20" s="51">
        <f>IF('07_Calendario'!$E$23=0,"",INT(ROUND(MIN('06_Secuencia_Optima'!$G$39,MAX(0,'07_Calendario'!$H$23-'06_Secuencia_Optima'!$L$39-'06_Secuencia_Optima'!$AB$39)*'06_Secuencia_Optima'!$H$39/480),6))-INT(ROUND(MIN('06_Secuencia_Optima'!$G$39,MAX(0,'07_Calendario'!$G$23-'06_Secuencia_Optima'!$L$39-'06_Secuencia_Optima'!$AB$39)*'06_Secuencia_Optima'!$H$39/480),6)))</f>
        <v>0</v>
      </c>
      <c r="W20" s="51">
        <f>IF('07_Calendario'!$E$24=0,"",INT(ROUND(MIN('06_Secuencia_Optima'!$G$39,MAX(0,'07_Calendario'!$H$24-'06_Secuencia_Optima'!$L$39-'06_Secuencia_Optima'!$AB$39)*'06_Secuencia_Optima'!$H$39/480),6))-INT(ROUND(MIN('06_Secuencia_Optima'!$G$39,MAX(0,'07_Calendario'!$G$24-'06_Secuencia_Optima'!$L$39-'06_Secuencia_Optima'!$AB$39)*'06_Secuencia_Optima'!$H$39/480),6)))</f>
        <v>0</v>
      </c>
      <c r="X20" s="51">
        <f>IF('07_Calendario'!$E$25=0,"",INT(ROUND(MIN('06_Secuencia_Optima'!$G$39,MAX(0,'07_Calendario'!$H$25-'06_Secuencia_Optima'!$L$39-'06_Secuencia_Optima'!$AB$39)*'06_Secuencia_Optima'!$H$39/480),6))-INT(ROUND(MIN('06_Secuencia_Optima'!$G$39,MAX(0,'07_Calendario'!$G$25-'06_Secuencia_Optima'!$L$39-'06_Secuencia_Optima'!$AB$39)*'06_Secuencia_Optima'!$H$39/480),6)))</f>
        <v>0</v>
      </c>
      <c r="Y20" s="51">
        <f>IF('07_Calendario'!$E$26=0,"",INT(ROUND(MIN('06_Secuencia_Optima'!$G$39,MAX(0,'07_Calendario'!$H$26-'06_Secuencia_Optima'!$L$39-'06_Secuencia_Optima'!$AB$39)*'06_Secuencia_Optima'!$H$39/480),6))-INT(ROUND(MIN('06_Secuencia_Optima'!$G$39,MAX(0,'07_Calendario'!$G$26-'06_Secuencia_Optima'!$L$39-'06_Secuencia_Optima'!$AB$39)*'06_Secuencia_Optima'!$H$39/480),6)))</f>
        <v>0</v>
      </c>
      <c r="Z20" s="51">
        <f>IF('07_Calendario'!$E$27=0,"",INT(ROUND(MIN('06_Secuencia_Optima'!$G$39,MAX(0,'07_Calendario'!$H$27-'06_Secuencia_Optima'!$L$39-'06_Secuencia_Optima'!$AB$39)*'06_Secuencia_Optima'!$H$39/480),6))-INT(ROUND(MIN('06_Secuencia_Optima'!$G$39,MAX(0,'07_Calendario'!$G$27-'06_Secuencia_Optima'!$L$39-'06_Secuencia_Optima'!$AB$39)*'06_Secuencia_Optima'!$H$39/480),6)))</f>
        <v>0</v>
      </c>
      <c r="AA20" s="51">
        <f>IF('07_Calendario'!$E$28=0,"",INT(ROUND(MIN('06_Secuencia_Optima'!$G$39,MAX(0,'07_Calendario'!$H$28-'06_Secuencia_Optima'!$L$39-'06_Secuencia_Optima'!$AB$39)*'06_Secuencia_Optima'!$H$39/480),6))-INT(ROUND(MIN('06_Secuencia_Optima'!$G$39,MAX(0,'07_Calendario'!$G$28-'06_Secuencia_Optima'!$L$39-'06_Secuencia_Optima'!$AB$39)*'06_Secuencia_Optima'!$H$39/480),6)))</f>
        <v>0</v>
      </c>
      <c r="AB20" s="51">
        <f>IF('07_Calendario'!$E$29=0,"",INT(ROUND(MIN('06_Secuencia_Optima'!$G$39,MAX(0,'07_Calendario'!$H$29-'06_Secuencia_Optima'!$L$39-'06_Secuencia_Optima'!$AB$39)*'06_Secuencia_Optima'!$H$39/480),6))-INT(ROUND(MIN('06_Secuencia_Optima'!$G$39,MAX(0,'07_Calendario'!$G$29-'06_Secuencia_Optima'!$L$39-'06_Secuencia_Optima'!$AB$39)*'06_Secuencia_Optima'!$H$39/480),6)))</f>
        <v>0</v>
      </c>
      <c r="AC20" s="51">
        <f>IF('07_Calendario'!$E$30=0,"",INT(ROUND(MIN('06_Secuencia_Optima'!$G$39,MAX(0,'07_Calendario'!$H$30-'06_Secuencia_Optima'!$L$39-'06_Secuencia_Optima'!$AB$39)*'06_Secuencia_Optima'!$H$39/480),6))-INT(ROUND(MIN('06_Secuencia_Optima'!$G$39,MAX(0,'07_Calendario'!$G$30-'06_Secuencia_Optima'!$L$39-'06_Secuencia_Optima'!$AB$39)*'06_Secuencia_Optima'!$H$39/480),6)))</f>
        <v>0</v>
      </c>
      <c r="AD20" s="51">
        <f>IF('07_Calendario'!$E$31=0,"",INT(ROUND(MIN('06_Secuencia_Optima'!$G$39,MAX(0,'07_Calendario'!$H$31-'06_Secuencia_Optima'!$L$39-'06_Secuencia_Optima'!$AB$39)*'06_Secuencia_Optima'!$H$39/480),6))-INT(ROUND(MIN('06_Secuencia_Optima'!$G$39,MAX(0,'07_Calendario'!$G$31-'06_Secuencia_Optima'!$L$39-'06_Secuencia_Optima'!$AB$39)*'06_Secuencia_Optima'!$H$39/480),6)))</f>
        <v>0</v>
      </c>
      <c r="AE20" s="51">
        <f>IF('07_Calendario'!$E$32=0,"",INT(ROUND(MIN('06_Secuencia_Optima'!$G$39,MAX(0,'07_Calendario'!$H$32-'06_Secuencia_Optima'!$L$39-'06_Secuencia_Optima'!$AB$39)*'06_Secuencia_Optima'!$H$39/480),6))-INT(ROUND(MIN('06_Secuencia_Optima'!$G$39,MAX(0,'07_Calendario'!$G$32-'06_Secuencia_Optima'!$L$39-'06_Secuencia_Optima'!$AB$39)*'06_Secuencia_Optima'!$H$39/480),6)))</f>
        <v>0</v>
      </c>
      <c r="AF20" s="51">
        <f>IF('07_Calendario'!$E$33=0,"",INT(ROUND(MIN('06_Secuencia_Optima'!$G$39,MAX(0,'07_Calendario'!$H$33-'06_Secuencia_Optima'!$L$39-'06_Secuencia_Optima'!$AB$39)*'06_Secuencia_Optima'!$H$39/480),6))-INT(ROUND(MIN('06_Secuencia_Optima'!$G$39,MAX(0,'07_Calendario'!$G$33-'06_Secuencia_Optima'!$L$39-'06_Secuencia_Optima'!$AB$39)*'06_Secuencia_Optima'!$H$39/480),6)))</f>
        <v>0</v>
      </c>
      <c r="AG20" s="51">
        <f>IF('07_Calendario'!$E$34=0,"",INT(ROUND(MIN('06_Secuencia_Optima'!$G$39,MAX(0,'07_Calendario'!$H$34-'06_Secuencia_Optima'!$L$39-'06_Secuencia_Optima'!$AB$39)*'06_Secuencia_Optima'!$H$39/480),6))-INT(ROUND(MIN('06_Secuencia_Optima'!$G$39,MAX(0,'07_Calendario'!$G$34-'06_Secuencia_Optima'!$L$39-'06_Secuencia_Optima'!$AB$39)*'06_Secuencia_Optima'!$H$39/480),6)))</f>
        <v>0</v>
      </c>
      <c r="AH20" s="51">
        <f>IF('07_Calendario'!$E$35=0,"",INT(ROUND(MIN('06_Secuencia_Optima'!$G$39,MAX(0,'07_Calendario'!$H$35-'06_Secuencia_Optima'!$L$39-'06_Secuencia_Optima'!$AB$39)*'06_Secuencia_Optima'!$H$39/480),6))-INT(ROUND(MIN('06_Secuencia_Optima'!$G$39,MAX(0,'07_Calendario'!$G$35-'06_Secuencia_Optima'!$L$39-'06_Secuencia_Optima'!$AB$39)*'06_Secuencia_Optima'!$H$39/480),6)))</f>
        <v>0</v>
      </c>
      <c r="AI20" s="51">
        <f>IF('07_Calendario'!$E$36=0,"",INT(ROUND(MIN('06_Secuencia_Optima'!$G$39,MAX(0,'07_Calendario'!$H$36-'06_Secuencia_Optima'!$L$39-'06_Secuencia_Optima'!$AB$39)*'06_Secuencia_Optima'!$H$39/480),6))-INT(ROUND(MIN('06_Secuencia_Optima'!$G$39,MAX(0,'07_Calendario'!$G$36-'06_Secuencia_Optima'!$L$39-'06_Secuencia_Optima'!$AB$39)*'06_Secuencia_Optima'!$H$39/480),6)))</f>
        <v>0</v>
      </c>
      <c r="AJ20" s="51" t="str">
        <f>IF('07_Calendario'!$E$37=0,"",INT(ROUND(MIN('06_Secuencia_Optima'!$G$39,MAX(0,'07_Calendario'!$H$37-'06_Secuencia_Optima'!$L$39-'06_Secuencia_Optima'!$AB$39)*'06_Secuencia_Optima'!$H$39/480),6))-INT(ROUND(MIN('06_Secuencia_Optima'!$G$39,MAX(0,'07_Calendario'!$G$37-'06_Secuencia_Optima'!$L$39-'06_Secuencia_Optima'!$AB$39)*'06_Secuencia_Optima'!$H$39/480),6)))</f>
        <v/>
      </c>
      <c r="AK20" s="51">
        <f>IF('07_Calendario'!$E$38=0,"",INT(ROUND(MIN('06_Secuencia_Optima'!$G$39,MAX(0,'07_Calendario'!$H$38-'06_Secuencia_Optima'!$L$39-'06_Secuencia_Optima'!$AB$39)*'06_Secuencia_Optima'!$H$39/480),6))-INT(ROUND(MIN('06_Secuencia_Optima'!$G$39,MAX(0,'07_Calendario'!$G$38-'06_Secuencia_Optima'!$L$39-'06_Secuencia_Optima'!$AB$39)*'06_Secuencia_Optima'!$H$39/480),6)))</f>
        <v>0</v>
      </c>
      <c r="AL20" s="51">
        <f>IF('07_Calendario'!$E$39=0,"",INT(ROUND(MIN('06_Secuencia_Optima'!$G$39,MAX(0,'07_Calendario'!$H$39-'06_Secuencia_Optima'!$L$39-'06_Secuencia_Optima'!$AB$39)*'06_Secuencia_Optima'!$H$39/480),6))-INT(ROUND(MIN('06_Secuencia_Optima'!$G$39,MAX(0,'07_Calendario'!$G$39-'06_Secuencia_Optima'!$L$39-'06_Secuencia_Optima'!$AB$39)*'06_Secuencia_Optima'!$H$39/480),6)))</f>
        <v>0</v>
      </c>
      <c r="AM20" s="51">
        <f>IF('07_Calendario'!$E$40=0,"",INT(ROUND(MIN('06_Secuencia_Optima'!$G$39,MAX(0,'07_Calendario'!$H$40-'06_Secuencia_Optima'!$L$39-'06_Secuencia_Optima'!$AB$39)*'06_Secuencia_Optima'!$H$39/480),6))-INT(ROUND(MIN('06_Secuencia_Optima'!$G$39,MAX(0,'07_Calendario'!$G$40-'06_Secuencia_Optima'!$L$39-'06_Secuencia_Optima'!$AB$39)*'06_Secuencia_Optima'!$H$39/480),6)))</f>
        <v>0</v>
      </c>
      <c r="AN20" s="51">
        <f>IF('07_Calendario'!$E$41=0,"",INT(ROUND(MIN('06_Secuencia_Optima'!$G$39,MAX(0,'07_Calendario'!$H$41-'06_Secuencia_Optima'!$L$39-'06_Secuencia_Optima'!$AB$39)*'06_Secuencia_Optima'!$H$39/480),6))-INT(ROUND(MIN('06_Secuencia_Optima'!$G$39,MAX(0,'07_Calendario'!$G$41-'06_Secuencia_Optima'!$L$39-'06_Secuencia_Optima'!$AB$39)*'06_Secuencia_Optima'!$H$39/480),6)))</f>
        <v>0</v>
      </c>
      <c r="AO20" s="51">
        <f>IF('07_Calendario'!$E$42=0,"",INT(ROUND(MIN('06_Secuencia_Optima'!$G$39,MAX(0,'07_Calendario'!$H$42-'06_Secuencia_Optima'!$L$39-'06_Secuencia_Optima'!$AB$39)*'06_Secuencia_Optima'!$H$39/480),6))-INT(ROUND(MIN('06_Secuencia_Optima'!$G$39,MAX(0,'07_Calendario'!$G$42-'06_Secuencia_Optima'!$L$39-'06_Secuencia_Optima'!$AB$39)*'06_Secuencia_Optima'!$H$39/480),6)))</f>
        <v>0</v>
      </c>
      <c r="AP20" s="51">
        <f>IF('07_Calendario'!$E$43=0,"",INT(ROUND(MIN('06_Secuencia_Optima'!$G$39,MAX(0,'07_Calendario'!$H$43-'06_Secuencia_Optima'!$L$39-'06_Secuencia_Optima'!$AB$39)*'06_Secuencia_Optima'!$H$39/480),6))-INT(ROUND(MIN('06_Secuencia_Optima'!$G$39,MAX(0,'07_Calendario'!$G$43-'06_Secuencia_Optima'!$L$39-'06_Secuencia_Optima'!$AB$39)*'06_Secuencia_Optima'!$H$39/480),6)))</f>
        <v>0</v>
      </c>
      <c r="AQ20" s="51">
        <f>IF('07_Calendario'!$E$44=0,"",INT(ROUND(MIN('06_Secuencia_Optima'!$G$39,MAX(0,'07_Calendario'!$H$44-'06_Secuencia_Optima'!$L$39-'06_Secuencia_Optima'!$AB$39)*'06_Secuencia_Optima'!$H$39/480),6))-INT(ROUND(MIN('06_Secuencia_Optima'!$G$39,MAX(0,'07_Calendario'!$G$44-'06_Secuencia_Optima'!$L$39-'06_Secuencia_Optima'!$AB$39)*'06_Secuencia_Optima'!$H$39/480),6)))</f>
        <v>0</v>
      </c>
      <c r="AR20" s="51">
        <f>IF('07_Calendario'!$E$45=0,"",INT(ROUND(MIN('06_Secuencia_Optima'!$G$39,MAX(0,'07_Calendario'!$H$45-'06_Secuencia_Optima'!$L$39-'06_Secuencia_Optima'!$AB$39)*'06_Secuencia_Optima'!$H$39/480),6))-INT(ROUND(MIN('06_Secuencia_Optima'!$G$39,MAX(0,'07_Calendario'!$G$45-'06_Secuencia_Optima'!$L$39-'06_Secuencia_Optima'!$AB$39)*'06_Secuencia_Optima'!$H$39/480),6)))</f>
        <v>0</v>
      </c>
      <c r="AS20" s="51">
        <f>IF('07_Calendario'!$E$46=0,"",INT(ROUND(MIN('06_Secuencia_Optima'!$G$39,MAX(0,'07_Calendario'!$H$46-'06_Secuencia_Optima'!$L$39-'06_Secuencia_Optima'!$AB$39)*'06_Secuencia_Optima'!$H$39/480),6))-INT(ROUND(MIN('06_Secuencia_Optima'!$G$39,MAX(0,'07_Calendario'!$G$46-'06_Secuencia_Optima'!$L$39-'06_Secuencia_Optima'!$AB$39)*'06_Secuencia_Optima'!$H$39/480),6)))</f>
        <v>0</v>
      </c>
      <c r="AT20" s="51">
        <f>IF('07_Calendario'!$E$47=0,"",INT(ROUND(MIN('06_Secuencia_Optima'!$G$39,MAX(0,'07_Calendario'!$H$47-'06_Secuencia_Optima'!$L$39-'06_Secuencia_Optima'!$AB$39)*'06_Secuencia_Optima'!$H$39/480),6))-INT(ROUND(MIN('06_Secuencia_Optima'!$G$39,MAX(0,'07_Calendario'!$G$47-'06_Secuencia_Optima'!$L$39-'06_Secuencia_Optima'!$AB$39)*'06_Secuencia_Optima'!$H$39/480),6)))</f>
        <v>0</v>
      </c>
      <c r="AU20" s="51">
        <f>IF('07_Calendario'!$E$48=0,"",INT(ROUND(MIN('06_Secuencia_Optima'!$G$39,MAX(0,'07_Calendario'!$H$48-'06_Secuencia_Optima'!$L$39-'06_Secuencia_Optima'!$AB$39)*'06_Secuencia_Optima'!$H$39/480),6))-INT(ROUND(MIN('06_Secuencia_Optima'!$G$39,MAX(0,'07_Calendario'!$G$48-'06_Secuencia_Optima'!$L$39-'06_Secuencia_Optima'!$AB$39)*'06_Secuencia_Optima'!$H$39/480),6)))</f>
        <v>0</v>
      </c>
      <c r="AV20" s="51">
        <f>IF('07_Calendario'!$E$49=0,"",INT(ROUND(MIN('06_Secuencia_Optima'!$G$39,MAX(0,'07_Calendario'!$H$49-'06_Secuencia_Optima'!$L$39-'06_Secuencia_Optima'!$AB$39)*'06_Secuencia_Optima'!$H$39/480),6))-INT(ROUND(MIN('06_Secuencia_Optima'!$G$39,MAX(0,'07_Calendario'!$G$49-'06_Secuencia_Optima'!$L$39-'06_Secuencia_Optima'!$AB$39)*'06_Secuencia_Optima'!$H$39/480),6)))</f>
        <v>0</v>
      </c>
      <c r="AW20" s="51">
        <f>IF('07_Calendario'!$E$50=0,"",INT(ROUND(MIN('06_Secuencia_Optima'!$G$39,MAX(0,'07_Calendario'!$H$50-'06_Secuencia_Optima'!$L$39-'06_Secuencia_Optima'!$AB$39)*'06_Secuencia_Optima'!$H$39/480),6))-INT(ROUND(MIN('06_Secuencia_Optima'!$G$39,MAX(0,'07_Calendario'!$G$50-'06_Secuencia_Optima'!$L$39-'06_Secuencia_Optima'!$AB$39)*'06_Secuencia_Optima'!$H$39/480),6)))</f>
        <v>0</v>
      </c>
      <c r="AX20" s="51">
        <f>IF('07_Calendario'!$E$51=0,"",INT(ROUND(MIN('06_Secuencia_Optima'!$G$39,MAX(0,'07_Calendario'!$H$51-'06_Secuencia_Optima'!$L$39-'06_Secuencia_Optima'!$AB$39)*'06_Secuencia_Optima'!$H$39/480),6))-INT(ROUND(MIN('06_Secuencia_Optima'!$G$39,MAX(0,'07_Calendario'!$G$51-'06_Secuencia_Optima'!$L$39-'06_Secuencia_Optima'!$AB$39)*'06_Secuencia_Optima'!$H$39/480),6)))</f>
        <v>0</v>
      </c>
      <c r="AY20" s="51">
        <f>IF('07_Calendario'!$E$52=0,"",INT(ROUND(MIN('06_Secuencia_Optima'!$G$39,MAX(0,'07_Calendario'!$H$52-'06_Secuencia_Optima'!$L$39-'06_Secuencia_Optima'!$AB$39)*'06_Secuencia_Optima'!$H$39/480),6))-INT(ROUND(MIN('06_Secuencia_Optima'!$G$39,MAX(0,'07_Calendario'!$G$52-'06_Secuencia_Optima'!$L$39-'06_Secuencia_Optima'!$AB$39)*'06_Secuencia_Optima'!$H$39/480),6)))</f>
        <v>0</v>
      </c>
      <c r="AZ20" s="51">
        <f>IF('07_Calendario'!$E$53=0,"",INT(ROUND(MIN('06_Secuencia_Optima'!$G$39,MAX(0,'07_Calendario'!$H$53-'06_Secuencia_Optima'!$L$39-'06_Secuencia_Optima'!$AB$39)*'06_Secuencia_Optima'!$H$39/480),6))-INT(ROUND(MIN('06_Secuencia_Optima'!$G$39,MAX(0,'07_Calendario'!$G$53-'06_Secuencia_Optima'!$L$39-'06_Secuencia_Optima'!$AB$39)*'06_Secuencia_Optima'!$H$39/480),6)))</f>
        <v>0</v>
      </c>
      <c r="BA20" s="51">
        <f>IF('07_Calendario'!$E$54=0,"",INT(ROUND(MIN('06_Secuencia_Optima'!$G$39,MAX(0,'07_Calendario'!$H$54-'06_Secuencia_Optima'!$L$39-'06_Secuencia_Optima'!$AB$39)*'06_Secuencia_Optima'!$H$39/480),6))-INT(ROUND(MIN('06_Secuencia_Optima'!$G$39,MAX(0,'07_Calendario'!$G$54-'06_Secuencia_Optima'!$L$39-'06_Secuencia_Optima'!$AB$39)*'06_Secuencia_Optima'!$H$39/480),6)))</f>
        <v>0</v>
      </c>
      <c r="BB20" s="51" t="str">
        <f>IF('07_Calendario'!$E$55=0,"",INT(ROUND(MIN('06_Secuencia_Optima'!$G$39,MAX(0,'07_Calendario'!$H$55-'06_Secuencia_Optima'!$L$39-'06_Secuencia_Optima'!$AB$39)*'06_Secuencia_Optima'!$H$39/480),6))-INT(ROUND(MIN('06_Secuencia_Optima'!$G$39,MAX(0,'07_Calendario'!$G$55-'06_Secuencia_Optima'!$L$39-'06_Secuencia_Optima'!$AB$39)*'06_Secuencia_Optima'!$H$39/480),6)))</f>
        <v/>
      </c>
      <c r="BC20" s="51">
        <f>IF('07_Calendario'!$E$56=0,"",INT(ROUND(MIN('06_Secuencia_Optima'!$G$39,MAX(0,'07_Calendario'!$H$56-'06_Secuencia_Optima'!$L$39-'06_Secuencia_Optima'!$AB$39)*'06_Secuencia_Optima'!$H$39/480),6))-INT(ROUND(MIN('06_Secuencia_Optima'!$G$39,MAX(0,'07_Calendario'!$G$56-'06_Secuencia_Optima'!$L$39-'06_Secuencia_Optima'!$AB$39)*'06_Secuencia_Optima'!$H$39/480),6)))</f>
        <v>0</v>
      </c>
      <c r="BD20" s="51">
        <f>IF('07_Calendario'!$E$57=0,"",INT(ROUND(MIN('06_Secuencia_Optima'!$G$39,MAX(0,'07_Calendario'!$H$57-'06_Secuencia_Optima'!$L$39-'06_Secuencia_Optima'!$AB$39)*'06_Secuencia_Optima'!$H$39/480),6))-INT(ROUND(MIN('06_Secuencia_Optima'!$G$39,MAX(0,'07_Calendario'!$G$57-'06_Secuencia_Optima'!$L$39-'06_Secuencia_Optima'!$AB$39)*'06_Secuencia_Optima'!$H$39/480),6)))</f>
        <v>0</v>
      </c>
      <c r="BE20" s="51">
        <f>IF('07_Calendario'!$E$58=0,"",INT(ROUND(MIN('06_Secuencia_Optima'!$G$39,MAX(0,'07_Calendario'!$H$58-'06_Secuencia_Optima'!$L$39-'06_Secuencia_Optima'!$AB$39)*'06_Secuencia_Optima'!$H$39/480),6))-INT(ROUND(MIN('06_Secuencia_Optima'!$G$39,MAX(0,'07_Calendario'!$G$58-'06_Secuencia_Optima'!$L$39-'06_Secuencia_Optima'!$AB$39)*'06_Secuencia_Optima'!$H$39/480),6)))</f>
        <v>0</v>
      </c>
      <c r="BF20" s="51">
        <f>IF('07_Calendario'!$E$59=0,"",INT(ROUND(MIN('06_Secuencia_Optima'!$G$39,MAX(0,'07_Calendario'!$H$59-'06_Secuencia_Optima'!$L$39-'06_Secuencia_Optima'!$AB$39)*'06_Secuencia_Optima'!$H$39/480),6))-INT(ROUND(MIN('06_Secuencia_Optima'!$G$39,MAX(0,'07_Calendario'!$G$59-'06_Secuencia_Optima'!$L$39-'06_Secuencia_Optima'!$AB$39)*'06_Secuencia_Optima'!$H$39/480),6)))</f>
        <v>0</v>
      </c>
      <c r="BG20" s="51">
        <f>IF('07_Calendario'!$E$60=0,"",INT(ROUND(MIN('06_Secuencia_Optima'!$G$39,MAX(0,'07_Calendario'!$H$60-'06_Secuencia_Optima'!$L$39-'06_Secuencia_Optima'!$AB$39)*'06_Secuencia_Optima'!$H$39/480),6))-INT(ROUND(MIN('06_Secuencia_Optima'!$G$39,MAX(0,'07_Calendario'!$G$60-'06_Secuencia_Optima'!$L$39-'06_Secuencia_Optima'!$AB$39)*'06_Secuencia_Optima'!$H$39/480),6)))</f>
        <v>0</v>
      </c>
      <c r="BH20" s="51">
        <f>IF('07_Calendario'!$E$61=0,"",INT(ROUND(MIN('06_Secuencia_Optima'!$G$39,MAX(0,'07_Calendario'!$H$61-'06_Secuencia_Optima'!$L$39-'06_Secuencia_Optima'!$AB$39)*'06_Secuencia_Optima'!$H$39/480),6))-INT(ROUND(MIN('06_Secuencia_Optima'!$G$39,MAX(0,'07_Calendario'!$G$61-'06_Secuencia_Optima'!$L$39-'06_Secuencia_Optima'!$AB$39)*'06_Secuencia_Optima'!$H$39/480),6)))</f>
        <v>0</v>
      </c>
      <c r="BI20" s="51">
        <f>IF('07_Calendario'!$E$62=0,"",INT(ROUND(MIN('06_Secuencia_Optima'!$G$39,MAX(0,'07_Calendario'!$H$62-'06_Secuencia_Optima'!$L$39-'06_Secuencia_Optima'!$AB$39)*'06_Secuencia_Optima'!$H$39/480),6))-INT(ROUND(MIN('06_Secuencia_Optima'!$G$39,MAX(0,'07_Calendario'!$G$62-'06_Secuencia_Optima'!$L$39-'06_Secuencia_Optima'!$AB$39)*'06_Secuencia_Optima'!$H$39/480),6)))</f>
        <v>0</v>
      </c>
      <c r="BJ20" s="51">
        <f>IF('07_Calendario'!$E$63=0,"",INT(ROUND(MIN('06_Secuencia_Optima'!$G$39,MAX(0,'07_Calendario'!$H$63-'06_Secuencia_Optima'!$L$39-'06_Secuencia_Optima'!$AB$39)*'06_Secuencia_Optima'!$H$39/480),6))-INT(ROUND(MIN('06_Secuencia_Optima'!$G$39,MAX(0,'07_Calendario'!$G$63-'06_Secuencia_Optima'!$L$39-'06_Secuencia_Optima'!$AB$39)*'06_Secuencia_Optima'!$H$39/480),6)))</f>
        <v>0</v>
      </c>
      <c r="BK20" s="51">
        <f>IF('07_Calendario'!$E$64=0,"",INT(ROUND(MIN('06_Secuencia_Optima'!$G$39,MAX(0,'07_Calendario'!$H$64-'06_Secuencia_Optima'!$L$39-'06_Secuencia_Optima'!$AB$39)*'06_Secuencia_Optima'!$H$39/480),6))-INT(ROUND(MIN('06_Secuencia_Optima'!$G$39,MAX(0,'07_Calendario'!$G$64-'06_Secuencia_Optima'!$L$39-'06_Secuencia_Optima'!$AB$39)*'06_Secuencia_Optima'!$H$39/480),6)))</f>
        <v>0</v>
      </c>
      <c r="BL20" s="51">
        <f>IF('07_Calendario'!$E$65=0,"",INT(ROUND(MIN('06_Secuencia_Optima'!$G$39,MAX(0,'07_Calendario'!$H$65-'06_Secuencia_Optima'!$L$39-'06_Secuencia_Optima'!$AB$39)*'06_Secuencia_Optima'!$H$39/480),6))-INT(ROUND(MIN('06_Secuencia_Optima'!$G$39,MAX(0,'07_Calendario'!$G$65-'06_Secuencia_Optima'!$L$39-'06_Secuencia_Optima'!$AB$39)*'06_Secuencia_Optima'!$H$39/480),6)))</f>
        <v>0</v>
      </c>
      <c r="BM20" s="51">
        <f>IF('07_Calendario'!$E$66=0,"",INT(ROUND(MIN('06_Secuencia_Optima'!$G$39,MAX(0,'07_Calendario'!$H$66-'06_Secuencia_Optima'!$L$39-'06_Secuencia_Optima'!$AB$39)*'06_Secuencia_Optima'!$H$39/480),6))-INT(ROUND(MIN('06_Secuencia_Optima'!$G$39,MAX(0,'07_Calendario'!$G$66-'06_Secuencia_Optima'!$L$39-'06_Secuencia_Optima'!$AB$39)*'06_Secuencia_Optima'!$H$39/480),6)))</f>
        <v>0</v>
      </c>
      <c r="BN20" s="51">
        <f>IF('07_Calendario'!$E$67=0,"",INT(ROUND(MIN('06_Secuencia_Optima'!$G$39,MAX(0,'07_Calendario'!$H$67-'06_Secuencia_Optima'!$L$39-'06_Secuencia_Optima'!$AB$39)*'06_Secuencia_Optima'!$H$39/480),6))-INT(ROUND(MIN('06_Secuencia_Optima'!$G$39,MAX(0,'07_Calendario'!$G$67-'06_Secuencia_Optima'!$L$39-'06_Secuencia_Optima'!$AB$39)*'06_Secuencia_Optima'!$H$39/480),6)))</f>
        <v>0</v>
      </c>
      <c r="BO20" s="51">
        <f>IF('07_Calendario'!$E$68=0,"",INT(ROUND(MIN('06_Secuencia_Optima'!$G$39,MAX(0,'07_Calendario'!$H$68-'06_Secuencia_Optima'!$L$39-'06_Secuencia_Optima'!$AB$39)*'06_Secuencia_Optima'!$H$39/480),6))-INT(ROUND(MIN('06_Secuencia_Optima'!$G$39,MAX(0,'07_Calendario'!$G$68-'06_Secuencia_Optima'!$L$39-'06_Secuencia_Optima'!$AB$39)*'06_Secuencia_Optima'!$H$39/480),6)))</f>
        <v>0</v>
      </c>
      <c r="BP20" s="51">
        <f>IF('07_Calendario'!$E$69=0,"",INT(ROUND(MIN('06_Secuencia_Optima'!$G$39,MAX(0,'07_Calendario'!$H$69-'06_Secuencia_Optima'!$L$39-'06_Secuencia_Optima'!$AB$39)*'06_Secuencia_Optima'!$H$39/480),6))-INT(ROUND(MIN('06_Secuencia_Optima'!$G$39,MAX(0,'07_Calendario'!$G$69-'06_Secuencia_Optima'!$L$39-'06_Secuencia_Optima'!$AB$39)*'06_Secuencia_Optima'!$H$39/480),6)))</f>
        <v>0</v>
      </c>
      <c r="BQ20" s="51">
        <f>IF('07_Calendario'!$E$70=0,"",INT(ROUND(MIN('06_Secuencia_Optima'!$G$39,MAX(0,'07_Calendario'!$H$70-'06_Secuencia_Optima'!$L$39-'06_Secuencia_Optima'!$AB$39)*'06_Secuencia_Optima'!$H$39/480),6))-INT(ROUND(MIN('06_Secuencia_Optima'!$G$39,MAX(0,'07_Calendario'!$G$70-'06_Secuencia_Optima'!$L$39-'06_Secuencia_Optima'!$AB$39)*'06_Secuencia_Optima'!$H$39/480),6)))</f>
        <v>0</v>
      </c>
      <c r="BR20" s="51">
        <f>IF('07_Calendario'!$E$71=0,"",INT(ROUND(MIN('06_Secuencia_Optima'!$G$39,MAX(0,'07_Calendario'!$H$71-'06_Secuencia_Optima'!$L$39-'06_Secuencia_Optima'!$AB$39)*'06_Secuencia_Optima'!$H$39/480),6))-INT(ROUND(MIN('06_Secuencia_Optima'!$G$39,MAX(0,'07_Calendario'!$G$71-'06_Secuencia_Optima'!$L$39-'06_Secuencia_Optima'!$AB$39)*'06_Secuencia_Optima'!$H$39/480),6)))</f>
        <v>0</v>
      </c>
      <c r="BS20" s="51">
        <f>IF('07_Calendario'!$E$72=0,"",INT(ROUND(MIN('06_Secuencia_Optima'!$G$39,MAX(0,'07_Calendario'!$H$72-'06_Secuencia_Optima'!$L$39-'06_Secuencia_Optima'!$AB$39)*'06_Secuencia_Optima'!$H$39/480),6))-INT(ROUND(MIN('06_Secuencia_Optima'!$G$39,MAX(0,'07_Calendario'!$G$72-'06_Secuencia_Optima'!$L$39-'06_Secuencia_Optima'!$AB$39)*'06_Secuencia_Optima'!$H$39/480),6)))</f>
        <v>0</v>
      </c>
      <c r="BT20" s="51" t="str">
        <f>IF('07_Calendario'!$E$73=0,"",INT(ROUND(MIN('06_Secuencia_Optima'!$G$39,MAX(0,'07_Calendario'!$H$73-'06_Secuencia_Optima'!$L$39-'06_Secuencia_Optima'!$AB$39)*'06_Secuencia_Optima'!$H$39/480),6))-INT(ROUND(MIN('06_Secuencia_Optima'!$G$39,MAX(0,'07_Calendario'!$G$73-'06_Secuencia_Optima'!$L$39-'06_Secuencia_Optima'!$AB$39)*'06_Secuencia_Optima'!$H$39/480),6)))</f>
        <v/>
      </c>
      <c r="BU20" s="51">
        <f>IF('07_Calendario'!$E$74=0,"",INT(ROUND(MIN('06_Secuencia_Optima'!$G$39,MAX(0,'07_Calendario'!$H$74-'06_Secuencia_Optima'!$L$39-'06_Secuencia_Optima'!$AB$39)*'06_Secuencia_Optima'!$H$39/480),6))-INT(ROUND(MIN('06_Secuencia_Optima'!$G$39,MAX(0,'07_Calendario'!$G$74-'06_Secuencia_Optima'!$L$39-'06_Secuencia_Optima'!$AB$39)*'06_Secuencia_Optima'!$H$39/480),6)))</f>
        <v>0</v>
      </c>
      <c r="BV20" s="51">
        <f>IF('07_Calendario'!$E$75=0,"",INT(ROUND(MIN('06_Secuencia_Optima'!$G$39,MAX(0,'07_Calendario'!$H$75-'06_Secuencia_Optima'!$L$39-'06_Secuencia_Optima'!$AB$39)*'06_Secuencia_Optima'!$H$39/480),6))-INT(ROUND(MIN('06_Secuencia_Optima'!$G$39,MAX(0,'07_Calendario'!$G$75-'06_Secuencia_Optima'!$L$39-'06_Secuencia_Optima'!$AB$39)*'06_Secuencia_Optima'!$H$39/480),6)))</f>
        <v>0</v>
      </c>
      <c r="BW20" s="51">
        <f>IF('07_Calendario'!$E$76=0,"",INT(ROUND(MIN('06_Secuencia_Optima'!$G$39,MAX(0,'07_Calendario'!$H$76-'06_Secuencia_Optima'!$L$39-'06_Secuencia_Optima'!$AB$39)*'06_Secuencia_Optima'!$H$39/480),6))-INT(ROUND(MIN('06_Secuencia_Optima'!$G$39,MAX(0,'07_Calendario'!$G$76-'06_Secuencia_Optima'!$L$39-'06_Secuencia_Optima'!$AB$39)*'06_Secuencia_Optima'!$H$39/480),6)))</f>
        <v>0</v>
      </c>
      <c r="BX20" s="51">
        <f>IF('07_Calendario'!$E$77=0,"",INT(ROUND(MIN('06_Secuencia_Optima'!$G$39,MAX(0,'07_Calendario'!$H$77-'06_Secuencia_Optima'!$L$39-'06_Secuencia_Optima'!$AB$39)*'06_Secuencia_Optima'!$H$39/480),6))-INT(ROUND(MIN('06_Secuencia_Optima'!$G$39,MAX(0,'07_Calendario'!$G$77-'06_Secuencia_Optima'!$L$39-'06_Secuencia_Optima'!$AB$39)*'06_Secuencia_Optima'!$H$39/480),6)))</f>
        <v>0</v>
      </c>
      <c r="BY20" s="51">
        <f>IF('07_Calendario'!$E$78=0,"",INT(ROUND(MIN('06_Secuencia_Optima'!$G$39,MAX(0,'07_Calendario'!$H$78-'06_Secuencia_Optima'!$L$39-'06_Secuencia_Optima'!$AB$39)*'06_Secuencia_Optima'!$H$39/480),6))-INT(ROUND(MIN('06_Secuencia_Optima'!$G$39,MAX(0,'07_Calendario'!$G$78-'06_Secuencia_Optima'!$L$39-'06_Secuencia_Optima'!$AB$39)*'06_Secuencia_Optima'!$H$39/480),6)))</f>
        <v>0</v>
      </c>
      <c r="BZ20" s="51">
        <f>IF('07_Calendario'!$E$79=0,"",INT(ROUND(MIN('06_Secuencia_Optima'!$G$39,MAX(0,'07_Calendario'!$H$79-'06_Secuencia_Optima'!$L$39-'06_Secuencia_Optima'!$AB$39)*'06_Secuencia_Optima'!$H$39/480),6))-INT(ROUND(MIN('06_Secuencia_Optima'!$G$39,MAX(0,'07_Calendario'!$G$79-'06_Secuencia_Optima'!$L$39-'06_Secuencia_Optima'!$AB$39)*'06_Secuencia_Optima'!$H$39/480),6)))</f>
        <v>0</v>
      </c>
      <c r="CA20" s="51">
        <f>IF('07_Calendario'!$E$80=0,"",INT(ROUND(MIN('06_Secuencia_Optima'!$G$39,MAX(0,'07_Calendario'!$H$80-'06_Secuencia_Optima'!$L$39-'06_Secuencia_Optima'!$AB$39)*'06_Secuencia_Optima'!$H$39/480),6))-INT(ROUND(MIN('06_Secuencia_Optima'!$G$39,MAX(0,'07_Calendario'!$G$80-'06_Secuencia_Optima'!$L$39-'06_Secuencia_Optima'!$AB$39)*'06_Secuencia_Optima'!$H$39/480),6)))</f>
        <v>0</v>
      </c>
      <c r="CB20" s="51">
        <f>IF('07_Calendario'!$E$81=0,"",INT(ROUND(MIN('06_Secuencia_Optima'!$G$39,MAX(0,'07_Calendario'!$H$81-'06_Secuencia_Optima'!$L$39-'06_Secuencia_Optima'!$AB$39)*'06_Secuencia_Optima'!$H$39/480),6))-INT(ROUND(MIN('06_Secuencia_Optima'!$G$39,MAX(0,'07_Calendario'!$G$81-'06_Secuencia_Optima'!$L$39-'06_Secuencia_Optima'!$AB$39)*'06_Secuencia_Optima'!$H$39/480),6)))</f>
        <v>0</v>
      </c>
      <c r="CC20" s="51">
        <f>IF('07_Calendario'!$E$82=0,"",INT(ROUND(MIN('06_Secuencia_Optima'!$G$39,MAX(0,'07_Calendario'!$H$82-'06_Secuencia_Optima'!$L$39-'06_Secuencia_Optima'!$AB$39)*'06_Secuencia_Optima'!$H$39/480),6))-INT(ROUND(MIN('06_Secuencia_Optima'!$G$39,MAX(0,'07_Calendario'!$G$82-'06_Secuencia_Optima'!$L$39-'06_Secuencia_Optima'!$AB$39)*'06_Secuencia_Optima'!$H$39/480),6)))</f>
        <v>0</v>
      </c>
      <c r="CD20" s="18">
        <f t="shared" si="0"/>
        <v>7200</v>
      </c>
      <c r="CE20" s="19">
        <f>'06_Secuencia_Optima'!$G$39</f>
        <v>7200</v>
      </c>
      <c r="CF20" s="10" t="str">
        <f t="shared" si="1"/>
        <v>OK</v>
      </c>
    </row>
    <row r="21" spans="1:84" x14ac:dyDescent="0.2">
      <c r="A21" s="10">
        <f>'06_Secuencia_Optima'!$B$40</f>
        <v>3757</v>
      </c>
      <c r="B21" s="13" t="str">
        <f>'06_Secuencia_Optima'!$C$40</f>
        <v>MOSTANEZA (12DP/1/380g)</v>
      </c>
      <c r="C21" s="14">
        <f>'06_Secuencia_Optima'!$D$40</f>
        <v>3757</v>
      </c>
      <c r="D21" s="51">
        <f>IF('07_Calendario'!$E$5=0,"",INT(ROUND(MIN('06_Secuencia_Optima'!$G$40,MAX(0,'07_Calendario'!$H$5-'06_Secuencia_Optima'!$L$40-'06_Secuencia_Optima'!$AB$40)*'06_Secuencia_Optima'!$H$40/480),6))-INT(ROUND(MIN('06_Secuencia_Optima'!$G$40,MAX(0,'07_Calendario'!$G$5-'06_Secuencia_Optima'!$L$40-'06_Secuencia_Optima'!$AB$40)*'06_Secuencia_Optima'!$H$40/480),6)))</f>
        <v>1833</v>
      </c>
      <c r="E21" s="51">
        <f>IF('07_Calendario'!$E$6=0,"",INT(ROUND(MIN('06_Secuencia_Optima'!$G$40,MAX(0,'07_Calendario'!$H$6-'06_Secuencia_Optima'!$L$40-'06_Secuencia_Optima'!$AB$40)*'06_Secuencia_Optima'!$H$40/480),6))-INT(ROUND(MIN('06_Secuencia_Optima'!$G$40,MAX(0,'07_Calendario'!$G$6-'06_Secuencia_Optima'!$L$40-'06_Secuencia_Optima'!$AB$40)*'06_Secuencia_Optima'!$H$40/480),6)))</f>
        <v>1767</v>
      </c>
      <c r="F21" s="51">
        <f>IF('07_Calendario'!$E$7=0,"",INT(ROUND(MIN('06_Secuencia_Optima'!$G$40,MAX(0,'07_Calendario'!$H$7-'06_Secuencia_Optima'!$L$40-'06_Secuencia_Optima'!$AB$40)*'06_Secuencia_Optima'!$H$40/480),6))-INT(ROUND(MIN('06_Secuencia_Optima'!$G$40,MAX(0,'07_Calendario'!$G$7-'06_Secuencia_Optima'!$L$40-'06_Secuencia_Optima'!$AB$40)*'06_Secuencia_Optima'!$H$40/480),6)))</f>
        <v>0</v>
      </c>
      <c r="G21" s="51">
        <f>IF('07_Calendario'!$E$8=0,"",INT(ROUND(MIN('06_Secuencia_Optima'!$G$40,MAX(0,'07_Calendario'!$H$8-'06_Secuencia_Optima'!$L$40-'06_Secuencia_Optima'!$AB$40)*'06_Secuencia_Optima'!$H$40/480),6))-INT(ROUND(MIN('06_Secuencia_Optima'!$G$40,MAX(0,'07_Calendario'!$G$8-'06_Secuencia_Optima'!$L$40-'06_Secuencia_Optima'!$AB$40)*'06_Secuencia_Optima'!$H$40/480),6)))</f>
        <v>0</v>
      </c>
      <c r="H21" s="51">
        <f>IF('07_Calendario'!$E$9=0,"",INT(ROUND(MIN('06_Secuencia_Optima'!$G$40,MAX(0,'07_Calendario'!$H$9-'06_Secuencia_Optima'!$L$40-'06_Secuencia_Optima'!$AB$40)*'06_Secuencia_Optima'!$H$40/480),6))-INT(ROUND(MIN('06_Secuencia_Optima'!$G$40,MAX(0,'07_Calendario'!$G$9-'06_Secuencia_Optima'!$L$40-'06_Secuencia_Optima'!$AB$40)*'06_Secuencia_Optima'!$H$40/480),6)))</f>
        <v>0</v>
      </c>
      <c r="I21" s="51">
        <f>IF('07_Calendario'!$E$10=0,"",INT(ROUND(MIN('06_Secuencia_Optima'!$G$40,MAX(0,'07_Calendario'!$H$10-'06_Secuencia_Optima'!$L$40-'06_Secuencia_Optima'!$AB$40)*'06_Secuencia_Optima'!$H$40/480),6))-INT(ROUND(MIN('06_Secuencia_Optima'!$G$40,MAX(0,'07_Calendario'!$G$10-'06_Secuencia_Optima'!$L$40-'06_Secuencia_Optima'!$AB$40)*'06_Secuencia_Optima'!$H$40/480),6)))</f>
        <v>0</v>
      </c>
      <c r="J21" s="51">
        <f>IF('07_Calendario'!$E$11=0,"",INT(ROUND(MIN('06_Secuencia_Optima'!$G$40,MAX(0,'07_Calendario'!$H$11-'06_Secuencia_Optima'!$L$40-'06_Secuencia_Optima'!$AB$40)*'06_Secuencia_Optima'!$H$40/480),6))-INT(ROUND(MIN('06_Secuencia_Optima'!$G$40,MAX(0,'07_Calendario'!$G$11-'06_Secuencia_Optima'!$L$40-'06_Secuencia_Optima'!$AB$40)*'06_Secuencia_Optima'!$H$40/480),6)))</f>
        <v>0</v>
      </c>
      <c r="K21" s="51">
        <f>IF('07_Calendario'!$E$12=0,"",INT(ROUND(MIN('06_Secuencia_Optima'!$G$40,MAX(0,'07_Calendario'!$H$12-'06_Secuencia_Optima'!$L$40-'06_Secuencia_Optima'!$AB$40)*'06_Secuencia_Optima'!$H$40/480),6))-INT(ROUND(MIN('06_Secuencia_Optima'!$G$40,MAX(0,'07_Calendario'!$G$12-'06_Secuencia_Optima'!$L$40-'06_Secuencia_Optima'!$AB$40)*'06_Secuencia_Optima'!$H$40/480),6)))</f>
        <v>0</v>
      </c>
      <c r="L21" s="51">
        <f>IF('07_Calendario'!$E$13=0,"",INT(ROUND(MIN('06_Secuencia_Optima'!$G$40,MAX(0,'07_Calendario'!$H$13-'06_Secuencia_Optima'!$L$40-'06_Secuencia_Optima'!$AB$40)*'06_Secuencia_Optima'!$H$40/480),6))-INT(ROUND(MIN('06_Secuencia_Optima'!$G$40,MAX(0,'07_Calendario'!$G$13-'06_Secuencia_Optima'!$L$40-'06_Secuencia_Optima'!$AB$40)*'06_Secuencia_Optima'!$H$40/480),6)))</f>
        <v>0</v>
      </c>
      <c r="M21" s="51">
        <f>IF('07_Calendario'!$E$14=0,"",INT(ROUND(MIN('06_Secuencia_Optima'!$G$40,MAX(0,'07_Calendario'!$H$14-'06_Secuencia_Optima'!$L$40-'06_Secuencia_Optima'!$AB$40)*'06_Secuencia_Optima'!$H$40/480),6))-INT(ROUND(MIN('06_Secuencia_Optima'!$G$40,MAX(0,'07_Calendario'!$G$14-'06_Secuencia_Optima'!$L$40-'06_Secuencia_Optima'!$AB$40)*'06_Secuencia_Optima'!$H$40/480),6)))</f>
        <v>0</v>
      </c>
      <c r="N21" s="51">
        <f>IF('07_Calendario'!$E$15=0,"",INT(ROUND(MIN('06_Secuencia_Optima'!$G$40,MAX(0,'07_Calendario'!$H$15-'06_Secuencia_Optima'!$L$40-'06_Secuencia_Optima'!$AB$40)*'06_Secuencia_Optima'!$H$40/480),6))-INT(ROUND(MIN('06_Secuencia_Optima'!$G$40,MAX(0,'07_Calendario'!$G$15-'06_Secuencia_Optima'!$L$40-'06_Secuencia_Optima'!$AB$40)*'06_Secuencia_Optima'!$H$40/480),6)))</f>
        <v>0</v>
      </c>
      <c r="O21" s="51">
        <f>IF('07_Calendario'!$E$16=0,"",INT(ROUND(MIN('06_Secuencia_Optima'!$G$40,MAX(0,'07_Calendario'!$H$16-'06_Secuencia_Optima'!$L$40-'06_Secuencia_Optima'!$AB$40)*'06_Secuencia_Optima'!$H$40/480),6))-INT(ROUND(MIN('06_Secuencia_Optima'!$G$40,MAX(0,'07_Calendario'!$G$16-'06_Secuencia_Optima'!$L$40-'06_Secuencia_Optima'!$AB$40)*'06_Secuencia_Optima'!$H$40/480),6)))</f>
        <v>0</v>
      </c>
      <c r="P21" s="51">
        <f>IF('07_Calendario'!$E$17=0,"",INT(ROUND(MIN('06_Secuencia_Optima'!$G$40,MAX(0,'07_Calendario'!$H$17-'06_Secuencia_Optima'!$L$40-'06_Secuencia_Optima'!$AB$40)*'06_Secuencia_Optima'!$H$40/480),6))-INT(ROUND(MIN('06_Secuencia_Optima'!$G$40,MAX(0,'07_Calendario'!$G$17-'06_Secuencia_Optima'!$L$40-'06_Secuencia_Optima'!$AB$40)*'06_Secuencia_Optima'!$H$40/480),6)))</f>
        <v>0</v>
      </c>
      <c r="Q21" s="51">
        <f>IF('07_Calendario'!$E$18=0,"",INT(ROUND(MIN('06_Secuencia_Optima'!$G$40,MAX(0,'07_Calendario'!$H$18-'06_Secuencia_Optima'!$L$40-'06_Secuencia_Optima'!$AB$40)*'06_Secuencia_Optima'!$H$40/480),6))-INT(ROUND(MIN('06_Secuencia_Optima'!$G$40,MAX(0,'07_Calendario'!$G$18-'06_Secuencia_Optima'!$L$40-'06_Secuencia_Optima'!$AB$40)*'06_Secuencia_Optima'!$H$40/480),6)))</f>
        <v>0</v>
      </c>
      <c r="R21" s="51" t="str">
        <f>IF('07_Calendario'!$E$19=0,"",INT(ROUND(MIN('06_Secuencia_Optima'!$G$40,MAX(0,'07_Calendario'!$H$19-'06_Secuencia_Optima'!$L$40-'06_Secuencia_Optima'!$AB$40)*'06_Secuencia_Optima'!$H$40/480),6))-INT(ROUND(MIN('06_Secuencia_Optima'!$G$40,MAX(0,'07_Calendario'!$G$19-'06_Secuencia_Optima'!$L$40-'06_Secuencia_Optima'!$AB$40)*'06_Secuencia_Optima'!$H$40/480),6)))</f>
        <v/>
      </c>
      <c r="S21" s="51">
        <f>IF('07_Calendario'!$E$20=0,"",INT(ROUND(MIN('06_Secuencia_Optima'!$G$40,MAX(0,'07_Calendario'!$H$20-'06_Secuencia_Optima'!$L$40-'06_Secuencia_Optima'!$AB$40)*'06_Secuencia_Optima'!$H$40/480),6))-INT(ROUND(MIN('06_Secuencia_Optima'!$G$40,MAX(0,'07_Calendario'!$G$20-'06_Secuencia_Optima'!$L$40-'06_Secuencia_Optima'!$AB$40)*'06_Secuencia_Optima'!$H$40/480),6)))</f>
        <v>0</v>
      </c>
      <c r="T21" s="51">
        <f>IF('07_Calendario'!$E$21=0,"",INT(ROUND(MIN('06_Secuencia_Optima'!$G$40,MAX(0,'07_Calendario'!$H$21-'06_Secuencia_Optima'!$L$40-'06_Secuencia_Optima'!$AB$40)*'06_Secuencia_Optima'!$H$40/480),6))-INT(ROUND(MIN('06_Secuencia_Optima'!$G$40,MAX(0,'07_Calendario'!$G$21-'06_Secuencia_Optima'!$L$40-'06_Secuencia_Optima'!$AB$40)*'06_Secuencia_Optima'!$H$40/480),6)))</f>
        <v>0</v>
      </c>
      <c r="U21" s="51">
        <f>IF('07_Calendario'!$E$22=0,"",INT(ROUND(MIN('06_Secuencia_Optima'!$G$40,MAX(0,'07_Calendario'!$H$22-'06_Secuencia_Optima'!$L$40-'06_Secuencia_Optima'!$AB$40)*'06_Secuencia_Optima'!$H$40/480),6))-INT(ROUND(MIN('06_Secuencia_Optima'!$G$40,MAX(0,'07_Calendario'!$G$22-'06_Secuencia_Optima'!$L$40-'06_Secuencia_Optima'!$AB$40)*'06_Secuencia_Optima'!$H$40/480),6)))</f>
        <v>0</v>
      </c>
      <c r="V21" s="51">
        <f>IF('07_Calendario'!$E$23=0,"",INT(ROUND(MIN('06_Secuencia_Optima'!$G$40,MAX(0,'07_Calendario'!$H$23-'06_Secuencia_Optima'!$L$40-'06_Secuencia_Optima'!$AB$40)*'06_Secuencia_Optima'!$H$40/480),6))-INT(ROUND(MIN('06_Secuencia_Optima'!$G$40,MAX(0,'07_Calendario'!$G$23-'06_Secuencia_Optima'!$L$40-'06_Secuencia_Optima'!$AB$40)*'06_Secuencia_Optima'!$H$40/480),6)))</f>
        <v>0</v>
      </c>
      <c r="W21" s="51">
        <f>IF('07_Calendario'!$E$24=0,"",INT(ROUND(MIN('06_Secuencia_Optima'!$G$40,MAX(0,'07_Calendario'!$H$24-'06_Secuencia_Optima'!$L$40-'06_Secuencia_Optima'!$AB$40)*'06_Secuencia_Optima'!$H$40/480),6))-INT(ROUND(MIN('06_Secuencia_Optima'!$G$40,MAX(0,'07_Calendario'!$G$24-'06_Secuencia_Optima'!$L$40-'06_Secuencia_Optima'!$AB$40)*'06_Secuencia_Optima'!$H$40/480),6)))</f>
        <v>0</v>
      </c>
      <c r="X21" s="51">
        <f>IF('07_Calendario'!$E$25=0,"",INT(ROUND(MIN('06_Secuencia_Optima'!$G$40,MAX(0,'07_Calendario'!$H$25-'06_Secuencia_Optima'!$L$40-'06_Secuencia_Optima'!$AB$40)*'06_Secuencia_Optima'!$H$40/480),6))-INT(ROUND(MIN('06_Secuencia_Optima'!$G$40,MAX(0,'07_Calendario'!$G$25-'06_Secuencia_Optima'!$L$40-'06_Secuencia_Optima'!$AB$40)*'06_Secuencia_Optima'!$H$40/480),6)))</f>
        <v>0</v>
      </c>
      <c r="Y21" s="51">
        <f>IF('07_Calendario'!$E$26=0,"",INT(ROUND(MIN('06_Secuencia_Optima'!$G$40,MAX(0,'07_Calendario'!$H$26-'06_Secuencia_Optima'!$L$40-'06_Secuencia_Optima'!$AB$40)*'06_Secuencia_Optima'!$H$40/480),6))-INT(ROUND(MIN('06_Secuencia_Optima'!$G$40,MAX(0,'07_Calendario'!$G$26-'06_Secuencia_Optima'!$L$40-'06_Secuencia_Optima'!$AB$40)*'06_Secuencia_Optima'!$H$40/480),6)))</f>
        <v>0</v>
      </c>
      <c r="Z21" s="51">
        <f>IF('07_Calendario'!$E$27=0,"",INT(ROUND(MIN('06_Secuencia_Optima'!$G$40,MAX(0,'07_Calendario'!$H$27-'06_Secuencia_Optima'!$L$40-'06_Secuencia_Optima'!$AB$40)*'06_Secuencia_Optima'!$H$40/480),6))-INT(ROUND(MIN('06_Secuencia_Optima'!$G$40,MAX(0,'07_Calendario'!$G$27-'06_Secuencia_Optima'!$L$40-'06_Secuencia_Optima'!$AB$40)*'06_Secuencia_Optima'!$H$40/480),6)))</f>
        <v>0</v>
      </c>
      <c r="AA21" s="51">
        <f>IF('07_Calendario'!$E$28=0,"",INT(ROUND(MIN('06_Secuencia_Optima'!$G$40,MAX(0,'07_Calendario'!$H$28-'06_Secuencia_Optima'!$L$40-'06_Secuencia_Optima'!$AB$40)*'06_Secuencia_Optima'!$H$40/480),6))-INT(ROUND(MIN('06_Secuencia_Optima'!$G$40,MAX(0,'07_Calendario'!$G$28-'06_Secuencia_Optima'!$L$40-'06_Secuencia_Optima'!$AB$40)*'06_Secuencia_Optima'!$H$40/480),6)))</f>
        <v>0</v>
      </c>
      <c r="AB21" s="51">
        <f>IF('07_Calendario'!$E$29=0,"",INT(ROUND(MIN('06_Secuencia_Optima'!$G$40,MAX(0,'07_Calendario'!$H$29-'06_Secuencia_Optima'!$L$40-'06_Secuencia_Optima'!$AB$40)*'06_Secuencia_Optima'!$H$40/480),6))-INT(ROUND(MIN('06_Secuencia_Optima'!$G$40,MAX(0,'07_Calendario'!$G$29-'06_Secuencia_Optima'!$L$40-'06_Secuencia_Optima'!$AB$40)*'06_Secuencia_Optima'!$H$40/480),6)))</f>
        <v>0</v>
      </c>
      <c r="AC21" s="51">
        <f>IF('07_Calendario'!$E$30=0,"",INT(ROUND(MIN('06_Secuencia_Optima'!$G$40,MAX(0,'07_Calendario'!$H$30-'06_Secuencia_Optima'!$L$40-'06_Secuencia_Optima'!$AB$40)*'06_Secuencia_Optima'!$H$40/480),6))-INT(ROUND(MIN('06_Secuencia_Optima'!$G$40,MAX(0,'07_Calendario'!$G$30-'06_Secuencia_Optima'!$L$40-'06_Secuencia_Optima'!$AB$40)*'06_Secuencia_Optima'!$H$40/480),6)))</f>
        <v>0</v>
      </c>
      <c r="AD21" s="51">
        <f>IF('07_Calendario'!$E$31=0,"",INT(ROUND(MIN('06_Secuencia_Optima'!$G$40,MAX(0,'07_Calendario'!$H$31-'06_Secuencia_Optima'!$L$40-'06_Secuencia_Optima'!$AB$40)*'06_Secuencia_Optima'!$H$40/480),6))-INT(ROUND(MIN('06_Secuencia_Optima'!$G$40,MAX(0,'07_Calendario'!$G$31-'06_Secuencia_Optima'!$L$40-'06_Secuencia_Optima'!$AB$40)*'06_Secuencia_Optima'!$H$40/480),6)))</f>
        <v>0</v>
      </c>
      <c r="AE21" s="51">
        <f>IF('07_Calendario'!$E$32=0,"",INT(ROUND(MIN('06_Secuencia_Optima'!$G$40,MAX(0,'07_Calendario'!$H$32-'06_Secuencia_Optima'!$L$40-'06_Secuencia_Optima'!$AB$40)*'06_Secuencia_Optima'!$H$40/480),6))-INT(ROUND(MIN('06_Secuencia_Optima'!$G$40,MAX(0,'07_Calendario'!$G$32-'06_Secuencia_Optima'!$L$40-'06_Secuencia_Optima'!$AB$40)*'06_Secuencia_Optima'!$H$40/480),6)))</f>
        <v>0</v>
      </c>
      <c r="AF21" s="51">
        <f>IF('07_Calendario'!$E$33=0,"",INT(ROUND(MIN('06_Secuencia_Optima'!$G$40,MAX(0,'07_Calendario'!$H$33-'06_Secuencia_Optima'!$L$40-'06_Secuencia_Optima'!$AB$40)*'06_Secuencia_Optima'!$H$40/480),6))-INT(ROUND(MIN('06_Secuencia_Optima'!$G$40,MAX(0,'07_Calendario'!$G$33-'06_Secuencia_Optima'!$L$40-'06_Secuencia_Optima'!$AB$40)*'06_Secuencia_Optima'!$H$40/480),6)))</f>
        <v>0</v>
      </c>
      <c r="AG21" s="51">
        <f>IF('07_Calendario'!$E$34=0,"",INT(ROUND(MIN('06_Secuencia_Optima'!$G$40,MAX(0,'07_Calendario'!$H$34-'06_Secuencia_Optima'!$L$40-'06_Secuencia_Optima'!$AB$40)*'06_Secuencia_Optima'!$H$40/480),6))-INT(ROUND(MIN('06_Secuencia_Optima'!$G$40,MAX(0,'07_Calendario'!$G$34-'06_Secuencia_Optima'!$L$40-'06_Secuencia_Optima'!$AB$40)*'06_Secuencia_Optima'!$H$40/480),6)))</f>
        <v>0</v>
      </c>
      <c r="AH21" s="51">
        <f>IF('07_Calendario'!$E$35=0,"",INT(ROUND(MIN('06_Secuencia_Optima'!$G$40,MAX(0,'07_Calendario'!$H$35-'06_Secuencia_Optima'!$L$40-'06_Secuencia_Optima'!$AB$40)*'06_Secuencia_Optima'!$H$40/480),6))-INT(ROUND(MIN('06_Secuencia_Optima'!$G$40,MAX(0,'07_Calendario'!$G$35-'06_Secuencia_Optima'!$L$40-'06_Secuencia_Optima'!$AB$40)*'06_Secuencia_Optima'!$H$40/480),6)))</f>
        <v>0</v>
      </c>
      <c r="AI21" s="51">
        <f>IF('07_Calendario'!$E$36=0,"",INT(ROUND(MIN('06_Secuencia_Optima'!$G$40,MAX(0,'07_Calendario'!$H$36-'06_Secuencia_Optima'!$L$40-'06_Secuencia_Optima'!$AB$40)*'06_Secuencia_Optima'!$H$40/480),6))-INT(ROUND(MIN('06_Secuencia_Optima'!$G$40,MAX(0,'07_Calendario'!$G$36-'06_Secuencia_Optima'!$L$40-'06_Secuencia_Optima'!$AB$40)*'06_Secuencia_Optima'!$H$40/480),6)))</f>
        <v>0</v>
      </c>
      <c r="AJ21" s="51" t="str">
        <f>IF('07_Calendario'!$E$37=0,"",INT(ROUND(MIN('06_Secuencia_Optima'!$G$40,MAX(0,'07_Calendario'!$H$37-'06_Secuencia_Optima'!$L$40-'06_Secuencia_Optima'!$AB$40)*'06_Secuencia_Optima'!$H$40/480),6))-INT(ROUND(MIN('06_Secuencia_Optima'!$G$40,MAX(0,'07_Calendario'!$G$37-'06_Secuencia_Optima'!$L$40-'06_Secuencia_Optima'!$AB$40)*'06_Secuencia_Optima'!$H$40/480),6)))</f>
        <v/>
      </c>
      <c r="AK21" s="51">
        <f>IF('07_Calendario'!$E$38=0,"",INT(ROUND(MIN('06_Secuencia_Optima'!$G$40,MAX(0,'07_Calendario'!$H$38-'06_Secuencia_Optima'!$L$40-'06_Secuencia_Optima'!$AB$40)*'06_Secuencia_Optima'!$H$40/480),6))-INT(ROUND(MIN('06_Secuencia_Optima'!$G$40,MAX(0,'07_Calendario'!$G$38-'06_Secuencia_Optima'!$L$40-'06_Secuencia_Optima'!$AB$40)*'06_Secuencia_Optima'!$H$40/480),6)))</f>
        <v>0</v>
      </c>
      <c r="AL21" s="51">
        <f>IF('07_Calendario'!$E$39=0,"",INT(ROUND(MIN('06_Secuencia_Optima'!$G$40,MAX(0,'07_Calendario'!$H$39-'06_Secuencia_Optima'!$L$40-'06_Secuencia_Optima'!$AB$40)*'06_Secuencia_Optima'!$H$40/480),6))-INT(ROUND(MIN('06_Secuencia_Optima'!$G$40,MAX(0,'07_Calendario'!$G$39-'06_Secuencia_Optima'!$L$40-'06_Secuencia_Optima'!$AB$40)*'06_Secuencia_Optima'!$H$40/480),6)))</f>
        <v>0</v>
      </c>
      <c r="AM21" s="51">
        <f>IF('07_Calendario'!$E$40=0,"",INT(ROUND(MIN('06_Secuencia_Optima'!$G$40,MAX(0,'07_Calendario'!$H$40-'06_Secuencia_Optima'!$L$40-'06_Secuencia_Optima'!$AB$40)*'06_Secuencia_Optima'!$H$40/480),6))-INT(ROUND(MIN('06_Secuencia_Optima'!$G$40,MAX(0,'07_Calendario'!$G$40-'06_Secuencia_Optima'!$L$40-'06_Secuencia_Optima'!$AB$40)*'06_Secuencia_Optima'!$H$40/480),6)))</f>
        <v>0</v>
      </c>
      <c r="AN21" s="51">
        <f>IF('07_Calendario'!$E$41=0,"",INT(ROUND(MIN('06_Secuencia_Optima'!$G$40,MAX(0,'07_Calendario'!$H$41-'06_Secuencia_Optima'!$L$40-'06_Secuencia_Optima'!$AB$40)*'06_Secuencia_Optima'!$H$40/480),6))-INT(ROUND(MIN('06_Secuencia_Optima'!$G$40,MAX(0,'07_Calendario'!$G$41-'06_Secuencia_Optima'!$L$40-'06_Secuencia_Optima'!$AB$40)*'06_Secuencia_Optima'!$H$40/480),6)))</f>
        <v>0</v>
      </c>
      <c r="AO21" s="51">
        <f>IF('07_Calendario'!$E$42=0,"",INT(ROUND(MIN('06_Secuencia_Optima'!$G$40,MAX(0,'07_Calendario'!$H$42-'06_Secuencia_Optima'!$L$40-'06_Secuencia_Optima'!$AB$40)*'06_Secuencia_Optima'!$H$40/480),6))-INT(ROUND(MIN('06_Secuencia_Optima'!$G$40,MAX(0,'07_Calendario'!$G$42-'06_Secuencia_Optima'!$L$40-'06_Secuencia_Optima'!$AB$40)*'06_Secuencia_Optima'!$H$40/480),6)))</f>
        <v>0</v>
      </c>
      <c r="AP21" s="51">
        <f>IF('07_Calendario'!$E$43=0,"",INT(ROUND(MIN('06_Secuencia_Optima'!$G$40,MAX(0,'07_Calendario'!$H$43-'06_Secuencia_Optima'!$L$40-'06_Secuencia_Optima'!$AB$40)*'06_Secuencia_Optima'!$H$40/480),6))-INT(ROUND(MIN('06_Secuencia_Optima'!$G$40,MAX(0,'07_Calendario'!$G$43-'06_Secuencia_Optima'!$L$40-'06_Secuencia_Optima'!$AB$40)*'06_Secuencia_Optima'!$H$40/480),6)))</f>
        <v>0</v>
      </c>
      <c r="AQ21" s="51">
        <f>IF('07_Calendario'!$E$44=0,"",INT(ROUND(MIN('06_Secuencia_Optima'!$G$40,MAX(0,'07_Calendario'!$H$44-'06_Secuencia_Optima'!$L$40-'06_Secuencia_Optima'!$AB$40)*'06_Secuencia_Optima'!$H$40/480),6))-INT(ROUND(MIN('06_Secuencia_Optima'!$G$40,MAX(0,'07_Calendario'!$G$44-'06_Secuencia_Optima'!$L$40-'06_Secuencia_Optima'!$AB$40)*'06_Secuencia_Optima'!$H$40/480),6)))</f>
        <v>0</v>
      </c>
      <c r="AR21" s="51">
        <f>IF('07_Calendario'!$E$45=0,"",INT(ROUND(MIN('06_Secuencia_Optima'!$G$40,MAX(0,'07_Calendario'!$H$45-'06_Secuencia_Optima'!$L$40-'06_Secuencia_Optima'!$AB$40)*'06_Secuencia_Optima'!$H$40/480),6))-INT(ROUND(MIN('06_Secuencia_Optima'!$G$40,MAX(0,'07_Calendario'!$G$45-'06_Secuencia_Optima'!$L$40-'06_Secuencia_Optima'!$AB$40)*'06_Secuencia_Optima'!$H$40/480),6)))</f>
        <v>0</v>
      </c>
      <c r="AS21" s="51">
        <f>IF('07_Calendario'!$E$46=0,"",INT(ROUND(MIN('06_Secuencia_Optima'!$G$40,MAX(0,'07_Calendario'!$H$46-'06_Secuencia_Optima'!$L$40-'06_Secuencia_Optima'!$AB$40)*'06_Secuencia_Optima'!$H$40/480),6))-INT(ROUND(MIN('06_Secuencia_Optima'!$G$40,MAX(0,'07_Calendario'!$G$46-'06_Secuencia_Optima'!$L$40-'06_Secuencia_Optima'!$AB$40)*'06_Secuencia_Optima'!$H$40/480),6)))</f>
        <v>0</v>
      </c>
      <c r="AT21" s="51">
        <f>IF('07_Calendario'!$E$47=0,"",INT(ROUND(MIN('06_Secuencia_Optima'!$G$40,MAX(0,'07_Calendario'!$H$47-'06_Secuencia_Optima'!$L$40-'06_Secuencia_Optima'!$AB$40)*'06_Secuencia_Optima'!$H$40/480),6))-INT(ROUND(MIN('06_Secuencia_Optima'!$G$40,MAX(0,'07_Calendario'!$G$47-'06_Secuencia_Optima'!$L$40-'06_Secuencia_Optima'!$AB$40)*'06_Secuencia_Optima'!$H$40/480),6)))</f>
        <v>0</v>
      </c>
      <c r="AU21" s="51">
        <f>IF('07_Calendario'!$E$48=0,"",INT(ROUND(MIN('06_Secuencia_Optima'!$G$40,MAX(0,'07_Calendario'!$H$48-'06_Secuencia_Optima'!$L$40-'06_Secuencia_Optima'!$AB$40)*'06_Secuencia_Optima'!$H$40/480),6))-INT(ROUND(MIN('06_Secuencia_Optima'!$G$40,MAX(0,'07_Calendario'!$G$48-'06_Secuencia_Optima'!$L$40-'06_Secuencia_Optima'!$AB$40)*'06_Secuencia_Optima'!$H$40/480),6)))</f>
        <v>0</v>
      </c>
      <c r="AV21" s="51">
        <f>IF('07_Calendario'!$E$49=0,"",INT(ROUND(MIN('06_Secuencia_Optima'!$G$40,MAX(0,'07_Calendario'!$H$49-'06_Secuencia_Optima'!$L$40-'06_Secuencia_Optima'!$AB$40)*'06_Secuencia_Optima'!$H$40/480),6))-INT(ROUND(MIN('06_Secuencia_Optima'!$G$40,MAX(0,'07_Calendario'!$G$49-'06_Secuencia_Optima'!$L$40-'06_Secuencia_Optima'!$AB$40)*'06_Secuencia_Optima'!$H$40/480),6)))</f>
        <v>0</v>
      </c>
      <c r="AW21" s="51">
        <f>IF('07_Calendario'!$E$50=0,"",INT(ROUND(MIN('06_Secuencia_Optima'!$G$40,MAX(0,'07_Calendario'!$H$50-'06_Secuencia_Optima'!$L$40-'06_Secuencia_Optima'!$AB$40)*'06_Secuencia_Optima'!$H$40/480),6))-INT(ROUND(MIN('06_Secuencia_Optima'!$G$40,MAX(0,'07_Calendario'!$G$50-'06_Secuencia_Optima'!$L$40-'06_Secuencia_Optima'!$AB$40)*'06_Secuencia_Optima'!$H$40/480),6)))</f>
        <v>0</v>
      </c>
      <c r="AX21" s="51">
        <f>IF('07_Calendario'!$E$51=0,"",INT(ROUND(MIN('06_Secuencia_Optima'!$G$40,MAX(0,'07_Calendario'!$H$51-'06_Secuencia_Optima'!$L$40-'06_Secuencia_Optima'!$AB$40)*'06_Secuencia_Optima'!$H$40/480),6))-INT(ROUND(MIN('06_Secuencia_Optima'!$G$40,MAX(0,'07_Calendario'!$G$51-'06_Secuencia_Optima'!$L$40-'06_Secuencia_Optima'!$AB$40)*'06_Secuencia_Optima'!$H$40/480),6)))</f>
        <v>0</v>
      </c>
      <c r="AY21" s="51">
        <f>IF('07_Calendario'!$E$52=0,"",INT(ROUND(MIN('06_Secuencia_Optima'!$G$40,MAX(0,'07_Calendario'!$H$52-'06_Secuencia_Optima'!$L$40-'06_Secuencia_Optima'!$AB$40)*'06_Secuencia_Optima'!$H$40/480),6))-INT(ROUND(MIN('06_Secuencia_Optima'!$G$40,MAX(0,'07_Calendario'!$G$52-'06_Secuencia_Optima'!$L$40-'06_Secuencia_Optima'!$AB$40)*'06_Secuencia_Optima'!$H$40/480),6)))</f>
        <v>0</v>
      </c>
      <c r="AZ21" s="51">
        <f>IF('07_Calendario'!$E$53=0,"",INT(ROUND(MIN('06_Secuencia_Optima'!$G$40,MAX(0,'07_Calendario'!$H$53-'06_Secuencia_Optima'!$L$40-'06_Secuencia_Optima'!$AB$40)*'06_Secuencia_Optima'!$H$40/480),6))-INT(ROUND(MIN('06_Secuencia_Optima'!$G$40,MAX(0,'07_Calendario'!$G$53-'06_Secuencia_Optima'!$L$40-'06_Secuencia_Optima'!$AB$40)*'06_Secuencia_Optima'!$H$40/480),6)))</f>
        <v>0</v>
      </c>
      <c r="BA21" s="51">
        <f>IF('07_Calendario'!$E$54=0,"",INT(ROUND(MIN('06_Secuencia_Optima'!$G$40,MAX(0,'07_Calendario'!$H$54-'06_Secuencia_Optima'!$L$40-'06_Secuencia_Optima'!$AB$40)*'06_Secuencia_Optima'!$H$40/480),6))-INT(ROUND(MIN('06_Secuencia_Optima'!$G$40,MAX(0,'07_Calendario'!$G$54-'06_Secuencia_Optima'!$L$40-'06_Secuencia_Optima'!$AB$40)*'06_Secuencia_Optima'!$H$40/480),6)))</f>
        <v>0</v>
      </c>
      <c r="BB21" s="51" t="str">
        <f>IF('07_Calendario'!$E$55=0,"",INT(ROUND(MIN('06_Secuencia_Optima'!$G$40,MAX(0,'07_Calendario'!$H$55-'06_Secuencia_Optima'!$L$40-'06_Secuencia_Optima'!$AB$40)*'06_Secuencia_Optima'!$H$40/480),6))-INT(ROUND(MIN('06_Secuencia_Optima'!$G$40,MAX(0,'07_Calendario'!$G$55-'06_Secuencia_Optima'!$L$40-'06_Secuencia_Optima'!$AB$40)*'06_Secuencia_Optima'!$H$40/480),6)))</f>
        <v/>
      </c>
      <c r="BC21" s="51">
        <f>IF('07_Calendario'!$E$56=0,"",INT(ROUND(MIN('06_Secuencia_Optima'!$G$40,MAX(0,'07_Calendario'!$H$56-'06_Secuencia_Optima'!$L$40-'06_Secuencia_Optima'!$AB$40)*'06_Secuencia_Optima'!$H$40/480),6))-INT(ROUND(MIN('06_Secuencia_Optima'!$G$40,MAX(0,'07_Calendario'!$G$56-'06_Secuencia_Optima'!$L$40-'06_Secuencia_Optima'!$AB$40)*'06_Secuencia_Optima'!$H$40/480),6)))</f>
        <v>0</v>
      </c>
      <c r="BD21" s="51">
        <f>IF('07_Calendario'!$E$57=0,"",INT(ROUND(MIN('06_Secuencia_Optima'!$G$40,MAX(0,'07_Calendario'!$H$57-'06_Secuencia_Optima'!$L$40-'06_Secuencia_Optima'!$AB$40)*'06_Secuencia_Optima'!$H$40/480),6))-INT(ROUND(MIN('06_Secuencia_Optima'!$G$40,MAX(0,'07_Calendario'!$G$57-'06_Secuencia_Optima'!$L$40-'06_Secuencia_Optima'!$AB$40)*'06_Secuencia_Optima'!$H$40/480),6)))</f>
        <v>0</v>
      </c>
      <c r="BE21" s="51">
        <f>IF('07_Calendario'!$E$58=0,"",INT(ROUND(MIN('06_Secuencia_Optima'!$G$40,MAX(0,'07_Calendario'!$H$58-'06_Secuencia_Optima'!$L$40-'06_Secuencia_Optima'!$AB$40)*'06_Secuencia_Optima'!$H$40/480),6))-INT(ROUND(MIN('06_Secuencia_Optima'!$G$40,MAX(0,'07_Calendario'!$G$58-'06_Secuencia_Optima'!$L$40-'06_Secuencia_Optima'!$AB$40)*'06_Secuencia_Optima'!$H$40/480),6)))</f>
        <v>0</v>
      </c>
      <c r="BF21" s="51">
        <f>IF('07_Calendario'!$E$59=0,"",INT(ROUND(MIN('06_Secuencia_Optima'!$G$40,MAX(0,'07_Calendario'!$H$59-'06_Secuencia_Optima'!$L$40-'06_Secuencia_Optima'!$AB$40)*'06_Secuencia_Optima'!$H$40/480),6))-INT(ROUND(MIN('06_Secuencia_Optima'!$G$40,MAX(0,'07_Calendario'!$G$59-'06_Secuencia_Optima'!$L$40-'06_Secuencia_Optima'!$AB$40)*'06_Secuencia_Optima'!$H$40/480),6)))</f>
        <v>0</v>
      </c>
      <c r="BG21" s="51">
        <f>IF('07_Calendario'!$E$60=0,"",INT(ROUND(MIN('06_Secuencia_Optima'!$G$40,MAX(0,'07_Calendario'!$H$60-'06_Secuencia_Optima'!$L$40-'06_Secuencia_Optima'!$AB$40)*'06_Secuencia_Optima'!$H$40/480),6))-INT(ROUND(MIN('06_Secuencia_Optima'!$G$40,MAX(0,'07_Calendario'!$G$60-'06_Secuencia_Optima'!$L$40-'06_Secuencia_Optima'!$AB$40)*'06_Secuencia_Optima'!$H$40/480),6)))</f>
        <v>0</v>
      </c>
      <c r="BH21" s="51">
        <f>IF('07_Calendario'!$E$61=0,"",INT(ROUND(MIN('06_Secuencia_Optima'!$G$40,MAX(0,'07_Calendario'!$H$61-'06_Secuencia_Optima'!$L$40-'06_Secuencia_Optima'!$AB$40)*'06_Secuencia_Optima'!$H$40/480),6))-INT(ROUND(MIN('06_Secuencia_Optima'!$G$40,MAX(0,'07_Calendario'!$G$61-'06_Secuencia_Optima'!$L$40-'06_Secuencia_Optima'!$AB$40)*'06_Secuencia_Optima'!$H$40/480),6)))</f>
        <v>0</v>
      </c>
      <c r="BI21" s="51">
        <f>IF('07_Calendario'!$E$62=0,"",INT(ROUND(MIN('06_Secuencia_Optima'!$G$40,MAX(0,'07_Calendario'!$H$62-'06_Secuencia_Optima'!$L$40-'06_Secuencia_Optima'!$AB$40)*'06_Secuencia_Optima'!$H$40/480),6))-INT(ROUND(MIN('06_Secuencia_Optima'!$G$40,MAX(0,'07_Calendario'!$G$62-'06_Secuencia_Optima'!$L$40-'06_Secuencia_Optima'!$AB$40)*'06_Secuencia_Optima'!$H$40/480),6)))</f>
        <v>0</v>
      </c>
      <c r="BJ21" s="51">
        <f>IF('07_Calendario'!$E$63=0,"",INT(ROUND(MIN('06_Secuencia_Optima'!$G$40,MAX(0,'07_Calendario'!$H$63-'06_Secuencia_Optima'!$L$40-'06_Secuencia_Optima'!$AB$40)*'06_Secuencia_Optima'!$H$40/480),6))-INT(ROUND(MIN('06_Secuencia_Optima'!$G$40,MAX(0,'07_Calendario'!$G$63-'06_Secuencia_Optima'!$L$40-'06_Secuencia_Optima'!$AB$40)*'06_Secuencia_Optima'!$H$40/480),6)))</f>
        <v>0</v>
      </c>
      <c r="BK21" s="51">
        <f>IF('07_Calendario'!$E$64=0,"",INT(ROUND(MIN('06_Secuencia_Optima'!$G$40,MAX(0,'07_Calendario'!$H$64-'06_Secuencia_Optima'!$L$40-'06_Secuencia_Optima'!$AB$40)*'06_Secuencia_Optima'!$H$40/480),6))-INT(ROUND(MIN('06_Secuencia_Optima'!$G$40,MAX(0,'07_Calendario'!$G$64-'06_Secuencia_Optima'!$L$40-'06_Secuencia_Optima'!$AB$40)*'06_Secuencia_Optima'!$H$40/480),6)))</f>
        <v>0</v>
      </c>
      <c r="BL21" s="51">
        <f>IF('07_Calendario'!$E$65=0,"",INT(ROUND(MIN('06_Secuencia_Optima'!$G$40,MAX(0,'07_Calendario'!$H$65-'06_Secuencia_Optima'!$L$40-'06_Secuencia_Optima'!$AB$40)*'06_Secuencia_Optima'!$H$40/480),6))-INT(ROUND(MIN('06_Secuencia_Optima'!$G$40,MAX(0,'07_Calendario'!$G$65-'06_Secuencia_Optima'!$L$40-'06_Secuencia_Optima'!$AB$40)*'06_Secuencia_Optima'!$H$40/480),6)))</f>
        <v>0</v>
      </c>
      <c r="BM21" s="51">
        <f>IF('07_Calendario'!$E$66=0,"",INT(ROUND(MIN('06_Secuencia_Optima'!$G$40,MAX(0,'07_Calendario'!$H$66-'06_Secuencia_Optima'!$L$40-'06_Secuencia_Optima'!$AB$40)*'06_Secuencia_Optima'!$H$40/480),6))-INT(ROUND(MIN('06_Secuencia_Optima'!$G$40,MAX(0,'07_Calendario'!$G$66-'06_Secuencia_Optima'!$L$40-'06_Secuencia_Optima'!$AB$40)*'06_Secuencia_Optima'!$H$40/480),6)))</f>
        <v>0</v>
      </c>
      <c r="BN21" s="51">
        <f>IF('07_Calendario'!$E$67=0,"",INT(ROUND(MIN('06_Secuencia_Optima'!$G$40,MAX(0,'07_Calendario'!$H$67-'06_Secuencia_Optima'!$L$40-'06_Secuencia_Optima'!$AB$40)*'06_Secuencia_Optima'!$H$40/480),6))-INT(ROUND(MIN('06_Secuencia_Optima'!$G$40,MAX(0,'07_Calendario'!$G$67-'06_Secuencia_Optima'!$L$40-'06_Secuencia_Optima'!$AB$40)*'06_Secuencia_Optima'!$H$40/480),6)))</f>
        <v>0</v>
      </c>
      <c r="BO21" s="51">
        <f>IF('07_Calendario'!$E$68=0,"",INT(ROUND(MIN('06_Secuencia_Optima'!$G$40,MAX(0,'07_Calendario'!$H$68-'06_Secuencia_Optima'!$L$40-'06_Secuencia_Optima'!$AB$40)*'06_Secuencia_Optima'!$H$40/480),6))-INT(ROUND(MIN('06_Secuencia_Optima'!$G$40,MAX(0,'07_Calendario'!$G$68-'06_Secuencia_Optima'!$L$40-'06_Secuencia_Optima'!$AB$40)*'06_Secuencia_Optima'!$H$40/480),6)))</f>
        <v>0</v>
      </c>
      <c r="BP21" s="51">
        <f>IF('07_Calendario'!$E$69=0,"",INT(ROUND(MIN('06_Secuencia_Optima'!$G$40,MAX(0,'07_Calendario'!$H$69-'06_Secuencia_Optima'!$L$40-'06_Secuencia_Optima'!$AB$40)*'06_Secuencia_Optima'!$H$40/480),6))-INT(ROUND(MIN('06_Secuencia_Optima'!$G$40,MAX(0,'07_Calendario'!$G$69-'06_Secuencia_Optima'!$L$40-'06_Secuencia_Optima'!$AB$40)*'06_Secuencia_Optima'!$H$40/480),6)))</f>
        <v>0</v>
      </c>
      <c r="BQ21" s="51">
        <f>IF('07_Calendario'!$E$70=0,"",INT(ROUND(MIN('06_Secuencia_Optima'!$G$40,MAX(0,'07_Calendario'!$H$70-'06_Secuencia_Optima'!$L$40-'06_Secuencia_Optima'!$AB$40)*'06_Secuencia_Optima'!$H$40/480),6))-INT(ROUND(MIN('06_Secuencia_Optima'!$G$40,MAX(0,'07_Calendario'!$G$70-'06_Secuencia_Optima'!$L$40-'06_Secuencia_Optima'!$AB$40)*'06_Secuencia_Optima'!$H$40/480),6)))</f>
        <v>0</v>
      </c>
      <c r="BR21" s="51">
        <f>IF('07_Calendario'!$E$71=0,"",INT(ROUND(MIN('06_Secuencia_Optima'!$G$40,MAX(0,'07_Calendario'!$H$71-'06_Secuencia_Optima'!$L$40-'06_Secuencia_Optima'!$AB$40)*'06_Secuencia_Optima'!$H$40/480),6))-INT(ROUND(MIN('06_Secuencia_Optima'!$G$40,MAX(0,'07_Calendario'!$G$71-'06_Secuencia_Optima'!$L$40-'06_Secuencia_Optima'!$AB$40)*'06_Secuencia_Optima'!$H$40/480),6)))</f>
        <v>0</v>
      </c>
      <c r="BS21" s="51">
        <f>IF('07_Calendario'!$E$72=0,"",INT(ROUND(MIN('06_Secuencia_Optima'!$G$40,MAX(0,'07_Calendario'!$H$72-'06_Secuencia_Optima'!$L$40-'06_Secuencia_Optima'!$AB$40)*'06_Secuencia_Optima'!$H$40/480),6))-INT(ROUND(MIN('06_Secuencia_Optima'!$G$40,MAX(0,'07_Calendario'!$G$72-'06_Secuencia_Optima'!$L$40-'06_Secuencia_Optima'!$AB$40)*'06_Secuencia_Optima'!$H$40/480),6)))</f>
        <v>0</v>
      </c>
      <c r="BT21" s="51" t="str">
        <f>IF('07_Calendario'!$E$73=0,"",INT(ROUND(MIN('06_Secuencia_Optima'!$G$40,MAX(0,'07_Calendario'!$H$73-'06_Secuencia_Optima'!$L$40-'06_Secuencia_Optima'!$AB$40)*'06_Secuencia_Optima'!$H$40/480),6))-INT(ROUND(MIN('06_Secuencia_Optima'!$G$40,MAX(0,'07_Calendario'!$G$73-'06_Secuencia_Optima'!$L$40-'06_Secuencia_Optima'!$AB$40)*'06_Secuencia_Optima'!$H$40/480),6)))</f>
        <v/>
      </c>
      <c r="BU21" s="51">
        <f>IF('07_Calendario'!$E$74=0,"",INT(ROUND(MIN('06_Secuencia_Optima'!$G$40,MAX(0,'07_Calendario'!$H$74-'06_Secuencia_Optima'!$L$40-'06_Secuencia_Optima'!$AB$40)*'06_Secuencia_Optima'!$H$40/480),6))-INT(ROUND(MIN('06_Secuencia_Optima'!$G$40,MAX(0,'07_Calendario'!$G$74-'06_Secuencia_Optima'!$L$40-'06_Secuencia_Optima'!$AB$40)*'06_Secuencia_Optima'!$H$40/480),6)))</f>
        <v>0</v>
      </c>
      <c r="BV21" s="51">
        <f>IF('07_Calendario'!$E$75=0,"",INT(ROUND(MIN('06_Secuencia_Optima'!$G$40,MAX(0,'07_Calendario'!$H$75-'06_Secuencia_Optima'!$L$40-'06_Secuencia_Optima'!$AB$40)*'06_Secuencia_Optima'!$H$40/480),6))-INT(ROUND(MIN('06_Secuencia_Optima'!$G$40,MAX(0,'07_Calendario'!$G$75-'06_Secuencia_Optima'!$L$40-'06_Secuencia_Optima'!$AB$40)*'06_Secuencia_Optima'!$H$40/480),6)))</f>
        <v>0</v>
      </c>
      <c r="BW21" s="51">
        <f>IF('07_Calendario'!$E$76=0,"",INT(ROUND(MIN('06_Secuencia_Optima'!$G$40,MAX(0,'07_Calendario'!$H$76-'06_Secuencia_Optima'!$L$40-'06_Secuencia_Optima'!$AB$40)*'06_Secuencia_Optima'!$H$40/480),6))-INT(ROUND(MIN('06_Secuencia_Optima'!$G$40,MAX(0,'07_Calendario'!$G$76-'06_Secuencia_Optima'!$L$40-'06_Secuencia_Optima'!$AB$40)*'06_Secuencia_Optima'!$H$40/480),6)))</f>
        <v>0</v>
      </c>
      <c r="BX21" s="51">
        <f>IF('07_Calendario'!$E$77=0,"",INT(ROUND(MIN('06_Secuencia_Optima'!$G$40,MAX(0,'07_Calendario'!$H$77-'06_Secuencia_Optima'!$L$40-'06_Secuencia_Optima'!$AB$40)*'06_Secuencia_Optima'!$H$40/480),6))-INT(ROUND(MIN('06_Secuencia_Optima'!$G$40,MAX(0,'07_Calendario'!$G$77-'06_Secuencia_Optima'!$L$40-'06_Secuencia_Optima'!$AB$40)*'06_Secuencia_Optima'!$H$40/480),6)))</f>
        <v>0</v>
      </c>
      <c r="BY21" s="51">
        <f>IF('07_Calendario'!$E$78=0,"",INT(ROUND(MIN('06_Secuencia_Optima'!$G$40,MAX(0,'07_Calendario'!$H$78-'06_Secuencia_Optima'!$L$40-'06_Secuencia_Optima'!$AB$40)*'06_Secuencia_Optima'!$H$40/480),6))-INT(ROUND(MIN('06_Secuencia_Optima'!$G$40,MAX(0,'07_Calendario'!$G$78-'06_Secuencia_Optima'!$L$40-'06_Secuencia_Optima'!$AB$40)*'06_Secuencia_Optima'!$H$40/480),6)))</f>
        <v>0</v>
      </c>
      <c r="BZ21" s="51">
        <f>IF('07_Calendario'!$E$79=0,"",INT(ROUND(MIN('06_Secuencia_Optima'!$G$40,MAX(0,'07_Calendario'!$H$79-'06_Secuencia_Optima'!$L$40-'06_Secuencia_Optima'!$AB$40)*'06_Secuencia_Optima'!$H$40/480),6))-INT(ROUND(MIN('06_Secuencia_Optima'!$G$40,MAX(0,'07_Calendario'!$G$79-'06_Secuencia_Optima'!$L$40-'06_Secuencia_Optima'!$AB$40)*'06_Secuencia_Optima'!$H$40/480),6)))</f>
        <v>0</v>
      </c>
      <c r="CA21" s="51">
        <f>IF('07_Calendario'!$E$80=0,"",INT(ROUND(MIN('06_Secuencia_Optima'!$G$40,MAX(0,'07_Calendario'!$H$80-'06_Secuencia_Optima'!$L$40-'06_Secuencia_Optima'!$AB$40)*'06_Secuencia_Optima'!$H$40/480),6))-INT(ROUND(MIN('06_Secuencia_Optima'!$G$40,MAX(0,'07_Calendario'!$G$80-'06_Secuencia_Optima'!$L$40-'06_Secuencia_Optima'!$AB$40)*'06_Secuencia_Optima'!$H$40/480),6)))</f>
        <v>0</v>
      </c>
      <c r="CB21" s="51">
        <f>IF('07_Calendario'!$E$81=0,"",INT(ROUND(MIN('06_Secuencia_Optima'!$G$40,MAX(0,'07_Calendario'!$H$81-'06_Secuencia_Optima'!$L$40-'06_Secuencia_Optima'!$AB$40)*'06_Secuencia_Optima'!$H$40/480),6))-INT(ROUND(MIN('06_Secuencia_Optima'!$G$40,MAX(0,'07_Calendario'!$G$81-'06_Secuencia_Optima'!$L$40-'06_Secuencia_Optima'!$AB$40)*'06_Secuencia_Optima'!$H$40/480),6)))</f>
        <v>0</v>
      </c>
      <c r="CC21" s="51">
        <f>IF('07_Calendario'!$E$82=0,"",INT(ROUND(MIN('06_Secuencia_Optima'!$G$40,MAX(0,'07_Calendario'!$H$82-'06_Secuencia_Optima'!$L$40-'06_Secuencia_Optima'!$AB$40)*'06_Secuencia_Optima'!$H$40/480),6))-INT(ROUND(MIN('06_Secuencia_Optima'!$G$40,MAX(0,'07_Calendario'!$G$82-'06_Secuencia_Optima'!$L$40-'06_Secuencia_Optima'!$AB$40)*'06_Secuencia_Optima'!$H$40/480),6)))</f>
        <v>0</v>
      </c>
      <c r="CD21" s="18">
        <f t="shared" si="0"/>
        <v>3600</v>
      </c>
      <c r="CE21" s="19">
        <f>'06_Secuencia_Optima'!$G$40</f>
        <v>3600</v>
      </c>
      <c r="CF21" s="10" t="str">
        <f t="shared" si="1"/>
        <v>OK</v>
      </c>
    </row>
    <row r="22" spans="1:84" x14ac:dyDescent="0.2">
      <c r="A22" s="10">
        <f>'06_Secuencia_Optima'!$B$41</f>
        <v>3925</v>
      </c>
      <c r="B22" s="13" t="str">
        <f>'06_Secuencia_Optima'!$C$41</f>
        <v>MOSTANEZA AJO (12DP/1/380g)</v>
      </c>
      <c r="C22" s="14">
        <f>'06_Secuencia_Optima'!$D$41</f>
        <v>3757</v>
      </c>
      <c r="D22" s="51">
        <f>IF('07_Calendario'!$E$5=0,"",INT(ROUND(MIN('06_Secuencia_Optima'!$G$41,MAX(0,'07_Calendario'!$H$5-'06_Secuencia_Optima'!$L$41-'06_Secuencia_Optima'!$AB$41)*'06_Secuencia_Optima'!$H$41/480),6))-INT(ROUND(MIN('06_Secuencia_Optima'!$G$41,MAX(0,'07_Calendario'!$G$5-'06_Secuencia_Optima'!$L$41-'06_Secuencia_Optima'!$AB$41)*'06_Secuencia_Optima'!$H$41/480),6)))</f>
        <v>1819</v>
      </c>
      <c r="E22" s="51">
        <f>IF('07_Calendario'!$E$6=0,"",INT(ROUND(MIN('06_Secuencia_Optima'!$G$41,MAX(0,'07_Calendario'!$H$6-'06_Secuencia_Optima'!$L$41-'06_Secuencia_Optima'!$AB$41)*'06_Secuencia_Optima'!$H$41/480),6))-INT(ROUND(MIN('06_Secuencia_Optima'!$G$41,MAX(0,'07_Calendario'!$G$6-'06_Secuencia_Optima'!$L$41-'06_Secuencia_Optima'!$AB$41)*'06_Secuencia_Optima'!$H$41/480),6)))</f>
        <v>0</v>
      </c>
      <c r="F22" s="51">
        <f>IF('07_Calendario'!$E$7=0,"",INT(ROUND(MIN('06_Secuencia_Optima'!$G$41,MAX(0,'07_Calendario'!$H$7-'06_Secuencia_Optima'!$L$41-'06_Secuencia_Optima'!$AB$41)*'06_Secuencia_Optima'!$H$41/480),6))-INT(ROUND(MIN('06_Secuencia_Optima'!$G$41,MAX(0,'07_Calendario'!$G$7-'06_Secuencia_Optima'!$L$41-'06_Secuencia_Optima'!$AB$41)*'06_Secuencia_Optima'!$H$41/480),6)))</f>
        <v>0</v>
      </c>
      <c r="G22" s="51">
        <f>IF('07_Calendario'!$E$8=0,"",INT(ROUND(MIN('06_Secuencia_Optima'!$G$41,MAX(0,'07_Calendario'!$H$8-'06_Secuencia_Optima'!$L$41-'06_Secuencia_Optima'!$AB$41)*'06_Secuencia_Optima'!$H$41/480),6))-INT(ROUND(MIN('06_Secuencia_Optima'!$G$41,MAX(0,'07_Calendario'!$G$8-'06_Secuencia_Optima'!$L$41-'06_Secuencia_Optima'!$AB$41)*'06_Secuencia_Optima'!$H$41/480),6)))</f>
        <v>0</v>
      </c>
      <c r="H22" s="51">
        <f>IF('07_Calendario'!$E$9=0,"",INT(ROUND(MIN('06_Secuencia_Optima'!$G$41,MAX(0,'07_Calendario'!$H$9-'06_Secuencia_Optima'!$L$41-'06_Secuencia_Optima'!$AB$41)*'06_Secuencia_Optima'!$H$41/480),6))-INT(ROUND(MIN('06_Secuencia_Optima'!$G$41,MAX(0,'07_Calendario'!$G$9-'06_Secuencia_Optima'!$L$41-'06_Secuencia_Optima'!$AB$41)*'06_Secuencia_Optima'!$H$41/480),6)))</f>
        <v>0</v>
      </c>
      <c r="I22" s="51">
        <f>IF('07_Calendario'!$E$10=0,"",INT(ROUND(MIN('06_Secuencia_Optima'!$G$41,MAX(0,'07_Calendario'!$H$10-'06_Secuencia_Optima'!$L$41-'06_Secuencia_Optima'!$AB$41)*'06_Secuencia_Optima'!$H$41/480),6))-INT(ROUND(MIN('06_Secuencia_Optima'!$G$41,MAX(0,'07_Calendario'!$G$10-'06_Secuencia_Optima'!$L$41-'06_Secuencia_Optima'!$AB$41)*'06_Secuencia_Optima'!$H$41/480),6)))</f>
        <v>0</v>
      </c>
      <c r="J22" s="51">
        <f>IF('07_Calendario'!$E$11=0,"",INT(ROUND(MIN('06_Secuencia_Optima'!$G$41,MAX(0,'07_Calendario'!$H$11-'06_Secuencia_Optima'!$L$41-'06_Secuencia_Optima'!$AB$41)*'06_Secuencia_Optima'!$H$41/480),6))-INT(ROUND(MIN('06_Secuencia_Optima'!$G$41,MAX(0,'07_Calendario'!$G$11-'06_Secuencia_Optima'!$L$41-'06_Secuencia_Optima'!$AB$41)*'06_Secuencia_Optima'!$H$41/480),6)))</f>
        <v>0</v>
      </c>
      <c r="K22" s="51">
        <f>IF('07_Calendario'!$E$12=0,"",INT(ROUND(MIN('06_Secuencia_Optima'!$G$41,MAX(0,'07_Calendario'!$H$12-'06_Secuencia_Optima'!$L$41-'06_Secuencia_Optima'!$AB$41)*'06_Secuencia_Optima'!$H$41/480),6))-INT(ROUND(MIN('06_Secuencia_Optima'!$G$41,MAX(0,'07_Calendario'!$G$12-'06_Secuencia_Optima'!$L$41-'06_Secuencia_Optima'!$AB$41)*'06_Secuencia_Optima'!$H$41/480),6)))</f>
        <v>0</v>
      </c>
      <c r="L22" s="51">
        <f>IF('07_Calendario'!$E$13=0,"",INT(ROUND(MIN('06_Secuencia_Optima'!$G$41,MAX(0,'07_Calendario'!$H$13-'06_Secuencia_Optima'!$L$41-'06_Secuencia_Optima'!$AB$41)*'06_Secuencia_Optima'!$H$41/480),6))-INT(ROUND(MIN('06_Secuencia_Optima'!$G$41,MAX(0,'07_Calendario'!$G$13-'06_Secuencia_Optima'!$L$41-'06_Secuencia_Optima'!$AB$41)*'06_Secuencia_Optima'!$H$41/480),6)))</f>
        <v>0</v>
      </c>
      <c r="M22" s="51">
        <f>IF('07_Calendario'!$E$14=0,"",INT(ROUND(MIN('06_Secuencia_Optima'!$G$41,MAX(0,'07_Calendario'!$H$14-'06_Secuencia_Optima'!$L$41-'06_Secuencia_Optima'!$AB$41)*'06_Secuencia_Optima'!$H$41/480),6))-INT(ROUND(MIN('06_Secuencia_Optima'!$G$41,MAX(0,'07_Calendario'!$G$14-'06_Secuencia_Optima'!$L$41-'06_Secuencia_Optima'!$AB$41)*'06_Secuencia_Optima'!$H$41/480),6)))</f>
        <v>0</v>
      </c>
      <c r="N22" s="51">
        <f>IF('07_Calendario'!$E$15=0,"",INT(ROUND(MIN('06_Secuencia_Optima'!$G$41,MAX(0,'07_Calendario'!$H$15-'06_Secuencia_Optima'!$L$41-'06_Secuencia_Optima'!$AB$41)*'06_Secuencia_Optima'!$H$41/480),6))-INT(ROUND(MIN('06_Secuencia_Optima'!$G$41,MAX(0,'07_Calendario'!$G$15-'06_Secuencia_Optima'!$L$41-'06_Secuencia_Optima'!$AB$41)*'06_Secuencia_Optima'!$H$41/480),6)))</f>
        <v>0</v>
      </c>
      <c r="O22" s="51">
        <f>IF('07_Calendario'!$E$16=0,"",INT(ROUND(MIN('06_Secuencia_Optima'!$G$41,MAX(0,'07_Calendario'!$H$16-'06_Secuencia_Optima'!$L$41-'06_Secuencia_Optima'!$AB$41)*'06_Secuencia_Optima'!$H$41/480),6))-INT(ROUND(MIN('06_Secuencia_Optima'!$G$41,MAX(0,'07_Calendario'!$G$16-'06_Secuencia_Optima'!$L$41-'06_Secuencia_Optima'!$AB$41)*'06_Secuencia_Optima'!$H$41/480),6)))</f>
        <v>0</v>
      </c>
      <c r="P22" s="51">
        <f>IF('07_Calendario'!$E$17=0,"",INT(ROUND(MIN('06_Secuencia_Optima'!$G$41,MAX(0,'07_Calendario'!$H$17-'06_Secuencia_Optima'!$L$41-'06_Secuencia_Optima'!$AB$41)*'06_Secuencia_Optima'!$H$41/480),6))-INT(ROUND(MIN('06_Secuencia_Optima'!$G$41,MAX(0,'07_Calendario'!$G$17-'06_Secuencia_Optima'!$L$41-'06_Secuencia_Optima'!$AB$41)*'06_Secuencia_Optima'!$H$41/480),6)))</f>
        <v>0</v>
      </c>
      <c r="Q22" s="51">
        <f>IF('07_Calendario'!$E$18=0,"",INT(ROUND(MIN('06_Secuencia_Optima'!$G$41,MAX(0,'07_Calendario'!$H$18-'06_Secuencia_Optima'!$L$41-'06_Secuencia_Optima'!$AB$41)*'06_Secuencia_Optima'!$H$41/480),6))-INT(ROUND(MIN('06_Secuencia_Optima'!$G$41,MAX(0,'07_Calendario'!$G$18-'06_Secuencia_Optima'!$L$41-'06_Secuencia_Optima'!$AB$41)*'06_Secuencia_Optima'!$H$41/480),6)))</f>
        <v>0</v>
      </c>
      <c r="R22" s="51" t="str">
        <f>IF('07_Calendario'!$E$19=0,"",INT(ROUND(MIN('06_Secuencia_Optima'!$G$41,MAX(0,'07_Calendario'!$H$19-'06_Secuencia_Optima'!$L$41-'06_Secuencia_Optima'!$AB$41)*'06_Secuencia_Optima'!$H$41/480),6))-INT(ROUND(MIN('06_Secuencia_Optima'!$G$41,MAX(0,'07_Calendario'!$G$19-'06_Secuencia_Optima'!$L$41-'06_Secuencia_Optima'!$AB$41)*'06_Secuencia_Optima'!$H$41/480),6)))</f>
        <v/>
      </c>
      <c r="S22" s="51">
        <f>IF('07_Calendario'!$E$20=0,"",INT(ROUND(MIN('06_Secuencia_Optima'!$G$41,MAX(0,'07_Calendario'!$H$20-'06_Secuencia_Optima'!$L$41-'06_Secuencia_Optima'!$AB$41)*'06_Secuencia_Optima'!$H$41/480),6))-INT(ROUND(MIN('06_Secuencia_Optima'!$G$41,MAX(0,'07_Calendario'!$G$20-'06_Secuencia_Optima'!$L$41-'06_Secuencia_Optima'!$AB$41)*'06_Secuencia_Optima'!$H$41/480),6)))</f>
        <v>0</v>
      </c>
      <c r="T22" s="51">
        <f>IF('07_Calendario'!$E$21=0,"",INT(ROUND(MIN('06_Secuencia_Optima'!$G$41,MAX(0,'07_Calendario'!$H$21-'06_Secuencia_Optima'!$L$41-'06_Secuencia_Optima'!$AB$41)*'06_Secuencia_Optima'!$H$41/480),6))-INT(ROUND(MIN('06_Secuencia_Optima'!$G$41,MAX(0,'07_Calendario'!$G$21-'06_Secuencia_Optima'!$L$41-'06_Secuencia_Optima'!$AB$41)*'06_Secuencia_Optima'!$H$41/480),6)))</f>
        <v>0</v>
      </c>
      <c r="U22" s="51">
        <f>IF('07_Calendario'!$E$22=0,"",INT(ROUND(MIN('06_Secuencia_Optima'!$G$41,MAX(0,'07_Calendario'!$H$22-'06_Secuencia_Optima'!$L$41-'06_Secuencia_Optima'!$AB$41)*'06_Secuencia_Optima'!$H$41/480),6))-INT(ROUND(MIN('06_Secuencia_Optima'!$G$41,MAX(0,'07_Calendario'!$G$22-'06_Secuencia_Optima'!$L$41-'06_Secuencia_Optima'!$AB$41)*'06_Secuencia_Optima'!$H$41/480),6)))</f>
        <v>0</v>
      </c>
      <c r="V22" s="51">
        <f>IF('07_Calendario'!$E$23=0,"",INT(ROUND(MIN('06_Secuencia_Optima'!$G$41,MAX(0,'07_Calendario'!$H$23-'06_Secuencia_Optima'!$L$41-'06_Secuencia_Optima'!$AB$41)*'06_Secuencia_Optima'!$H$41/480),6))-INT(ROUND(MIN('06_Secuencia_Optima'!$G$41,MAX(0,'07_Calendario'!$G$23-'06_Secuencia_Optima'!$L$41-'06_Secuencia_Optima'!$AB$41)*'06_Secuencia_Optima'!$H$41/480),6)))</f>
        <v>0</v>
      </c>
      <c r="W22" s="51">
        <f>IF('07_Calendario'!$E$24=0,"",INT(ROUND(MIN('06_Secuencia_Optima'!$G$41,MAX(0,'07_Calendario'!$H$24-'06_Secuencia_Optima'!$L$41-'06_Secuencia_Optima'!$AB$41)*'06_Secuencia_Optima'!$H$41/480),6))-INT(ROUND(MIN('06_Secuencia_Optima'!$G$41,MAX(0,'07_Calendario'!$G$24-'06_Secuencia_Optima'!$L$41-'06_Secuencia_Optima'!$AB$41)*'06_Secuencia_Optima'!$H$41/480),6)))</f>
        <v>0</v>
      </c>
      <c r="X22" s="51">
        <f>IF('07_Calendario'!$E$25=0,"",INT(ROUND(MIN('06_Secuencia_Optima'!$G$41,MAX(0,'07_Calendario'!$H$25-'06_Secuencia_Optima'!$L$41-'06_Secuencia_Optima'!$AB$41)*'06_Secuencia_Optima'!$H$41/480),6))-INT(ROUND(MIN('06_Secuencia_Optima'!$G$41,MAX(0,'07_Calendario'!$G$25-'06_Secuencia_Optima'!$L$41-'06_Secuencia_Optima'!$AB$41)*'06_Secuencia_Optima'!$H$41/480),6)))</f>
        <v>0</v>
      </c>
      <c r="Y22" s="51">
        <f>IF('07_Calendario'!$E$26=0,"",INT(ROUND(MIN('06_Secuencia_Optima'!$G$41,MAX(0,'07_Calendario'!$H$26-'06_Secuencia_Optima'!$L$41-'06_Secuencia_Optima'!$AB$41)*'06_Secuencia_Optima'!$H$41/480),6))-INT(ROUND(MIN('06_Secuencia_Optima'!$G$41,MAX(0,'07_Calendario'!$G$26-'06_Secuencia_Optima'!$L$41-'06_Secuencia_Optima'!$AB$41)*'06_Secuencia_Optima'!$H$41/480),6)))</f>
        <v>0</v>
      </c>
      <c r="Z22" s="51">
        <f>IF('07_Calendario'!$E$27=0,"",INT(ROUND(MIN('06_Secuencia_Optima'!$G$41,MAX(0,'07_Calendario'!$H$27-'06_Secuencia_Optima'!$L$41-'06_Secuencia_Optima'!$AB$41)*'06_Secuencia_Optima'!$H$41/480),6))-INT(ROUND(MIN('06_Secuencia_Optima'!$G$41,MAX(0,'07_Calendario'!$G$27-'06_Secuencia_Optima'!$L$41-'06_Secuencia_Optima'!$AB$41)*'06_Secuencia_Optima'!$H$41/480),6)))</f>
        <v>0</v>
      </c>
      <c r="AA22" s="51">
        <f>IF('07_Calendario'!$E$28=0,"",INT(ROUND(MIN('06_Secuencia_Optima'!$G$41,MAX(0,'07_Calendario'!$H$28-'06_Secuencia_Optima'!$L$41-'06_Secuencia_Optima'!$AB$41)*'06_Secuencia_Optima'!$H$41/480),6))-INT(ROUND(MIN('06_Secuencia_Optima'!$G$41,MAX(0,'07_Calendario'!$G$28-'06_Secuencia_Optima'!$L$41-'06_Secuencia_Optima'!$AB$41)*'06_Secuencia_Optima'!$H$41/480),6)))</f>
        <v>0</v>
      </c>
      <c r="AB22" s="51">
        <f>IF('07_Calendario'!$E$29=0,"",INT(ROUND(MIN('06_Secuencia_Optima'!$G$41,MAX(0,'07_Calendario'!$H$29-'06_Secuencia_Optima'!$L$41-'06_Secuencia_Optima'!$AB$41)*'06_Secuencia_Optima'!$H$41/480),6))-INT(ROUND(MIN('06_Secuencia_Optima'!$G$41,MAX(0,'07_Calendario'!$G$29-'06_Secuencia_Optima'!$L$41-'06_Secuencia_Optima'!$AB$41)*'06_Secuencia_Optima'!$H$41/480),6)))</f>
        <v>0</v>
      </c>
      <c r="AC22" s="51">
        <f>IF('07_Calendario'!$E$30=0,"",INT(ROUND(MIN('06_Secuencia_Optima'!$G$41,MAX(0,'07_Calendario'!$H$30-'06_Secuencia_Optima'!$L$41-'06_Secuencia_Optima'!$AB$41)*'06_Secuencia_Optima'!$H$41/480),6))-INT(ROUND(MIN('06_Secuencia_Optima'!$G$41,MAX(0,'07_Calendario'!$G$30-'06_Secuencia_Optima'!$L$41-'06_Secuencia_Optima'!$AB$41)*'06_Secuencia_Optima'!$H$41/480),6)))</f>
        <v>0</v>
      </c>
      <c r="AD22" s="51">
        <f>IF('07_Calendario'!$E$31=0,"",INT(ROUND(MIN('06_Secuencia_Optima'!$G$41,MAX(0,'07_Calendario'!$H$31-'06_Secuencia_Optima'!$L$41-'06_Secuencia_Optima'!$AB$41)*'06_Secuencia_Optima'!$H$41/480),6))-INT(ROUND(MIN('06_Secuencia_Optima'!$G$41,MAX(0,'07_Calendario'!$G$31-'06_Secuencia_Optima'!$L$41-'06_Secuencia_Optima'!$AB$41)*'06_Secuencia_Optima'!$H$41/480),6)))</f>
        <v>0</v>
      </c>
      <c r="AE22" s="51">
        <f>IF('07_Calendario'!$E$32=0,"",INT(ROUND(MIN('06_Secuencia_Optima'!$G$41,MAX(0,'07_Calendario'!$H$32-'06_Secuencia_Optima'!$L$41-'06_Secuencia_Optima'!$AB$41)*'06_Secuencia_Optima'!$H$41/480),6))-INT(ROUND(MIN('06_Secuencia_Optima'!$G$41,MAX(0,'07_Calendario'!$G$32-'06_Secuencia_Optima'!$L$41-'06_Secuencia_Optima'!$AB$41)*'06_Secuencia_Optima'!$H$41/480),6)))</f>
        <v>0</v>
      </c>
      <c r="AF22" s="51">
        <f>IF('07_Calendario'!$E$33=0,"",INT(ROUND(MIN('06_Secuencia_Optima'!$G$41,MAX(0,'07_Calendario'!$H$33-'06_Secuencia_Optima'!$L$41-'06_Secuencia_Optima'!$AB$41)*'06_Secuencia_Optima'!$H$41/480),6))-INT(ROUND(MIN('06_Secuencia_Optima'!$G$41,MAX(0,'07_Calendario'!$G$33-'06_Secuencia_Optima'!$L$41-'06_Secuencia_Optima'!$AB$41)*'06_Secuencia_Optima'!$H$41/480),6)))</f>
        <v>0</v>
      </c>
      <c r="AG22" s="51">
        <f>IF('07_Calendario'!$E$34=0,"",INT(ROUND(MIN('06_Secuencia_Optima'!$G$41,MAX(0,'07_Calendario'!$H$34-'06_Secuencia_Optima'!$L$41-'06_Secuencia_Optima'!$AB$41)*'06_Secuencia_Optima'!$H$41/480),6))-INT(ROUND(MIN('06_Secuencia_Optima'!$G$41,MAX(0,'07_Calendario'!$G$34-'06_Secuencia_Optima'!$L$41-'06_Secuencia_Optima'!$AB$41)*'06_Secuencia_Optima'!$H$41/480),6)))</f>
        <v>0</v>
      </c>
      <c r="AH22" s="51">
        <f>IF('07_Calendario'!$E$35=0,"",INT(ROUND(MIN('06_Secuencia_Optima'!$G$41,MAX(0,'07_Calendario'!$H$35-'06_Secuencia_Optima'!$L$41-'06_Secuencia_Optima'!$AB$41)*'06_Secuencia_Optima'!$H$41/480),6))-INT(ROUND(MIN('06_Secuencia_Optima'!$G$41,MAX(0,'07_Calendario'!$G$35-'06_Secuencia_Optima'!$L$41-'06_Secuencia_Optima'!$AB$41)*'06_Secuencia_Optima'!$H$41/480),6)))</f>
        <v>0</v>
      </c>
      <c r="AI22" s="51">
        <f>IF('07_Calendario'!$E$36=0,"",INT(ROUND(MIN('06_Secuencia_Optima'!$G$41,MAX(0,'07_Calendario'!$H$36-'06_Secuencia_Optima'!$L$41-'06_Secuencia_Optima'!$AB$41)*'06_Secuencia_Optima'!$H$41/480),6))-INT(ROUND(MIN('06_Secuencia_Optima'!$G$41,MAX(0,'07_Calendario'!$G$36-'06_Secuencia_Optima'!$L$41-'06_Secuencia_Optima'!$AB$41)*'06_Secuencia_Optima'!$H$41/480),6)))</f>
        <v>0</v>
      </c>
      <c r="AJ22" s="51" t="str">
        <f>IF('07_Calendario'!$E$37=0,"",INT(ROUND(MIN('06_Secuencia_Optima'!$G$41,MAX(0,'07_Calendario'!$H$37-'06_Secuencia_Optima'!$L$41-'06_Secuencia_Optima'!$AB$41)*'06_Secuencia_Optima'!$H$41/480),6))-INT(ROUND(MIN('06_Secuencia_Optima'!$G$41,MAX(0,'07_Calendario'!$G$37-'06_Secuencia_Optima'!$L$41-'06_Secuencia_Optima'!$AB$41)*'06_Secuencia_Optima'!$H$41/480),6)))</f>
        <v/>
      </c>
      <c r="AK22" s="51">
        <f>IF('07_Calendario'!$E$38=0,"",INT(ROUND(MIN('06_Secuencia_Optima'!$G$41,MAX(0,'07_Calendario'!$H$38-'06_Secuencia_Optima'!$L$41-'06_Secuencia_Optima'!$AB$41)*'06_Secuencia_Optima'!$H$41/480),6))-INT(ROUND(MIN('06_Secuencia_Optima'!$G$41,MAX(0,'07_Calendario'!$G$38-'06_Secuencia_Optima'!$L$41-'06_Secuencia_Optima'!$AB$41)*'06_Secuencia_Optima'!$H$41/480),6)))</f>
        <v>0</v>
      </c>
      <c r="AL22" s="51">
        <f>IF('07_Calendario'!$E$39=0,"",INT(ROUND(MIN('06_Secuencia_Optima'!$G$41,MAX(0,'07_Calendario'!$H$39-'06_Secuencia_Optima'!$L$41-'06_Secuencia_Optima'!$AB$41)*'06_Secuencia_Optima'!$H$41/480),6))-INT(ROUND(MIN('06_Secuencia_Optima'!$G$41,MAX(0,'07_Calendario'!$G$39-'06_Secuencia_Optima'!$L$41-'06_Secuencia_Optima'!$AB$41)*'06_Secuencia_Optima'!$H$41/480),6)))</f>
        <v>0</v>
      </c>
      <c r="AM22" s="51">
        <f>IF('07_Calendario'!$E$40=0,"",INT(ROUND(MIN('06_Secuencia_Optima'!$G$41,MAX(0,'07_Calendario'!$H$40-'06_Secuencia_Optima'!$L$41-'06_Secuencia_Optima'!$AB$41)*'06_Secuencia_Optima'!$H$41/480),6))-INT(ROUND(MIN('06_Secuencia_Optima'!$G$41,MAX(0,'07_Calendario'!$G$40-'06_Secuencia_Optima'!$L$41-'06_Secuencia_Optima'!$AB$41)*'06_Secuencia_Optima'!$H$41/480),6)))</f>
        <v>0</v>
      </c>
      <c r="AN22" s="51">
        <f>IF('07_Calendario'!$E$41=0,"",INT(ROUND(MIN('06_Secuencia_Optima'!$G$41,MAX(0,'07_Calendario'!$H$41-'06_Secuencia_Optima'!$L$41-'06_Secuencia_Optima'!$AB$41)*'06_Secuencia_Optima'!$H$41/480),6))-INT(ROUND(MIN('06_Secuencia_Optima'!$G$41,MAX(0,'07_Calendario'!$G$41-'06_Secuencia_Optima'!$L$41-'06_Secuencia_Optima'!$AB$41)*'06_Secuencia_Optima'!$H$41/480),6)))</f>
        <v>0</v>
      </c>
      <c r="AO22" s="51">
        <f>IF('07_Calendario'!$E$42=0,"",INT(ROUND(MIN('06_Secuencia_Optima'!$G$41,MAX(0,'07_Calendario'!$H$42-'06_Secuencia_Optima'!$L$41-'06_Secuencia_Optima'!$AB$41)*'06_Secuencia_Optima'!$H$41/480),6))-INT(ROUND(MIN('06_Secuencia_Optima'!$G$41,MAX(0,'07_Calendario'!$G$42-'06_Secuencia_Optima'!$L$41-'06_Secuencia_Optima'!$AB$41)*'06_Secuencia_Optima'!$H$41/480),6)))</f>
        <v>0</v>
      </c>
      <c r="AP22" s="51">
        <f>IF('07_Calendario'!$E$43=0,"",INT(ROUND(MIN('06_Secuencia_Optima'!$G$41,MAX(0,'07_Calendario'!$H$43-'06_Secuencia_Optima'!$L$41-'06_Secuencia_Optima'!$AB$41)*'06_Secuencia_Optima'!$H$41/480),6))-INT(ROUND(MIN('06_Secuencia_Optima'!$G$41,MAX(0,'07_Calendario'!$G$43-'06_Secuencia_Optima'!$L$41-'06_Secuencia_Optima'!$AB$41)*'06_Secuencia_Optima'!$H$41/480),6)))</f>
        <v>0</v>
      </c>
      <c r="AQ22" s="51">
        <f>IF('07_Calendario'!$E$44=0,"",INT(ROUND(MIN('06_Secuencia_Optima'!$G$41,MAX(0,'07_Calendario'!$H$44-'06_Secuencia_Optima'!$L$41-'06_Secuencia_Optima'!$AB$41)*'06_Secuencia_Optima'!$H$41/480),6))-INT(ROUND(MIN('06_Secuencia_Optima'!$G$41,MAX(0,'07_Calendario'!$G$44-'06_Secuencia_Optima'!$L$41-'06_Secuencia_Optima'!$AB$41)*'06_Secuencia_Optima'!$H$41/480),6)))</f>
        <v>0</v>
      </c>
      <c r="AR22" s="51">
        <f>IF('07_Calendario'!$E$45=0,"",INT(ROUND(MIN('06_Secuencia_Optima'!$G$41,MAX(0,'07_Calendario'!$H$45-'06_Secuencia_Optima'!$L$41-'06_Secuencia_Optima'!$AB$41)*'06_Secuencia_Optima'!$H$41/480),6))-INT(ROUND(MIN('06_Secuencia_Optima'!$G$41,MAX(0,'07_Calendario'!$G$45-'06_Secuencia_Optima'!$L$41-'06_Secuencia_Optima'!$AB$41)*'06_Secuencia_Optima'!$H$41/480),6)))</f>
        <v>0</v>
      </c>
      <c r="AS22" s="51">
        <f>IF('07_Calendario'!$E$46=0,"",INT(ROUND(MIN('06_Secuencia_Optima'!$G$41,MAX(0,'07_Calendario'!$H$46-'06_Secuencia_Optima'!$L$41-'06_Secuencia_Optima'!$AB$41)*'06_Secuencia_Optima'!$H$41/480),6))-INT(ROUND(MIN('06_Secuencia_Optima'!$G$41,MAX(0,'07_Calendario'!$G$46-'06_Secuencia_Optima'!$L$41-'06_Secuencia_Optima'!$AB$41)*'06_Secuencia_Optima'!$H$41/480),6)))</f>
        <v>0</v>
      </c>
      <c r="AT22" s="51">
        <f>IF('07_Calendario'!$E$47=0,"",INT(ROUND(MIN('06_Secuencia_Optima'!$G$41,MAX(0,'07_Calendario'!$H$47-'06_Secuencia_Optima'!$L$41-'06_Secuencia_Optima'!$AB$41)*'06_Secuencia_Optima'!$H$41/480),6))-INT(ROUND(MIN('06_Secuencia_Optima'!$G$41,MAX(0,'07_Calendario'!$G$47-'06_Secuencia_Optima'!$L$41-'06_Secuencia_Optima'!$AB$41)*'06_Secuencia_Optima'!$H$41/480),6)))</f>
        <v>0</v>
      </c>
      <c r="AU22" s="51">
        <f>IF('07_Calendario'!$E$48=0,"",INT(ROUND(MIN('06_Secuencia_Optima'!$G$41,MAX(0,'07_Calendario'!$H$48-'06_Secuencia_Optima'!$L$41-'06_Secuencia_Optima'!$AB$41)*'06_Secuencia_Optima'!$H$41/480),6))-INT(ROUND(MIN('06_Secuencia_Optima'!$G$41,MAX(0,'07_Calendario'!$G$48-'06_Secuencia_Optima'!$L$41-'06_Secuencia_Optima'!$AB$41)*'06_Secuencia_Optima'!$H$41/480),6)))</f>
        <v>0</v>
      </c>
      <c r="AV22" s="51">
        <f>IF('07_Calendario'!$E$49=0,"",INT(ROUND(MIN('06_Secuencia_Optima'!$G$41,MAX(0,'07_Calendario'!$H$49-'06_Secuencia_Optima'!$L$41-'06_Secuencia_Optima'!$AB$41)*'06_Secuencia_Optima'!$H$41/480),6))-INT(ROUND(MIN('06_Secuencia_Optima'!$G$41,MAX(0,'07_Calendario'!$G$49-'06_Secuencia_Optima'!$L$41-'06_Secuencia_Optima'!$AB$41)*'06_Secuencia_Optima'!$H$41/480),6)))</f>
        <v>0</v>
      </c>
      <c r="AW22" s="51">
        <f>IF('07_Calendario'!$E$50=0,"",INT(ROUND(MIN('06_Secuencia_Optima'!$G$41,MAX(0,'07_Calendario'!$H$50-'06_Secuencia_Optima'!$L$41-'06_Secuencia_Optima'!$AB$41)*'06_Secuencia_Optima'!$H$41/480),6))-INT(ROUND(MIN('06_Secuencia_Optima'!$G$41,MAX(0,'07_Calendario'!$G$50-'06_Secuencia_Optima'!$L$41-'06_Secuencia_Optima'!$AB$41)*'06_Secuencia_Optima'!$H$41/480),6)))</f>
        <v>0</v>
      </c>
      <c r="AX22" s="51">
        <f>IF('07_Calendario'!$E$51=0,"",INT(ROUND(MIN('06_Secuencia_Optima'!$G$41,MAX(0,'07_Calendario'!$H$51-'06_Secuencia_Optima'!$L$41-'06_Secuencia_Optima'!$AB$41)*'06_Secuencia_Optima'!$H$41/480),6))-INT(ROUND(MIN('06_Secuencia_Optima'!$G$41,MAX(0,'07_Calendario'!$G$51-'06_Secuencia_Optima'!$L$41-'06_Secuencia_Optima'!$AB$41)*'06_Secuencia_Optima'!$H$41/480),6)))</f>
        <v>0</v>
      </c>
      <c r="AY22" s="51">
        <f>IF('07_Calendario'!$E$52=0,"",INT(ROUND(MIN('06_Secuencia_Optima'!$G$41,MAX(0,'07_Calendario'!$H$52-'06_Secuencia_Optima'!$L$41-'06_Secuencia_Optima'!$AB$41)*'06_Secuencia_Optima'!$H$41/480),6))-INT(ROUND(MIN('06_Secuencia_Optima'!$G$41,MAX(0,'07_Calendario'!$G$52-'06_Secuencia_Optima'!$L$41-'06_Secuencia_Optima'!$AB$41)*'06_Secuencia_Optima'!$H$41/480),6)))</f>
        <v>0</v>
      </c>
      <c r="AZ22" s="51">
        <f>IF('07_Calendario'!$E$53=0,"",INT(ROUND(MIN('06_Secuencia_Optima'!$G$41,MAX(0,'07_Calendario'!$H$53-'06_Secuencia_Optima'!$L$41-'06_Secuencia_Optima'!$AB$41)*'06_Secuencia_Optima'!$H$41/480),6))-INT(ROUND(MIN('06_Secuencia_Optima'!$G$41,MAX(0,'07_Calendario'!$G$53-'06_Secuencia_Optima'!$L$41-'06_Secuencia_Optima'!$AB$41)*'06_Secuencia_Optima'!$H$41/480),6)))</f>
        <v>0</v>
      </c>
      <c r="BA22" s="51">
        <f>IF('07_Calendario'!$E$54=0,"",INT(ROUND(MIN('06_Secuencia_Optima'!$G$41,MAX(0,'07_Calendario'!$H$54-'06_Secuencia_Optima'!$L$41-'06_Secuencia_Optima'!$AB$41)*'06_Secuencia_Optima'!$H$41/480),6))-INT(ROUND(MIN('06_Secuencia_Optima'!$G$41,MAX(0,'07_Calendario'!$G$54-'06_Secuencia_Optima'!$L$41-'06_Secuencia_Optima'!$AB$41)*'06_Secuencia_Optima'!$H$41/480),6)))</f>
        <v>0</v>
      </c>
      <c r="BB22" s="51" t="str">
        <f>IF('07_Calendario'!$E$55=0,"",INT(ROUND(MIN('06_Secuencia_Optima'!$G$41,MAX(0,'07_Calendario'!$H$55-'06_Secuencia_Optima'!$L$41-'06_Secuencia_Optima'!$AB$41)*'06_Secuencia_Optima'!$H$41/480),6))-INT(ROUND(MIN('06_Secuencia_Optima'!$G$41,MAX(0,'07_Calendario'!$G$55-'06_Secuencia_Optima'!$L$41-'06_Secuencia_Optima'!$AB$41)*'06_Secuencia_Optima'!$H$41/480),6)))</f>
        <v/>
      </c>
      <c r="BC22" s="51">
        <f>IF('07_Calendario'!$E$56=0,"",INT(ROUND(MIN('06_Secuencia_Optima'!$G$41,MAX(0,'07_Calendario'!$H$56-'06_Secuencia_Optima'!$L$41-'06_Secuencia_Optima'!$AB$41)*'06_Secuencia_Optima'!$H$41/480),6))-INT(ROUND(MIN('06_Secuencia_Optima'!$G$41,MAX(0,'07_Calendario'!$G$56-'06_Secuencia_Optima'!$L$41-'06_Secuencia_Optima'!$AB$41)*'06_Secuencia_Optima'!$H$41/480),6)))</f>
        <v>0</v>
      </c>
      <c r="BD22" s="51">
        <f>IF('07_Calendario'!$E$57=0,"",INT(ROUND(MIN('06_Secuencia_Optima'!$G$41,MAX(0,'07_Calendario'!$H$57-'06_Secuencia_Optima'!$L$41-'06_Secuencia_Optima'!$AB$41)*'06_Secuencia_Optima'!$H$41/480),6))-INT(ROUND(MIN('06_Secuencia_Optima'!$G$41,MAX(0,'07_Calendario'!$G$57-'06_Secuencia_Optima'!$L$41-'06_Secuencia_Optima'!$AB$41)*'06_Secuencia_Optima'!$H$41/480),6)))</f>
        <v>0</v>
      </c>
      <c r="BE22" s="51">
        <f>IF('07_Calendario'!$E$58=0,"",INT(ROUND(MIN('06_Secuencia_Optima'!$G$41,MAX(0,'07_Calendario'!$H$58-'06_Secuencia_Optima'!$L$41-'06_Secuencia_Optima'!$AB$41)*'06_Secuencia_Optima'!$H$41/480),6))-INT(ROUND(MIN('06_Secuencia_Optima'!$G$41,MAX(0,'07_Calendario'!$G$58-'06_Secuencia_Optima'!$L$41-'06_Secuencia_Optima'!$AB$41)*'06_Secuencia_Optima'!$H$41/480),6)))</f>
        <v>0</v>
      </c>
      <c r="BF22" s="51">
        <f>IF('07_Calendario'!$E$59=0,"",INT(ROUND(MIN('06_Secuencia_Optima'!$G$41,MAX(0,'07_Calendario'!$H$59-'06_Secuencia_Optima'!$L$41-'06_Secuencia_Optima'!$AB$41)*'06_Secuencia_Optima'!$H$41/480),6))-INT(ROUND(MIN('06_Secuencia_Optima'!$G$41,MAX(0,'07_Calendario'!$G$59-'06_Secuencia_Optima'!$L$41-'06_Secuencia_Optima'!$AB$41)*'06_Secuencia_Optima'!$H$41/480),6)))</f>
        <v>0</v>
      </c>
      <c r="BG22" s="51">
        <f>IF('07_Calendario'!$E$60=0,"",INT(ROUND(MIN('06_Secuencia_Optima'!$G$41,MAX(0,'07_Calendario'!$H$60-'06_Secuencia_Optima'!$L$41-'06_Secuencia_Optima'!$AB$41)*'06_Secuencia_Optima'!$H$41/480),6))-INT(ROUND(MIN('06_Secuencia_Optima'!$G$41,MAX(0,'07_Calendario'!$G$60-'06_Secuencia_Optima'!$L$41-'06_Secuencia_Optima'!$AB$41)*'06_Secuencia_Optima'!$H$41/480),6)))</f>
        <v>0</v>
      </c>
      <c r="BH22" s="51">
        <f>IF('07_Calendario'!$E$61=0,"",INT(ROUND(MIN('06_Secuencia_Optima'!$G$41,MAX(0,'07_Calendario'!$H$61-'06_Secuencia_Optima'!$L$41-'06_Secuencia_Optima'!$AB$41)*'06_Secuencia_Optima'!$H$41/480),6))-INT(ROUND(MIN('06_Secuencia_Optima'!$G$41,MAX(0,'07_Calendario'!$G$61-'06_Secuencia_Optima'!$L$41-'06_Secuencia_Optima'!$AB$41)*'06_Secuencia_Optima'!$H$41/480),6)))</f>
        <v>0</v>
      </c>
      <c r="BI22" s="51">
        <f>IF('07_Calendario'!$E$62=0,"",INT(ROUND(MIN('06_Secuencia_Optima'!$G$41,MAX(0,'07_Calendario'!$H$62-'06_Secuencia_Optima'!$L$41-'06_Secuencia_Optima'!$AB$41)*'06_Secuencia_Optima'!$H$41/480),6))-INT(ROUND(MIN('06_Secuencia_Optima'!$G$41,MAX(0,'07_Calendario'!$G$62-'06_Secuencia_Optima'!$L$41-'06_Secuencia_Optima'!$AB$41)*'06_Secuencia_Optima'!$H$41/480),6)))</f>
        <v>0</v>
      </c>
      <c r="BJ22" s="51">
        <f>IF('07_Calendario'!$E$63=0,"",INT(ROUND(MIN('06_Secuencia_Optima'!$G$41,MAX(0,'07_Calendario'!$H$63-'06_Secuencia_Optima'!$L$41-'06_Secuencia_Optima'!$AB$41)*'06_Secuencia_Optima'!$H$41/480),6))-INT(ROUND(MIN('06_Secuencia_Optima'!$G$41,MAX(0,'07_Calendario'!$G$63-'06_Secuencia_Optima'!$L$41-'06_Secuencia_Optima'!$AB$41)*'06_Secuencia_Optima'!$H$41/480),6)))</f>
        <v>0</v>
      </c>
      <c r="BK22" s="51">
        <f>IF('07_Calendario'!$E$64=0,"",INT(ROUND(MIN('06_Secuencia_Optima'!$G$41,MAX(0,'07_Calendario'!$H$64-'06_Secuencia_Optima'!$L$41-'06_Secuencia_Optima'!$AB$41)*'06_Secuencia_Optima'!$H$41/480),6))-INT(ROUND(MIN('06_Secuencia_Optima'!$G$41,MAX(0,'07_Calendario'!$G$64-'06_Secuencia_Optima'!$L$41-'06_Secuencia_Optima'!$AB$41)*'06_Secuencia_Optima'!$H$41/480),6)))</f>
        <v>0</v>
      </c>
      <c r="BL22" s="51">
        <f>IF('07_Calendario'!$E$65=0,"",INT(ROUND(MIN('06_Secuencia_Optima'!$G$41,MAX(0,'07_Calendario'!$H$65-'06_Secuencia_Optima'!$L$41-'06_Secuencia_Optima'!$AB$41)*'06_Secuencia_Optima'!$H$41/480),6))-INT(ROUND(MIN('06_Secuencia_Optima'!$G$41,MAX(0,'07_Calendario'!$G$65-'06_Secuencia_Optima'!$L$41-'06_Secuencia_Optima'!$AB$41)*'06_Secuencia_Optima'!$H$41/480),6)))</f>
        <v>0</v>
      </c>
      <c r="BM22" s="51">
        <f>IF('07_Calendario'!$E$66=0,"",INT(ROUND(MIN('06_Secuencia_Optima'!$G$41,MAX(0,'07_Calendario'!$H$66-'06_Secuencia_Optima'!$L$41-'06_Secuencia_Optima'!$AB$41)*'06_Secuencia_Optima'!$H$41/480),6))-INT(ROUND(MIN('06_Secuencia_Optima'!$G$41,MAX(0,'07_Calendario'!$G$66-'06_Secuencia_Optima'!$L$41-'06_Secuencia_Optima'!$AB$41)*'06_Secuencia_Optima'!$H$41/480),6)))</f>
        <v>0</v>
      </c>
      <c r="BN22" s="51">
        <f>IF('07_Calendario'!$E$67=0,"",INT(ROUND(MIN('06_Secuencia_Optima'!$G$41,MAX(0,'07_Calendario'!$H$67-'06_Secuencia_Optima'!$L$41-'06_Secuencia_Optima'!$AB$41)*'06_Secuencia_Optima'!$H$41/480),6))-INT(ROUND(MIN('06_Secuencia_Optima'!$G$41,MAX(0,'07_Calendario'!$G$67-'06_Secuencia_Optima'!$L$41-'06_Secuencia_Optima'!$AB$41)*'06_Secuencia_Optima'!$H$41/480),6)))</f>
        <v>0</v>
      </c>
      <c r="BO22" s="51">
        <f>IF('07_Calendario'!$E$68=0,"",INT(ROUND(MIN('06_Secuencia_Optima'!$G$41,MAX(0,'07_Calendario'!$H$68-'06_Secuencia_Optima'!$L$41-'06_Secuencia_Optima'!$AB$41)*'06_Secuencia_Optima'!$H$41/480),6))-INT(ROUND(MIN('06_Secuencia_Optima'!$G$41,MAX(0,'07_Calendario'!$G$68-'06_Secuencia_Optima'!$L$41-'06_Secuencia_Optima'!$AB$41)*'06_Secuencia_Optima'!$H$41/480),6)))</f>
        <v>0</v>
      </c>
      <c r="BP22" s="51">
        <f>IF('07_Calendario'!$E$69=0,"",INT(ROUND(MIN('06_Secuencia_Optima'!$G$41,MAX(0,'07_Calendario'!$H$69-'06_Secuencia_Optima'!$L$41-'06_Secuencia_Optima'!$AB$41)*'06_Secuencia_Optima'!$H$41/480),6))-INT(ROUND(MIN('06_Secuencia_Optima'!$G$41,MAX(0,'07_Calendario'!$G$69-'06_Secuencia_Optima'!$L$41-'06_Secuencia_Optima'!$AB$41)*'06_Secuencia_Optima'!$H$41/480),6)))</f>
        <v>0</v>
      </c>
      <c r="BQ22" s="51">
        <f>IF('07_Calendario'!$E$70=0,"",INT(ROUND(MIN('06_Secuencia_Optima'!$G$41,MAX(0,'07_Calendario'!$H$70-'06_Secuencia_Optima'!$L$41-'06_Secuencia_Optima'!$AB$41)*'06_Secuencia_Optima'!$H$41/480),6))-INT(ROUND(MIN('06_Secuencia_Optima'!$G$41,MAX(0,'07_Calendario'!$G$70-'06_Secuencia_Optima'!$L$41-'06_Secuencia_Optima'!$AB$41)*'06_Secuencia_Optima'!$H$41/480),6)))</f>
        <v>0</v>
      </c>
      <c r="BR22" s="51">
        <f>IF('07_Calendario'!$E$71=0,"",INT(ROUND(MIN('06_Secuencia_Optima'!$G$41,MAX(0,'07_Calendario'!$H$71-'06_Secuencia_Optima'!$L$41-'06_Secuencia_Optima'!$AB$41)*'06_Secuencia_Optima'!$H$41/480),6))-INT(ROUND(MIN('06_Secuencia_Optima'!$G$41,MAX(0,'07_Calendario'!$G$71-'06_Secuencia_Optima'!$L$41-'06_Secuencia_Optima'!$AB$41)*'06_Secuencia_Optima'!$H$41/480),6)))</f>
        <v>0</v>
      </c>
      <c r="BS22" s="51">
        <f>IF('07_Calendario'!$E$72=0,"",INT(ROUND(MIN('06_Secuencia_Optima'!$G$41,MAX(0,'07_Calendario'!$H$72-'06_Secuencia_Optima'!$L$41-'06_Secuencia_Optima'!$AB$41)*'06_Secuencia_Optima'!$H$41/480),6))-INT(ROUND(MIN('06_Secuencia_Optima'!$G$41,MAX(0,'07_Calendario'!$G$72-'06_Secuencia_Optima'!$L$41-'06_Secuencia_Optima'!$AB$41)*'06_Secuencia_Optima'!$H$41/480),6)))</f>
        <v>0</v>
      </c>
      <c r="BT22" s="51" t="str">
        <f>IF('07_Calendario'!$E$73=0,"",INT(ROUND(MIN('06_Secuencia_Optima'!$G$41,MAX(0,'07_Calendario'!$H$73-'06_Secuencia_Optima'!$L$41-'06_Secuencia_Optima'!$AB$41)*'06_Secuencia_Optima'!$H$41/480),6))-INT(ROUND(MIN('06_Secuencia_Optima'!$G$41,MAX(0,'07_Calendario'!$G$73-'06_Secuencia_Optima'!$L$41-'06_Secuencia_Optima'!$AB$41)*'06_Secuencia_Optima'!$H$41/480),6)))</f>
        <v/>
      </c>
      <c r="BU22" s="51">
        <f>IF('07_Calendario'!$E$74=0,"",INT(ROUND(MIN('06_Secuencia_Optima'!$G$41,MAX(0,'07_Calendario'!$H$74-'06_Secuencia_Optima'!$L$41-'06_Secuencia_Optima'!$AB$41)*'06_Secuencia_Optima'!$H$41/480),6))-INT(ROUND(MIN('06_Secuencia_Optima'!$G$41,MAX(0,'07_Calendario'!$G$74-'06_Secuencia_Optima'!$L$41-'06_Secuencia_Optima'!$AB$41)*'06_Secuencia_Optima'!$H$41/480),6)))</f>
        <v>0</v>
      </c>
      <c r="BV22" s="51">
        <f>IF('07_Calendario'!$E$75=0,"",INT(ROUND(MIN('06_Secuencia_Optima'!$G$41,MAX(0,'07_Calendario'!$H$75-'06_Secuencia_Optima'!$L$41-'06_Secuencia_Optima'!$AB$41)*'06_Secuencia_Optima'!$H$41/480),6))-INT(ROUND(MIN('06_Secuencia_Optima'!$G$41,MAX(0,'07_Calendario'!$G$75-'06_Secuencia_Optima'!$L$41-'06_Secuencia_Optima'!$AB$41)*'06_Secuencia_Optima'!$H$41/480),6)))</f>
        <v>0</v>
      </c>
      <c r="BW22" s="51">
        <f>IF('07_Calendario'!$E$76=0,"",INT(ROUND(MIN('06_Secuencia_Optima'!$G$41,MAX(0,'07_Calendario'!$H$76-'06_Secuencia_Optima'!$L$41-'06_Secuencia_Optima'!$AB$41)*'06_Secuencia_Optima'!$H$41/480),6))-INT(ROUND(MIN('06_Secuencia_Optima'!$G$41,MAX(0,'07_Calendario'!$G$76-'06_Secuencia_Optima'!$L$41-'06_Secuencia_Optima'!$AB$41)*'06_Secuencia_Optima'!$H$41/480),6)))</f>
        <v>0</v>
      </c>
      <c r="BX22" s="51">
        <f>IF('07_Calendario'!$E$77=0,"",INT(ROUND(MIN('06_Secuencia_Optima'!$G$41,MAX(0,'07_Calendario'!$H$77-'06_Secuencia_Optima'!$L$41-'06_Secuencia_Optima'!$AB$41)*'06_Secuencia_Optima'!$H$41/480),6))-INT(ROUND(MIN('06_Secuencia_Optima'!$G$41,MAX(0,'07_Calendario'!$G$77-'06_Secuencia_Optima'!$L$41-'06_Secuencia_Optima'!$AB$41)*'06_Secuencia_Optima'!$H$41/480),6)))</f>
        <v>0</v>
      </c>
      <c r="BY22" s="51">
        <f>IF('07_Calendario'!$E$78=0,"",INT(ROUND(MIN('06_Secuencia_Optima'!$G$41,MAX(0,'07_Calendario'!$H$78-'06_Secuencia_Optima'!$L$41-'06_Secuencia_Optima'!$AB$41)*'06_Secuencia_Optima'!$H$41/480),6))-INT(ROUND(MIN('06_Secuencia_Optima'!$G$41,MAX(0,'07_Calendario'!$G$78-'06_Secuencia_Optima'!$L$41-'06_Secuencia_Optima'!$AB$41)*'06_Secuencia_Optima'!$H$41/480),6)))</f>
        <v>0</v>
      </c>
      <c r="BZ22" s="51">
        <f>IF('07_Calendario'!$E$79=0,"",INT(ROUND(MIN('06_Secuencia_Optima'!$G$41,MAX(0,'07_Calendario'!$H$79-'06_Secuencia_Optima'!$L$41-'06_Secuencia_Optima'!$AB$41)*'06_Secuencia_Optima'!$H$41/480),6))-INT(ROUND(MIN('06_Secuencia_Optima'!$G$41,MAX(0,'07_Calendario'!$G$79-'06_Secuencia_Optima'!$L$41-'06_Secuencia_Optima'!$AB$41)*'06_Secuencia_Optima'!$H$41/480),6)))</f>
        <v>0</v>
      </c>
      <c r="CA22" s="51">
        <f>IF('07_Calendario'!$E$80=0,"",INT(ROUND(MIN('06_Secuencia_Optima'!$G$41,MAX(0,'07_Calendario'!$H$80-'06_Secuencia_Optima'!$L$41-'06_Secuencia_Optima'!$AB$41)*'06_Secuencia_Optima'!$H$41/480),6))-INT(ROUND(MIN('06_Secuencia_Optima'!$G$41,MAX(0,'07_Calendario'!$G$80-'06_Secuencia_Optima'!$L$41-'06_Secuencia_Optima'!$AB$41)*'06_Secuencia_Optima'!$H$41/480),6)))</f>
        <v>0</v>
      </c>
      <c r="CB22" s="51">
        <f>IF('07_Calendario'!$E$81=0,"",INT(ROUND(MIN('06_Secuencia_Optima'!$G$41,MAX(0,'07_Calendario'!$H$81-'06_Secuencia_Optima'!$L$41-'06_Secuencia_Optima'!$AB$41)*'06_Secuencia_Optima'!$H$41/480),6))-INT(ROUND(MIN('06_Secuencia_Optima'!$G$41,MAX(0,'07_Calendario'!$G$81-'06_Secuencia_Optima'!$L$41-'06_Secuencia_Optima'!$AB$41)*'06_Secuencia_Optima'!$H$41/480),6)))</f>
        <v>0</v>
      </c>
      <c r="CC22" s="51">
        <f>IF('07_Calendario'!$E$82=0,"",INT(ROUND(MIN('06_Secuencia_Optima'!$G$41,MAX(0,'07_Calendario'!$H$82-'06_Secuencia_Optima'!$L$41-'06_Secuencia_Optima'!$AB$41)*'06_Secuencia_Optima'!$H$41/480),6))-INT(ROUND(MIN('06_Secuencia_Optima'!$G$41,MAX(0,'07_Calendario'!$G$82-'06_Secuencia_Optima'!$L$41-'06_Secuencia_Optima'!$AB$41)*'06_Secuencia_Optima'!$H$41/480),6)))</f>
        <v>0</v>
      </c>
      <c r="CD22" s="18">
        <f t="shared" si="0"/>
        <v>1819</v>
      </c>
      <c r="CE22" s="19">
        <f>'06_Secuencia_Optima'!$G$41</f>
        <v>1819</v>
      </c>
      <c r="CF22" s="10" t="str">
        <f t="shared" si="1"/>
        <v>OK</v>
      </c>
    </row>
    <row r="23" spans="1:84" x14ac:dyDescent="0.2">
      <c r="A23" s="10">
        <f>'06_Secuencia_Optima'!$B$42</f>
        <v>6616</v>
      </c>
      <c r="B23" s="13" t="str">
        <f>'06_Secuencia_Optima'!$C$42</f>
        <v>MOSTANEZA DEL RANCHO (12DP/1/380g)</v>
      </c>
      <c r="C23" s="14">
        <f>'06_Secuencia_Optima'!$D$42</f>
        <v>3757</v>
      </c>
      <c r="D23" s="51">
        <f>IF('07_Calendario'!$E$5=0,"",INT(ROUND(MIN('06_Secuencia_Optima'!$G$42,MAX(0,'07_Calendario'!$H$5-'06_Secuencia_Optima'!$L$42-'06_Secuencia_Optima'!$AB$42)*'06_Secuencia_Optima'!$H$42/480),6))-INT(ROUND(MIN('06_Secuencia_Optima'!$G$42,MAX(0,'07_Calendario'!$G$5-'06_Secuencia_Optima'!$L$42-'06_Secuencia_Optima'!$AB$42)*'06_Secuencia_Optima'!$H$42/480),6)))</f>
        <v>1712</v>
      </c>
      <c r="E23" s="51">
        <f>IF('07_Calendario'!$E$6=0,"",INT(ROUND(MIN('06_Secuencia_Optima'!$G$42,MAX(0,'07_Calendario'!$H$6-'06_Secuencia_Optima'!$L$42-'06_Secuencia_Optima'!$AB$42)*'06_Secuencia_Optima'!$H$42/480),6))-INT(ROUND(MIN('06_Secuencia_Optima'!$G$42,MAX(0,'07_Calendario'!$G$6-'06_Secuencia_Optima'!$L$42-'06_Secuencia_Optima'!$AB$42)*'06_Secuencia_Optima'!$H$42/480),6)))</f>
        <v>0</v>
      </c>
      <c r="F23" s="51">
        <f>IF('07_Calendario'!$E$7=0,"",INT(ROUND(MIN('06_Secuencia_Optima'!$G$42,MAX(0,'07_Calendario'!$H$7-'06_Secuencia_Optima'!$L$42-'06_Secuencia_Optima'!$AB$42)*'06_Secuencia_Optima'!$H$42/480),6))-INT(ROUND(MIN('06_Secuencia_Optima'!$G$42,MAX(0,'07_Calendario'!$G$7-'06_Secuencia_Optima'!$L$42-'06_Secuencia_Optima'!$AB$42)*'06_Secuencia_Optima'!$H$42/480),6)))</f>
        <v>0</v>
      </c>
      <c r="G23" s="51">
        <f>IF('07_Calendario'!$E$8=0,"",INT(ROUND(MIN('06_Secuencia_Optima'!$G$42,MAX(0,'07_Calendario'!$H$8-'06_Secuencia_Optima'!$L$42-'06_Secuencia_Optima'!$AB$42)*'06_Secuencia_Optima'!$H$42/480),6))-INT(ROUND(MIN('06_Secuencia_Optima'!$G$42,MAX(0,'07_Calendario'!$G$8-'06_Secuencia_Optima'!$L$42-'06_Secuencia_Optima'!$AB$42)*'06_Secuencia_Optima'!$H$42/480),6)))</f>
        <v>0</v>
      </c>
      <c r="H23" s="51">
        <f>IF('07_Calendario'!$E$9=0,"",INT(ROUND(MIN('06_Secuencia_Optima'!$G$42,MAX(0,'07_Calendario'!$H$9-'06_Secuencia_Optima'!$L$42-'06_Secuencia_Optima'!$AB$42)*'06_Secuencia_Optima'!$H$42/480),6))-INT(ROUND(MIN('06_Secuencia_Optima'!$G$42,MAX(0,'07_Calendario'!$G$9-'06_Secuencia_Optima'!$L$42-'06_Secuencia_Optima'!$AB$42)*'06_Secuencia_Optima'!$H$42/480),6)))</f>
        <v>0</v>
      </c>
      <c r="I23" s="51">
        <f>IF('07_Calendario'!$E$10=0,"",INT(ROUND(MIN('06_Secuencia_Optima'!$G$42,MAX(0,'07_Calendario'!$H$10-'06_Secuencia_Optima'!$L$42-'06_Secuencia_Optima'!$AB$42)*'06_Secuencia_Optima'!$H$42/480),6))-INT(ROUND(MIN('06_Secuencia_Optima'!$G$42,MAX(0,'07_Calendario'!$G$10-'06_Secuencia_Optima'!$L$42-'06_Secuencia_Optima'!$AB$42)*'06_Secuencia_Optima'!$H$42/480),6)))</f>
        <v>0</v>
      </c>
      <c r="J23" s="51">
        <f>IF('07_Calendario'!$E$11=0,"",INT(ROUND(MIN('06_Secuencia_Optima'!$G$42,MAX(0,'07_Calendario'!$H$11-'06_Secuencia_Optima'!$L$42-'06_Secuencia_Optima'!$AB$42)*'06_Secuencia_Optima'!$H$42/480),6))-INT(ROUND(MIN('06_Secuencia_Optima'!$G$42,MAX(0,'07_Calendario'!$G$11-'06_Secuencia_Optima'!$L$42-'06_Secuencia_Optima'!$AB$42)*'06_Secuencia_Optima'!$H$42/480),6)))</f>
        <v>0</v>
      </c>
      <c r="K23" s="51">
        <f>IF('07_Calendario'!$E$12=0,"",INT(ROUND(MIN('06_Secuencia_Optima'!$G$42,MAX(0,'07_Calendario'!$H$12-'06_Secuencia_Optima'!$L$42-'06_Secuencia_Optima'!$AB$42)*'06_Secuencia_Optima'!$H$42/480),6))-INT(ROUND(MIN('06_Secuencia_Optima'!$G$42,MAX(0,'07_Calendario'!$G$12-'06_Secuencia_Optima'!$L$42-'06_Secuencia_Optima'!$AB$42)*'06_Secuencia_Optima'!$H$42/480),6)))</f>
        <v>0</v>
      </c>
      <c r="L23" s="51">
        <f>IF('07_Calendario'!$E$13=0,"",INT(ROUND(MIN('06_Secuencia_Optima'!$G$42,MAX(0,'07_Calendario'!$H$13-'06_Secuencia_Optima'!$L$42-'06_Secuencia_Optima'!$AB$42)*'06_Secuencia_Optima'!$H$42/480),6))-INT(ROUND(MIN('06_Secuencia_Optima'!$G$42,MAX(0,'07_Calendario'!$G$13-'06_Secuencia_Optima'!$L$42-'06_Secuencia_Optima'!$AB$42)*'06_Secuencia_Optima'!$H$42/480),6)))</f>
        <v>0</v>
      </c>
      <c r="M23" s="51">
        <f>IF('07_Calendario'!$E$14=0,"",INT(ROUND(MIN('06_Secuencia_Optima'!$G$42,MAX(0,'07_Calendario'!$H$14-'06_Secuencia_Optima'!$L$42-'06_Secuencia_Optima'!$AB$42)*'06_Secuencia_Optima'!$H$42/480),6))-INT(ROUND(MIN('06_Secuencia_Optima'!$G$42,MAX(0,'07_Calendario'!$G$14-'06_Secuencia_Optima'!$L$42-'06_Secuencia_Optima'!$AB$42)*'06_Secuencia_Optima'!$H$42/480),6)))</f>
        <v>0</v>
      </c>
      <c r="N23" s="51">
        <f>IF('07_Calendario'!$E$15=0,"",INT(ROUND(MIN('06_Secuencia_Optima'!$G$42,MAX(0,'07_Calendario'!$H$15-'06_Secuencia_Optima'!$L$42-'06_Secuencia_Optima'!$AB$42)*'06_Secuencia_Optima'!$H$42/480),6))-INT(ROUND(MIN('06_Secuencia_Optima'!$G$42,MAX(0,'07_Calendario'!$G$15-'06_Secuencia_Optima'!$L$42-'06_Secuencia_Optima'!$AB$42)*'06_Secuencia_Optima'!$H$42/480),6)))</f>
        <v>0</v>
      </c>
      <c r="O23" s="51">
        <f>IF('07_Calendario'!$E$16=0,"",INT(ROUND(MIN('06_Secuencia_Optima'!$G$42,MAX(0,'07_Calendario'!$H$16-'06_Secuencia_Optima'!$L$42-'06_Secuencia_Optima'!$AB$42)*'06_Secuencia_Optima'!$H$42/480),6))-INT(ROUND(MIN('06_Secuencia_Optima'!$G$42,MAX(0,'07_Calendario'!$G$16-'06_Secuencia_Optima'!$L$42-'06_Secuencia_Optima'!$AB$42)*'06_Secuencia_Optima'!$H$42/480),6)))</f>
        <v>0</v>
      </c>
      <c r="P23" s="51">
        <f>IF('07_Calendario'!$E$17=0,"",INT(ROUND(MIN('06_Secuencia_Optima'!$G$42,MAX(0,'07_Calendario'!$H$17-'06_Secuencia_Optima'!$L$42-'06_Secuencia_Optima'!$AB$42)*'06_Secuencia_Optima'!$H$42/480),6))-INT(ROUND(MIN('06_Secuencia_Optima'!$G$42,MAX(0,'07_Calendario'!$G$17-'06_Secuencia_Optima'!$L$42-'06_Secuencia_Optima'!$AB$42)*'06_Secuencia_Optima'!$H$42/480),6)))</f>
        <v>0</v>
      </c>
      <c r="Q23" s="51">
        <f>IF('07_Calendario'!$E$18=0,"",INT(ROUND(MIN('06_Secuencia_Optima'!$G$42,MAX(0,'07_Calendario'!$H$18-'06_Secuencia_Optima'!$L$42-'06_Secuencia_Optima'!$AB$42)*'06_Secuencia_Optima'!$H$42/480),6))-INT(ROUND(MIN('06_Secuencia_Optima'!$G$42,MAX(0,'07_Calendario'!$G$18-'06_Secuencia_Optima'!$L$42-'06_Secuencia_Optima'!$AB$42)*'06_Secuencia_Optima'!$H$42/480),6)))</f>
        <v>0</v>
      </c>
      <c r="R23" s="51" t="str">
        <f>IF('07_Calendario'!$E$19=0,"",INT(ROUND(MIN('06_Secuencia_Optima'!$G$42,MAX(0,'07_Calendario'!$H$19-'06_Secuencia_Optima'!$L$42-'06_Secuencia_Optima'!$AB$42)*'06_Secuencia_Optima'!$H$42/480),6))-INT(ROUND(MIN('06_Secuencia_Optima'!$G$42,MAX(0,'07_Calendario'!$G$19-'06_Secuencia_Optima'!$L$42-'06_Secuencia_Optima'!$AB$42)*'06_Secuencia_Optima'!$H$42/480),6)))</f>
        <v/>
      </c>
      <c r="S23" s="51">
        <f>IF('07_Calendario'!$E$20=0,"",INT(ROUND(MIN('06_Secuencia_Optima'!$G$42,MAX(0,'07_Calendario'!$H$20-'06_Secuencia_Optima'!$L$42-'06_Secuencia_Optima'!$AB$42)*'06_Secuencia_Optima'!$H$42/480),6))-INT(ROUND(MIN('06_Secuencia_Optima'!$G$42,MAX(0,'07_Calendario'!$G$20-'06_Secuencia_Optima'!$L$42-'06_Secuencia_Optima'!$AB$42)*'06_Secuencia_Optima'!$H$42/480),6)))</f>
        <v>0</v>
      </c>
      <c r="T23" s="51">
        <f>IF('07_Calendario'!$E$21=0,"",INT(ROUND(MIN('06_Secuencia_Optima'!$G$42,MAX(0,'07_Calendario'!$H$21-'06_Secuencia_Optima'!$L$42-'06_Secuencia_Optima'!$AB$42)*'06_Secuencia_Optima'!$H$42/480),6))-INT(ROUND(MIN('06_Secuencia_Optima'!$G$42,MAX(0,'07_Calendario'!$G$21-'06_Secuencia_Optima'!$L$42-'06_Secuencia_Optima'!$AB$42)*'06_Secuencia_Optima'!$H$42/480),6)))</f>
        <v>0</v>
      </c>
      <c r="U23" s="51">
        <f>IF('07_Calendario'!$E$22=0,"",INT(ROUND(MIN('06_Secuencia_Optima'!$G$42,MAX(0,'07_Calendario'!$H$22-'06_Secuencia_Optima'!$L$42-'06_Secuencia_Optima'!$AB$42)*'06_Secuencia_Optima'!$H$42/480),6))-INT(ROUND(MIN('06_Secuencia_Optima'!$G$42,MAX(0,'07_Calendario'!$G$22-'06_Secuencia_Optima'!$L$42-'06_Secuencia_Optima'!$AB$42)*'06_Secuencia_Optima'!$H$42/480),6)))</f>
        <v>0</v>
      </c>
      <c r="V23" s="51">
        <f>IF('07_Calendario'!$E$23=0,"",INT(ROUND(MIN('06_Secuencia_Optima'!$G$42,MAX(0,'07_Calendario'!$H$23-'06_Secuencia_Optima'!$L$42-'06_Secuencia_Optima'!$AB$42)*'06_Secuencia_Optima'!$H$42/480),6))-INT(ROUND(MIN('06_Secuencia_Optima'!$G$42,MAX(0,'07_Calendario'!$G$23-'06_Secuencia_Optima'!$L$42-'06_Secuencia_Optima'!$AB$42)*'06_Secuencia_Optima'!$H$42/480),6)))</f>
        <v>0</v>
      </c>
      <c r="W23" s="51">
        <f>IF('07_Calendario'!$E$24=0,"",INT(ROUND(MIN('06_Secuencia_Optima'!$G$42,MAX(0,'07_Calendario'!$H$24-'06_Secuencia_Optima'!$L$42-'06_Secuencia_Optima'!$AB$42)*'06_Secuencia_Optima'!$H$42/480),6))-INT(ROUND(MIN('06_Secuencia_Optima'!$G$42,MAX(0,'07_Calendario'!$G$24-'06_Secuencia_Optima'!$L$42-'06_Secuencia_Optima'!$AB$42)*'06_Secuencia_Optima'!$H$42/480),6)))</f>
        <v>0</v>
      </c>
      <c r="X23" s="51">
        <f>IF('07_Calendario'!$E$25=0,"",INT(ROUND(MIN('06_Secuencia_Optima'!$G$42,MAX(0,'07_Calendario'!$H$25-'06_Secuencia_Optima'!$L$42-'06_Secuencia_Optima'!$AB$42)*'06_Secuencia_Optima'!$H$42/480),6))-INT(ROUND(MIN('06_Secuencia_Optima'!$G$42,MAX(0,'07_Calendario'!$G$25-'06_Secuencia_Optima'!$L$42-'06_Secuencia_Optima'!$AB$42)*'06_Secuencia_Optima'!$H$42/480),6)))</f>
        <v>0</v>
      </c>
      <c r="Y23" s="51">
        <f>IF('07_Calendario'!$E$26=0,"",INT(ROUND(MIN('06_Secuencia_Optima'!$G$42,MAX(0,'07_Calendario'!$H$26-'06_Secuencia_Optima'!$L$42-'06_Secuencia_Optima'!$AB$42)*'06_Secuencia_Optima'!$H$42/480),6))-INT(ROUND(MIN('06_Secuencia_Optima'!$G$42,MAX(0,'07_Calendario'!$G$26-'06_Secuencia_Optima'!$L$42-'06_Secuencia_Optima'!$AB$42)*'06_Secuencia_Optima'!$H$42/480),6)))</f>
        <v>0</v>
      </c>
      <c r="Z23" s="51">
        <f>IF('07_Calendario'!$E$27=0,"",INT(ROUND(MIN('06_Secuencia_Optima'!$G$42,MAX(0,'07_Calendario'!$H$27-'06_Secuencia_Optima'!$L$42-'06_Secuencia_Optima'!$AB$42)*'06_Secuencia_Optima'!$H$42/480),6))-INT(ROUND(MIN('06_Secuencia_Optima'!$G$42,MAX(0,'07_Calendario'!$G$27-'06_Secuencia_Optima'!$L$42-'06_Secuencia_Optima'!$AB$42)*'06_Secuencia_Optima'!$H$42/480),6)))</f>
        <v>0</v>
      </c>
      <c r="AA23" s="51">
        <f>IF('07_Calendario'!$E$28=0,"",INT(ROUND(MIN('06_Secuencia_Optima'!$G$42,MAX(0,'07_Calendario'!$H$28-'06_Secuencia_Optima'!$L$42-'06_Secuencia_Optima'!$AB$42)*'06_Secuencia_Optima'!$H$42/480),6))-INT(ROUND(MIN('06_Secuencia_Optima'!$G$42,MAX(0,'07_Calendario'!$G$28-'06_Secuencia_Optima'!$L$42-'06_Secuencia_Optima'!$AB$42)*'06_Secuencia_Optima'!$H$42/480),6)))</f>
        <v>0</v>
      </c>
      <c r="AB23" s="51">
        <f>IF('07_Calendario'!$E$29=0,"",INT(ROUND(MIN('06_Secuencia_Optima'!$G$42,MAX(0,'07_Calendario'!$H$29-'06_Secuencia_Optima'!$L$42-'06_Secuencia_Optima'!$AB$42)*'06_Secuencia_Optima'!$H$42/480),6))-INT(ROUND(MIN('06_Secuencia_Optima'!$G$42,MAX(0,'07_Calendario'!$G$29-'06_Secuencia_Optima'!$L$42-'06_Secuencia_Optima'!$AB$42)*'06_Secuencia_Optima'!$H$42/480),6)))</f>
        <v>0</v>
      </c>
      <c r="AC23" s="51">
        <f>IF('07_Calendario'!$E$30=0,"",INT(ROUND(MIN('06_Secuencia_Optima'!$G$42,MAX(0,'07_Calendario'!$H$30-'06_Secuencia_Optima'!$L$42-'06_Secuencia_Optima'!$AB$42)*'06_Secuencia_Optima'!$H$42/480),6))-INT(ROUND(MIN('06_Secuencia_Optima'!$G$42,MAX(0,'07_Calendario'!$G$30-'06_Secuencia_Optima'!$L$42-'06_Secuencia_Optima'!$AB$42)*'06_Secuencia_Optima'!$H$42/480),6)))</f>
        <v>0</v>
      </c>
      <c r="AD23" s="51">
        <f>IF('07_Calendario'!$E$31=0,"",INT(ROUND(MIN('06_Secuencia_Optima'!$G$42,MAX(0,'07_Calendario'!$H$31-'06_Secuencia_Optima'!$L$42-'06_Secuencia_Optima'!$AB$42)*'06_Secuencia_Optima'!$H$42/480),6))-INT(ROUND(MIN('06_Secuencia_Optima'!$G$42,MAX(0,'07_Calendario'!$G$31-'06_Secuencia_Optima'!$L$42-'06_Secuencia_Optima'!$AB$42)*'06_Secuencia_Optima'!$H$42/480),6)))</f>
        <v>0</v>
      </c>
      <c r="AE23" s="51">
        <f>IF('07_Calendario'!$E$32=0,"",INT(ROUND(MIN('06_Secuencia_Optima'!$G$42,MAX(0,'07_Calendario'!$H$32-'06_Secuencia_Optima'!$L$42-'06_Secuencia_Optima'!$AB$42)*'06_Secuencia_Optima'!$H$42/480),6))-INT(ROUND(MIN('06_Secuencia_Optima'!$G$42,MAX(0,'07_Calendario'!$G$32-'06_Secuencia_Optima'!$L$42-'06_Secuencia_Optima'!$AB$42)*'06_Secuencia_Optima'!$H$42/480),6)))</f>
        <v>0</v>
      </c>
      <c r="AF23" s="51">
        <f>IF('07_Calendario'!$E$33=0,"",INT(ROUND(MIN('06_Secuencia_Optima'!$G$42,MAX(0,'07_Calendario'!$H$33-'06_Secuencia_Optima'!$L$42-'06_Secuencia_Optima'!$AB$42)*'06_Secuencia_Optima'!$H$42/480),6))-INT(ROUND(MIN('06_Secuencia_Optima'!$G$42,MAX(0,'07_Calendario'!$G$33-'06_Secuencia_Optima'!$L$42-'06_Secuencia_Optima'!$AB$42)*'06_Secuencia_Optima'!$H$42/480),6)))</f>
        <v>0</v>
      </c>
      <c r="AG23" s="51">
        <f>IF('07_Calendario'!$E$34=0,"",INT(ROUND(MIN('06_Secuencia_Optima'!$G$42,MAX(0,'07_Calendario'!$H$34-'06_Secuencia_Optima'!$L$42-'06_Secuencia_Optima'!$AB$42)*'06_Secuencia_Optima'!$H$42/480),6))-INT(ROUND(MIN('06_Secuencia_Optima'!$G$42,MAX(0,'07_Calendario'!$G$34-'06_Secuencia_Optima'!$L$42-'06_Secuencia_Optima'!$AB$42)*'06_Secuencia_Optima'!$H$42/480),6)))</f>
        <v>0</v>
      </c>
      <c r="AH23" s="51">
        <f>IF('07_Calendario'!$E$35=0,"",INT(ROUND(MIN('06_Secuencia_Optima'!$G$42,MAX(0,'07_Calendario'!$H$35-'06_Secuencia_Optima'!$L$42-'06_Secuencia_Optima'!$AB$42)*'06_Secuencia_Optima'!$H$42/480),6))-INT(ROUND(MIN('06_Secuencia_Optima'!$G$42,MAX(0,'07_Calendario'!$G$35-'06_Secuencia_Optima'!$L$42-'06_Secuencia_Optima'!$AB$42)*'06_Secuencia_Optima'!$H$42/480),6)))</f>
        <v>0</v>
      </c>
      <c r="AI23" s="51">
        <f>IF('07_Calendario'!$E$36=0,"",INT(ROUND(MIN('06_Secuencia_Optima'!$G$42,MAX(0,'07_Calendario'!$H$36-'06_Secuencia_Optima'!$L$42-'06_Secuencia_Optima'!$AB$42)*'06_Secuencia_Optima'!$H$42/480),6))-INT(ROUND(MIN('06_Secuencia_Optima'!$G$42,MAX(0,'07_Calendario'!$G$36-'06_Secuencia_Optima'!$L$42-'06_Secuencia_Optima'!$AB$42)*'06_Secuencia_Optima'!$H$42/480),6)))</f>
        <v>0</v>
      </c>
      <c r="AJ23" s="51" t="str">
        <f>IF('07_Calendario'!$E$37=0,"",INT(ROUND(MIN('06_Secuencia_Optima'!$G$42,MAX(0,'07_Calendario'!$H$37-'06_Secuencia_Optima'!$L$42-'06_Secuencia_Optima'!$AB$42)*'06_Secuencia_Optima'!$H$42/480),6))-INT(ROUND(MIN('06_Secuencia_Optima'!$G$42,MAX(0,'07_Calendario'!$G$37-'06_Secuencia_Optima'!$L$42-'06_Secuencia_Optima'!$AB$42)*'06_Secuencia_Optima'!$H$42/480),6)))</f>
        <v/>
      </c>
      <c r="AK23" s="51">
        <f>IF('07_Calendario'!$E$38=0,"",INT(ROUND(MIN('06_Secuencia_Optima'!$G$42,MAX(0,'07_Calendario'!$H$38-'06_Secuencia_Optima'!$L$42-'06_Secuencia_Optima'!$AB$42)*'06_Secuencia_Optima'!$H$42/480),6))-INT(ROUND(MIN('06_Secuencia_Optima'!$G$42,MAX(0,'07_Calendario'!$G$38-'06_Secuencia_Optima'!$L$42-'06_Secuencia_Optima'!$AB$42)*'06_Secuencia_Optima'!$H$42/480),6)))</f>
        <v>0</v>
      </c>
      <c r="AL23" s="51">
        <f>IF('07_Calendario'!$E$39=0,"",INT(ROUND(MIN('06_Secuencia_Optima'!$G$42,MAX(0,'07_Calendario'!$H$39-'06_Secuencia_Optima'!$L$42-'06_Secuencia_Optima'!$AB$42)*'06_Secuencia_Optima'!$H$42/480),6))-INT(ROUND(MIN('06_Secuencia_Optima'!$G$42,MAX(0,'07_Calendario'!$G$39-'06_Secuencia_Optima'!$L$42-'06_Secuencia_Optima'!$AB$42)*'06_Secuencia_Optima'!$H$42/480),6)))</f>
        <v>0</v>
      </c>
      <c r="AM23" s="51">
        <f>IF('07_Calendario'!$E$40=0,"",INT(ROUND(MIN('06_Secuencia_Optima'!$G$42,MAX(0,'07_Calendario'!$H$40-'06_Secuencia_Optima'!$L$42-'06_Secuencia_Optima'!$AB$42)*'06_Secuencia_Optima'!$H$42/480),6))-INT(ROUND(MIN('06_Secuencia_Optima'!$G$42,MAX(0,'07_Calendario'!$G$40-'06_Secuencia_Optima'!$L$42-'06_Secuencia_Optima'!$AB$42)*'06_Secuencia_Optima'!$H$42/480),6)))</f>
        <v>0</v>
      </c>
      <c r="AN23" s="51">
        <f>IF('07_Calendario'!$E$41=0,"",INT(ROUND(MIN('06_Secuencia_Optima'!$G$42,MAX(0,'07_Calendario'!$H$41-'06_Secuencia_Optima'!$L$42-'06_Secuencia_Optima'!$AB$42)*'06_Secuencia_Optima'!$H$42/480),6))-INT(ROUND(MIN('06_Secuencia_Optima'!$G$42,MAX(0,'07_Calendario'!$G$41-'06_Secuencia_Optima'!$L$42-'06_Secuencia_Optima'!$AB$42)*'06_Secuencia_Optima'!$H$42/480),6)))</f>
        <v>0</v>
      </c>
      <c r="AO23" s="51">
        <f>IF('07_Calendario'!$E$42=0,"",INT(ROUND(MIN('06_Secuencia_Optima'!$G$42,MAX(0,'07_Calendario'!$H$42-'06_Secuencia_Optima'!$L$42-'06_Secuencia_Optima'!$AB$42)*'06_Secuencia_Optima'!$H$42/480),6))-INT(ROUND(MIN('06_Secuencia_Optima'!$G$42,MAX(0,'07_Calendario'!$G$42-'06_Secuencia_Optima'!$L$42-'06_Secuencia_Optima'!$AB$42)*'06_Secuencia_Optima'!$H$42/480),6)))</f>
        <v>0</v>
      </c>
      <c r="AP23" s="51">
        <f>IF('07_Calendario'!$E$43=0,"",INT(ROUND(MIN('06_Secuencia_Optima'!$G$42,MAX(0,'07_Calendario'!$H$43-'06_Secuencia_Optima'!$L$42-'06_Secuencia_Optima'!$AB$42)*'06_Secuencia_Optima'!$H$42/480),6))-INT(ROUND(MIN('06_Secuencia_Optima'!$G$42,MAX(0,'07_Calendario'!$G$43-'06_Secuencia_Optima'!$L$42-'06_Secuencia_Optima'!$AB$42)*'06_Secuencia_Optima'!$H$42/480),6)))</f>
        <v>0</v>
      </c>
      <c r="AQ23" s="51">
        <f>IF('07_Calendario'!$E$44=0,"",INT(ROUND(MIN('06_Secuencia_Optima'!$G$42,MAX(0,'07_Calendario'!$H$44-'06_Secuencia_Optima'!$L$42-'06_Secuencia_Optima'!$AB$42)*'06_Secuencia_Optima'!$H$42/480),6))-INT(ROUND(MIN('06_Secuencia_Optima'!$G$42,MAX(0,'07_Calendario'!$G$44-'06_Secuencia_Optima'!$L$42-'06_Secuencia_Optima'!$AB$42)*'06_Secuencia_Optima'!$H$42/480),6)))</f>
        <v>0</v>
      </c>
      <c r="AR23" s="51">
        <f>IF('07_Calendario'!$E$45=0,"",INT(ROUND(MIN('06_Secuencia_Optima'!$G$42,MAX(0,'07_Calendario'!$H$45-'06_Secuencia_Optima'!$L$42-'06_Secuencia_Optima'!$AB$42)*'06_Secuencia_Optima'!$H$42/480),6))-INT(ROUND(MIN('06_Secuencia_Optima'!$G$42,MAX(0,'07_Calendario'!$G$45-'06_Secuencia_Optima'!$L$42-'06_Secuencia_Optima'!$AB$42)*'06_Secuencia_Optima'!$H$42/480),6)))</f>
        <v>0</v>
      </c>
      <c r="AS23" s="51">
        <f>IF('07_Calendario'!$E$46=0,"",INT(ROUND(MIN('06_Secuencia_Optima'!$G$42,MAX(0,'07_Calendario'!$H$46-'06_Secuencia_Optima'!$L$42-'06_Secuencia_Optima'!$AB$42)*'06_Secuencia_Optima'!$H$42/480),6))-INT(ROUND(MIN('06_Secuencia_Optima'!$G$42,MAX(0,'07_Calendario'!$G$46-'06_Secuencia_Optima'!$L$42-'06_Secuencia_Optima'!$AB$42)*'06_Secuencia_Optima'!$H$42/480),6)))</f>
        <v>0</v>
      </c>
      <c r="AT23" s="51">
        <f>IF('07_Calendario'!$E$47=0,"",INT(ROUND(MIN('06_Secuencia_Optima'!$G$42,MAX(0,'07_Calendario'!$H$47-'06_Secuencia_Optima'!$L$42-'06_Secuencia_Optima'!$AB$42)*'06_Secuencia_Optima'!$H$42/480),6))-INT(ROUND(MIN('06_Secuencia_Optima'!$G$42,MAX(0,'07_Calendario'!$G$47-'06_Secuencia_Optima'!$L$42-'06_Secuencia_Optima'!$AB$42)*'06_Secuencia_Optima'!$H$42/480),6)))</f>
        <v>0</v>
      </c>
      <c r="AU23" s="51">
        <f>IF('07_Calendario'!$E$48=0,"",INT(ROUND(MIN('06_Secuencia_Optima'!$G$42,MAX(0,'07_Calendario'!$H$48-'06_Secuencia_Optima'!$L$42-'06_Secuencia_Optima'!$AB$42)*'06_Secuencia_Optima'!$H$42/480),6))-INT(ROUND(MIN('06_Secuencia_Optima'!$G$42,MAX(0,'07_Calendario'!$G$48-'06_Secuencia_Optima'!$L$42-'06_Secuencia_Optima'!$AB$42)*'06_Secuencia_Optima'!$H$42/480),6)))</f>
        <v>0</v>
      </c>
      <c r="AV23" s="51">
        <f>IF('07_Calendario'!$E$49=0,"",INT(ROUND(MIN('06_Secuencia_Optima'!$G$42,MAX(0,'07_Calendario'!$H$49-'06_Secuencia_Optima'!$L$42-'06_Secuencia_Optima'!$AB$42)*'06_Secuencia_Optima'!$H$42/480),6))-INT(ROUND(MIN('06_Secuencia_Optima'!$G$42,MAX(0,'07_Calendario'!$G$49-'06_Secuencia_Optima'!$L$42-'06_Secuencia_Optima'!$AB$42)*'06_Secuencia_Optima'!$H$42/480),6)))</f>
        <v>0</v>
      </c>
      <c r="AW23" s="51">
        <f>IF('07_Calendario'!$E$50=0,"",INT(ROUND(MIN('06_Secuencia_Optima'!$G$42,MAX(0,'07_Calendario'!$H$50-'06_Secuencia_Optima'!$L$42-'06_Secuencia_Optima'!$AB$42)*'06_Secuencia_Optima'!$H$42/480),6))-INT(ROUND(MIN('06_Secuencia_Optima'!$G$42,MAX(0,'07_Calendario'!$G$50-'06_Secuencia_Optima'!$L$42-'06_Secuencia_Optima'!$AB$42)*'06_Secuencia_Optima'!$H$42/480),6)))</f>
        <v>0</v>
      </c>
      <c r="AX23" s="51">
        <f>IF('07_Calendario'!$E$51=0,"",INT(ROUND(MIN('06_Secuencia_Optima'!$G$42,MAX(0,'07_Calendario'!$H$51-'06_Secuencia_Optima'!$L$42-'06_Secuencia_Optima'!$AB$42)*'06_Secuencia_Optima'!$H$42/480),6))-INT(ROUND(MIN('06_Secuencia_Optima'!$G$42,MAX(0,'07_Calendario'!$G$51-'06_Secuencia_Optima'!$L$42-'06_Secuencia_Optima'!$AB$42)*'06_Secuencia_Optima'!$H$42/480),6)))</f>
        <v>0</v>
      </c>
      <c r="AY23" s="51">
        <f>IF('07_Calendario'!$E$52=0,"",INT(ROUND(MIN('06_Secuencia_Optima'!$G$42,MAX(0,'07_Calendario'!$H$52-'06_Secuencia_Optima'!$L$42-'06_Secuencia_Optima'!$AB$42)*'06_Secuencia_Optima'!$H$42/480),6))-INT(ROUND(MIN('06_Secuencia_Optima'!$G$42,MAX(0,'07_Calendario'!$G$52-'06_Secuencia_Optima'!$L$42-'06_Secuencia_Optima'!$AB$42)*'06_Secuencia_Optima'!$H$42/480),6)))</f>
        <v>0</v>
      </c>
      <c r="AZ23" s="51">
        <f>IF('07_Calendario'!$E$53=0,"",INT(ROUND(MIN('06_Secuencia_Optima'!$G$42,MAX(0,'07_Calendario'!$H$53-'06_Secuencia_Optima'!$L$42-'06_Secuencia_Optima'!$AB$42)*'06_Secuencia_Optima'!$H$42/480),6))-INT(ROUND(MIN('06_Secuencia_Optima'!$G$42,MAX(0,'07_Calendario'!$G$53-'06_Secuencia_Optima'!$L$42-'06_Secuencia_Optima'!$AB$42)*'06_Secuencia_Optima'!$H$42/480),6)))</f>
        <v>0</v>
      </c>
      <c r="BA23" s="51">
        <f>IF('07_Calendario'!$E$54=0,"",INT(ROUND(MIN('06_Secuencia_Optima'!$G$42,MAX(0,'07_Calendario'!$H$54-'06_Secuencia_Optima'!$L$42-'06_Secuencia_Optima'!$AB$42)*'06_Secuencia_Optima'!$H$42/480),6))-INT(ROUND(MIN('06_Secuencia_Optima'!$G$42,MAX(0,'07_Calendario'!$G$54-'06_Secuencia_Optima'!$L$42-'06_Secuencia_Optima'!$AB$42)*'06_Secuencia_Optima'!$H$42/480),6)))</f>
        <v>0</v>
      </c>
      <c r="BB23" s="51" t="str">
        <f>IF('07_Calendario'!$E$55=0,"",INT(ROUND(MIN('06_Secuencia_Optima'!$G$42,MAX(0,'07_Calendario'!$H$55-'06_Secuencia_Optima'!$L$42-'06_Secuencia_Optima'!$AB$42)*'06_Secuencia_Optima'!$H$42/480),6))-INT(ROUND(MIN('06_Secuencia_Optima'!$G$42,MAX(0,'07_Calendario'!$G$55-'06_Secuencia_Optima'!$L$42-'06_Secuencia_Optima'!$AB$42)*'06_Secuencia_Optima'!$H$42/480),6)))</f>
        <v/>
      </c>
      <c r="BC23" s="51">
        <f>IF('07_Calendario'!$E$56=0,"",INT(ROUND(MIN('06_Secuencia_Optima'!$G$42,MAX(0,'07_Calendario'!$H$56-'06_Secuencia_Optima'!$L$42-'06_Secuencia_Optima'!$AB$42)*'06_Secuencia_Optima'!$H$42/480),6))-INT(ROUND(MIN('06_Secuencia_Optima'!$G$42,MAX(0,'07_Calendario'!$G$56-'06_Secuencia_Optima'!$L$42-'06_Secuencia_Optima'!$AB$42)*'06_Secuencia_Optima'!$H$42/480),6)))</f>
        <v>0</v>
      </c>
      <c r="BD23" s="51">
        <f>IF('07_Calendario'!$E$57=0,"",INT(ROUND(MIN('06_Secuencia_Optima'!$G$42,MAX(0,'07_Calendario'!$H$57-'06_Secuencia_Optima'!$L$42-'06_Secuencia_Optima'!$AB$42)*'06_Secuencia_Optima'!$H$42/480),6))-INT(ROUND(MIN('06_Secuencia_Optima'!$G$42,MAX(0,'07_Calendario'!$G$57-'06_Secuencia_Optima'!$L$42-'06_Secuencia_Optima'!$AB$42)*'06_Secuencia_Optima'!$H$42/480),6)))</f>
        <v>0</v>
      </c>
      <c r="BE23" s="51">
        <f>IF('07_Calendario'!$E$58=0,"",INT(ROUND(MIN('06_Secuencia_Optima'!$G$42,MAX(0,'07_Calendario'!$H$58-'06_Secuencia_Optima'!$L$42-'06_Secuencia_Optima'!$AB$42)*'06_Secuencia_Optima'!$H$42/480),6))-INT(ROUND(MIN('06_Secuencia_Optima'!$G$42,MAX(0,'07_Calendario'!$G$58-'06_Secuencia_Optima'!$L$42-'06_Secuencia_Optima'!$AB$42)*'06_Secuencia_Optima'!$H$42/480),6)))</f>
        <v>0</v>
      </c>
      <c r="BF23" s="51">
        <f>IF('07_Calendario'!$E$59=0,"",INT(ROUND(MIN('06_Secuencia_Optima'!$G$42,MAX(0,'07_Calendario'!$H$59-'06_Secuencia_Optima'!$L$42-'06_Secuencia_Optima'!$AB$42)*'06_Secuencia_Optima'!$H$42/480),6))-INT(ROUND(MIN('06_Secuencia_Optima'!$G$42,MAX(0,'07_Calendario'!$G$59-'06_Secuencia_Optima'!$L$42-'06_Secuencia_Optima'!$AB$42)*'06_Secuencia_Optima'!$H$42/480),6)))</f>
        <v>0</v>
      </c>
      <c r="BG23" s="51">
        <f>IF('07_Calendario'!$E$60=0,"",INT(ROUND(MIN('06_Secuencia_Optima'!$G$42,MAX(0,'07_Calendario'!$H$60-'06_Secuencia_Optima'!$L$42-'06_Secuencia_Optima'!$AB$42)*'06_Secuencia_Optima'!$H$42/480),6))-INT(ROUND(MIN('06_Secuencia_Optima'!$G$42,MAX(0,'07_Calendario'!$G$60-'06_Secuencia_Optima'!$L$42-'06_Secuencia_Optima'!$AB$42)*'06_Secuencia_Optima'!$H$42/480),6)))</f>
        <v>0</v>
      </c>
      <c r="BH23" s="51">
        <f>IF('07_Calendario'!$E$61=0,"",INT(ROUND(MIN('06_Secuencia_Optima'!$G$42,MAX(0,'07_Calendario'!$H$61-'06_Secuencia_Optima'!$L$42-'06_Secuencia_Optima'!$AB$42)*'06_Secuencia_Optima'!$H$42/480),6))-INT(ROUND(MIN('06_Secuencia_Optima'!$G$42,MAX(0,'07_Calendario'!$G$61-'06_Secuencia_Optima'!$L$42-'06_Secuencia_Optima'!$AB$42)*'06_Secuencia_Optima'!$H$42/480),6)))</f>
        <v>0</v>
      </c>
      <c r="BI23" s="51">
        <f>IF('07_Calendario'!$E$62=0,"",INT(ROUND(MIN('06_Secuencia_Optima'!$G$42,MAX(0,'07_Calendario'!$H$62-'06_Secuencia_Optima'!$L$42-'06_Secuencia_Optima'!$AB$42)*'06_Secuencia_Optima'!$H$42/480),6))-INT(ROUND(MIN('06_Secuencia_Optima'!$G$42,MAX(0,'07_Calendario'!$G$62-'06_Secuencia_Optima'!$L$42-'06_Secuencia_Optima'!$AB$42)*'06_Secuencia_Optima'!$H$42/480),6)))</f>
        <v>0</v>
      </c>
      <c r="BJ23" s="51">
        <f>IF('07_Calendario'!$E$63=0,"",INT(ROUND(MIN('06_Secuencia_Optima'!$G$42,MAX(0,'07_Calendario'!$H$63-'06_Secuencia_Optima'!$L$42-'06_Secuencia_Optima'!$AB$42)*'06_Secuencia_Optima'!$H$42/480),6))-INT(ROUND(MIN('06_Secuencia_Optima'!$G$42,MAX(0,'07_Calendario'!$G$63-'06_Secuencia_Optima'!$L$42-'06_Secuencia_Optima'!$AB$42)*'06_Secuencia_Optima'!$H$42/480),6)))</f>
        <v>0</v>
      </c>
      <c r="BK23" s="51">
        <f>IF('07_Calendario'!$E$64=0,"",INT(ROUND(MIN('06_Secuencia_Optima'!$G$42,MAX(0,'07_Calendario'!$H$64-'06_Secuencia_Optima'!$L$42-'06_Secuencia_Optima'!$AB$42)*'06_Secuencia_Optima'!$H$42/480),6))-INT(ROUND(MIN('06_Secuencia_Optima'!$G$42,MAX(0,'07_Calendario'!$G$64-'06_Secuencia_Optima'!$L$42-'06_Secuencia_Optima'!$AB$42)*'06_Secuencia_Optima'!$H$42/480),6)))</f>
        <v>0</v>
      </c>
      <c r="BL23" s="51">
        <f>IF('07_Calendario'!$E$65=0,"",INT(ROUND(MIN('06_Secuencia_Optima'!$G$42,MAX(0,'07_Calendario'!$H$65-'06_Secuencia_Optima'!$L$42-'06_Secuencia_Optima'!$AB$42)*'06_Secuencia_Optima'!$H$42/480),6))-INT(ROUND(MIN('06_Secuencia_Optima'!$G$42,MAX(0,'07_Calendario'!$G$65-'06_Secuencia_Optima'!$L$42-'06_Secuencia_Optima'!$AB$42)*'06_Secuencia_Optima'!$H$42/480),6)))</f>
        <v>0</v>
      </c>
      <c r="BM23" s="51">
        <f>IF('07_Calendario'!$E$66=0,"",INT(ROUND(MIN('06_Secuencia_Optima'!$G$42,MAX(0,'07_Calendario'!$H$66-'06_Secuencia_Optima'!$L$42-'06_Secuencia_Optima'!$AB$42)*'06_Secuencia_Optima'!$H$42/480),6))-INT(ROUND(MIN('06_Secuencia_Optima'!$G$42,MAX(0,'07_Calendario'!$G$66-'06_Secuencia_Optima'!$L$42-'06_Secuencia_Optima'!$AB$42)*'06_Secuencia_Optima'!$H$42/480),6)))</f>
        <v>0</v>
      </c>
      <c r="BN23" s="51">
        <f>IF('07_Calendario'!$E$67=0,"",INT(ROUND(MIN('06_Secuencia_Optima'!$G$42,MAX(0,'07_Calendario'!$H$67-'06_Secuencia_Optima'!$L$42-'06_Secuencia_Optima'!$AB$42)*'06_Secuencia_Optima'!$H$42/480),6))-INT(ROUND(MIN('06_Secuencia_Optima'!$G$42,MAX(0,'07_Calendario'!$G$67-'06_Secuencia_Optima'!$L$42-'06_Secuencia_Optima'!$AB$42)*'06_Secuencia_Optima'!$H$42/480),6)))</f>
        <v>0</v>
      </c>
      <c r="BO23" s="51">
        <f>IF('07_Calendario'!$E$68=0,"",INT(ROUND(MIN('06_Secuencia_Optima'!$G$42,MAX(0,'07_Calendario'!$H$68-'06_Secuencia_Optima'!$L$42-'06_Secuencia_Optima'!$AB$42)*'06_Secuencia_Optima'!$H$42/480),6))-INT(ROUND(MIN('06_Secuencia_Optima'!$G$42,MAX(0,'07_Calendario'!$G$68-'06_Secuencia_Optima'!$L$42-'06_Secuencia_Optima'!$AB$42)*'06_Secuencia_Optima'!$H$42/480),6)))</f>
        <v>0</v>
      </c>
      <c r="BP23" s="51">
        <f>IF('07_Calendario'!$E$69=0,"",INT(ROUND(MIN('06_Secuencia_Optima'!$G$42,MAX(0,'07_Calendario'!$H$69-'06_Secuencia_Optima'!$L$42-'06_Secuencia_Optima'!$AB$42)*'06_Secuencia_Optima'!$H$42/480),6))-INT(ROUND(MIN('06_Secuencia_Optima'!$G$42,MAX(0,'07_Calendario'!$G$69-'06_Secuencia_Optima'!$L$42-'06_Secuencia_Optima'!$AB$42)*'06_Secuencia_Optima'!$H$42/480),6)))</f>
        <v>0</v>
      </c>
      <c r="BQ23" s="51">
        <f>IF('07_Calendario'!$E$70=0,"",INT(ROUND(MIN('06_Secuencia_Optima'!$G$42,MAX(0,'07_Calendario'!$H$70-'06_Secuencia_Optima'!$L$42-'06_Secuencia_Optima'!$AB$42)*'06_Secuencia_Optima'!$H$42/480),6))-INT(ROUND(MIN('06_Secuencia_Optima'!$G$42,MAX(0,'07_Calendario'!$G$70-'06_Secuencia_Optima'!$L$42-'06_Secuencia_Optima'!$AB$42)*'06_Secuencia_Optima'!$H$42/480),6)))</f>
        <v>0</v>
      </c>
      <c r="BR23" s="51">
        <f>IF('07_Calendario'!$E$71=0,"",INT(ROUND(MIN('06_Secuencia_Optima'!$G$42,MAX(0,'07_Calendario'!$H$71-'06_Secuencia_Optima'!$L$42-'06_Secuencia_Optima'!$AB$42)*'06_Secuencia_Optima'!$H$42/480),6))-INT(ROUND(MIN('06_Secuencia_Optima'!$G$42,MAX(0,'07_Calendario'!$G$71-'06_Secuencia_Optima'!$L$42-'06_Secuencia_Optima'!$AB$42)*'06_Secuencia_Optima'!$H$42/480),6)))</f>
        <v>0</v>
      </c>
      <c r="BS23" s="51">
        <f>IF('07_Calendario'!$E$72=0,"",INT(ROUND(MIN('06_Secuencia_Optima'!$G$42,MAX(0,'07_Calendario'!$H$72-'06_Secuencia_Optima'!$L$42-'06_Secuencia_Optima'!$AB$42)*'06_Secuencia_Optima'!$H$42/480),6))-INT(ROUND(MIN('06_Secuencia_Optima'!$G$42,MAX(0,'07_Calendario'!$G$72-'06_Secuencia_Optima'!$L$42-'06_Secuencia_Optima'!$AB$42)*'06_Secuencia_Optima'!$H$42/480),6)))</f>
        <v>0</v>
      </c>
      <c r="BT23" s="51" t="str">
        <f>IF('07_Calendario'!$E$73=0,"",INT(ROUND(MIN('06_Secuencia_Optima'!$G$42,MAX(0,'07_Calendario'!$H$73-'06_Secuencia_Optima'!$L$42-'06_Secuencia_Optima'!$AB$42)*'06_Secuencia_Optima'!$H$42/480),6))-INT(ROUND(MIN('06_Secuencia_Optima'!$G$42,MAX(0,'07_Calendario'!$G$73-'06_Secuencia_Optima'!$L$42-'06_Secuencia_Optima'!$AB$42)*'06_Secuencia_Optima'!$H$42/480),6)))</f>
        <v/>
      </c>
      <c r="BU23" s="51">
        <f>IF('07_Calendario'!$E$74=0,"",INT(ROUND(MIN('06_Secuencia_Optima'!$G$42,MAX(0,'07_Calendario'!$H$74-'06_Secuencia_Optima'!$L$42-'06_Secuencia_Optima'!$AB$42)*'06_Secuencia_Optima'!$H$42/480),6))-INT(ROUND(MIN('06_Secuencia_Optima'!$G$42,MAX(0,'07_Calendario'!$G$74-'06_Secuencia_Optima'!$L$42-'06_Secuencia_Optima'!$AB$42)*'06_Secuencia_Optima'!$H$42/480),6)))</f>
        <v>0</v>
      </c>
      <c r="BV23" s="51">
        <f>IF('07_Calendario'!$E$75=0,"",INT(ROUND(MIN('06_Secuencia_Optima'!$G$42,MAX(0,'07_Calendario'!$H$75-'06_Secuencia_Optima'!$L$42-'06_Secuencia_Optima'!$AB$42)*'06_Secuencia_Optima'!$H$42/480),6))-INT(ROUND(MIN('06_Secuencia_Optima'!$G$42,MAX(0,'07_Calendario'!$G$75-'06_Secuencia_Optima'!$L$42-'06_Secuencia_Optima'!$AB$42)*'06_Secuencia_Optima'!$H$42/480),6)))</f>
        <v>0</v>
      </c>
      <c r="BW23" s="51">
        <f>IF('07_Calendario'!$E$76=0,"",INT(ROUND(MIN('06_Secuencia_Optima'!$G$42,MAX(0,'07_Calendario'!$H$76-'06_Secuencia_Optima'!$L$42-'06_Secuencia_Optima'!$AB$42)*'06_Secuencia_Optima'!$H$42/480),6))-INT(ROUND(MIN('06_Secuencia_Optima'!$G$42,MAX(0,'07_Calendario'!$G$76-'06_Secuencia_Optima'!$L$42-'06_Secuencia_Optima'!$AB$42)*'06_Secuencia_Optima'!$H$42/480),6)))</f>
        <v>0</v>
      </c>
      <c r="BX23" s="51">
        <f>IF('07_Calendario'!$E$77=0,"",INT(ROUND(MIN('06_Secuencia_Optima'!$G$42,MAX(0,'07_Calendario'!$H$77-'06_Secuencia_Optima'!$L$42-'06_Secuencia_Optima'!$AB$42)*'06_Secuencia_Optima'!$H$42/480),6))-INT(ROUND(MIN('06_Secuencia_Optima'!$G$42,MAX(0,'07_Calendario'!$G$77-'06_Secuencia_Optima'!$L$42-'06_Secuencia_Optima'!$AB$42)*'06_Secuencia_Optima'!$H$42/480),6)))</f>
        <v>0</v>
      </c>
      <c r="BY23" s="51">
        <f>IF('07_Calendario'!$E$78=0,"",INT(ROUND(MIN('06_Secuencia_Optima'!$G$42,MAX(0,'07_Calendario'!$H$78-'06_Secuencia_Optima'!$L$42-'06_Secuencia_Optima'!$AB$42)*'06_Secuencia_Optima'!$H$42/480),6))-INT(ROUND(MIN('06_Secuencia_Optima'!$G$42,MAX(0,'07_Calendario'!$G$78-'06_Secuencia_Optima'!$L$42-'06_Secuencia_Optima'!$AB$42)*'06_Secuencia_Optima'!$H$42/480),6)))</f>
        <v>0</v>
      </c>
      <c r="BZ23" s="51">
        <f>IF('07_Calendario'!$E$79=0,"",INT(ROUND(MIN('06_Secuencia_Optima'!$G$42,MAX(0,'07_Calendario'!$H$79-'06_Secuencia_Optima'!$L$42-'06_Secuencia_Optima'!$AB$42)*'06_Secuencia_Optima'!$H$42/480),6))-INT(ROUND(MIN('06_Secuencia_Optima'!$G$42,MAX(0,'07_Calendario'!$G$79-'06_Secuencia_Optima'!$L$42-'06_Secuencia_Optima'!$AB$42)*'06_Secuencia_Optima'!$H$42/480),6)))</f>
        <v>0</v>
      </c>
      <c r="CA23" s="51">
        <f>IF('07_Calendario'!$E$80=0,"",INT(ROUND(MIN('06_Secuencia_Optima'!$G$42,MAX(0,'07_Calendario'!$H$80-'06_Secuencia_Optima'!$L$42-'06_Secuencia_Optima'!$AB$42)*'06_Secuencia_Optima'!$H$42/480),6))-INT(ROUND(MIN('06_Secuencia_Optima'!$G$42,MAX(0,'07_Calendario'!$G$80-'06_Secuencia_Optima'!$L$42-'06_Secuencia_Optima'!$AB$42)*'06_Secuencia_Optima'!$H$42/480),6)))</f>
        <v>0</v>
      </c>
      <c r="CB23" s="51">
        <f>IF('07_Calendario'!$E$81=0,"",INT(ROUND(MIN('06_Secuencia_Optima'!$G$42,MAX(0,'07_Calendario'!$H$81-'06_Secuencia_Optima'!$L$42-'06_Secuencia_Optima'!$AB$42)*'06_Secuencia_Optima'!$H$42/480),6))-INT(ROUND(MIN('06_Secuencia_Optima'!$G$42,MAX(0,'07_Calendario'!$G$81-'06_Secuencia_Optima'!$L$42-'06_Secuencia_Optima'!$AB$42)*'06_Secuencia_Optima'!$H$42/480),6)))</f>
        <v>0</v>
      </c>
      <c r="CC23" s="51">
        <f>IF('07_Calendario'!$E$82=0,"",INT(ROUND(MIN('06_Secuencia_Optima'!$G$42,MAX(0,'07_Calendario'!$H$82-'06_Secuencia_Optima'!$L$42-'06_Secuencia_Optima'!$AB$42)*'06_Secuencia_Optima'!$H$42/480),6))-INT(ROUND(MIN('06_Secuencia_Optima'!$G$42,MAX(0,'07_Calendario'!$G$82-'06_Secuencia_Optima'!$L$42-'06_Secuencia_Optima'!$AB$42)*'06_Secuencia_Optima'!$H$42/480),6)))</f>
        <v>0</v>
      </c>
      <c r="CD23" s="18">
        <f t="shared" si="0"/>
        <v>1712</v>
      </c>
      <c r="CE23" s="19">
        <f>'06_Secuencia_Optima'!$G$42</f>
        <v>1712</v>
      </c>
      <c r="CF23" s="10" t="str">
        <f t="shared" si="1"/>
        <v>OK</v>
      </c>
    </row>
    <row r="25" spans="1:84" x14ac:dyDescent="0.2">
      <c r="A25" s="134" t="s">
        <v>263</v>
      </c>
      <c r="B25" s="135"/>
      <c r="C25" s="135"/>
      <c r="D25" s="51">
        <f>IF('07_Calendario'!$E$5=0,"",SUM(D7:D23))</f>
        <v>24494</v>
      </c>
      <c r="E25" s="51">
        <f>IF('07_Calendario'!$E$6=0,"",SUM(E7:E23))</f>
        <v>16483</v>
      </c>
      <c r="F25" s="51">
        <f>IF('07_Calendario'!$E$7=0,"",SUM(F7:F23))</f>
        <v>8910</v>
      </c>
      <c r="G25" s="51">
        <f>IF('07_Calendario'!$E$8=0,"",SUM(G7:G23))</f>
        <v>4669</v>
      </c>
      <c r="H25" s="51">
        <f>IF('07_Calendario'!$E$9=0,"",SUM(H7:H23))</f>
        <v>3820</v>
      </c>
      <c r="I25" s="51">
        <f>IF('07_Calendario'!$E$10=0,"",SUM(I7:I23))</f>
        <v>3820</v>
      </c>
      <c r="J25" s="51">
        <f>IF('07_Calendario'!$E$11=0,"",SUM(J7:J23))</f>
        <v>3012</v>
      </c>
      <c r="K25" s="51">
        <f>IF('07_Calendario'!$E$12=0,"",SUM(K7:K23))</f>
        <v>2676</v>
      </c>
      <c r="L25" s="51">
        <f>IF('07_Calendario'!$E$13=0,"",SUM(L7:L23))</f>
        <v>2676</v>
      </c>
      <c r="M25" s="51">
        <f>IF('07_Calendario'!$E$14=0,"",SUM(M7:M23))</f>
        <v>2676</v>
      </c>
      <c r="N25" s="51">
        <f>IF('07_Calendario'!$E$15=0,"",SUM(N7:N23))</f>
        <v>2676</v>
      </c>
      <c r="O25" s="51">
        <f>IF('07_Calendario'!$E$16=0,"",SUM(O7:O23))</f>
        <v>2676</v>
      </c>
      <c r="P25" s="51">
        <f>IF('07_Calendario'!$E$17=0,"",SUM(P7:P23))</f>
        <v>2676</v>
      </c>
      <c r="Q25" s="51">
        <f>IF('07_Calendario'!$E$18=0,"",SUM(Q7:Q23))</f>
        <v>2667</v>
      </c>
      <c r="R25" s="51" t="str">
        <f>IF('07_Calendario'!$E$19=0,"",SUM(R7:R23))</f>
        <v/>
      </c>
      <c r="S25" s="51">
        <f>IF('07_Calendario'!$E$20=0,"",SUM(S7:S23))</f>
        <v>1200</v>
      </c>
      <c r="T25" s="51">
        <f>IF('07_Calendario'!$E$21=0,"",SUM(T7:T23))</f>
        <v>1200</v>
      </c>
      <c r="U25" s="51">
        <f>IF('07_Calendario'!$E$22=0,"",SUM(U7:U23))</f>
        <v>0</v>
      </c>
      <c r="V25" s="51">
        <f>IF('07_Calendario'!$E$23=0,"",SUM(V7:V23))</f>
        <v>0</v>
      </c>
      <c r="W25" s="51">
        <f>IF('07_Calendario'!$E$24=0,"",SUM(W7:W23))</f>
        <v>0</v>
      </c>
      <c r="X25" s="51">
        <f>IF('07_Calendario'!$E$25=0,"",SUM(X7:X23))</f>
        <v>0</v>
      </c>
      <c r="Y25" s="51">
        <f>IF('07_Calendario'!$E$26=0,"",SUM(Y7:Y23))</f>
        <v>0</v>
      </c>
      <c r="Z25" s="51">
        <f>IF('07_Calendario'!$E$27=0,"",SUM(Z7:Z23))</f>
        <v>0</v>
      </c>
      <c r="AA25" s="51">
        <f>IF('07_Calendario'!$E$28=0,"",SUM(AA7:AA23))</f>
        <v>0</v>
      </c>
      <c r="AB25" s="51">
        <f>IF('07_Calendario'!$E$29=0,"",SUM(AB7:AB23))</f>
        <v>0</v>
      </c>
      <c r="AC25" s="51">
        <f>IF('07_Calendario'!$E$30=0,"",SUM(AC7:AC23))</f>
        <v>0</v>
      </c>
      <c r="AD25" s="51">
        <f>IF('07_Calendario'!$E$31=0,"",SUM(AD7:AD23))</f>
        <v>0</v>
      </c>
      <c r="AE25" s="51">
        <f>IF('07_Calendario'!$E$32=0,"",SUM(AE7:AE23))</f>
        <v>0</v>
      </c>
      <c r="AF25" s="51">
        <f>IF('07_Calendario'!$E$33=0,"",SUM(AF7:AF23))</f>
        <v>0</v>
      </c>
      <c r="AG25" s="51">
        <f>IF('07_Calendario'!$E$34=0,"",SUM(AG7:AG23))</f>
        <v>0</v>
      </c>
      <c r="AH25" s="51">
        <f>IF('07_Calendario'!$E$35=0,"",SUM(AH7:AH23))</f>
        <v>0</v>
      </c>
      <c r="AI25" s="51">
        <f>IF('07_Calendario'!$E$36=0,"",SUM(AI7:AI23))</f>
        <v>0</v>
      </c>
      <c r="AJ25" s="51" t="str">
        <f>IF('07_Calendario'!$E$37=0,"",SUM(AJ7:AJ23))</f>
        <v/>
      </c>
      <c r="AK25" s="51">
        <f>IF('07_Calendario'!$E$38=0,"",SUM(AK7:AK23))</f>
        <v>0</v>
      </c>
      <c r="AL25" s="51">
        <f>IF('07_Calendario'!$E$39=0,"",SUM(AL7:AL23))</f>
        <v>0</v>
      </c>
      <c r="AM25" s="51">
        <f>IF('07_Calendario'!$E$40=0,"",SUM(AM7:AM23))</f>
        <v>0</v>
      </c>
      <c r="AN25" s="51">
        <f>IF('07_Calendario'!$E$41=0,"",SUM(AN7:AN23))</f>
        <v>0</v>
      </c>
      <c r="AO25" s="51">
        <f>IF('07_Calendario'!$E$42=0,"",SUM(AO7:AO23))</f>
        <v>0</v>
      </c>
      <c r="AP25" s="51">
        <f>IF('07_Calendario'!$E$43=0,"",SUM(AP7:AP23))</f>
        <v>0</v>
      </c>
      <c r="AQ25" s="51">
        <f>IF('07_Calendario'!$E$44=0,"",SUM(AQ7:AQ23))</f>
        <v>0</v>
      </c>
      <c r="AR25" s="51">
        <f>IF('07_Calendario'!$E$45=0,"",SUM(AR7:AR23))</f>
        <v>0</v>
      </c>
      <c r="AS25" s="51">
        <f>IF('07_Calendario'!$E$46=0,"",SUM(AS7:AS23))</f>
        <v>0</v>
      </c>
      <c r="AT25" s="51">
        <f>IF('07_Calendario'!$E$47=0,"",SUM(AT7:AT23))</f>
        <v>0</v>
      </c>
      <c r="AU25" s="51">
        <f>IF('07_Calendario'!$E$48=0,"",SUM(AU7:AU23))</f>
        <v>0</v>
      </c>
      <c r="AV25" s="51">
        <f>IF('07_Calendario'!$E$49=0,"",SUM(AV7:AV23))</f>
        <v>0</v>
      </c>
      <c r="AW25" s="51">
        <f>IF('07_Calendario'!$E$50=0,"",SUM(AW7:AW23))</f>
        <v>0</v>
      </c>
      <c r="AX25" s="51">
        <f>IF('07_Calendario'!$E$51=0,"",SUM(AX7:AX23))</f>
        <v>0</v>
      </c>
      <c r="AY25" s="51">
        <f>IF('07_Calendario'!$E$52=0,"",SUM(AY7:AY23))</f>
        <v>0</v>
      </c>
      <c r="AZ25" s="51">
        <f>IF('07_Calendario'!$E$53=0,"",SUM(AZ7:AZ23))</f>
        <v>0</v>
      </c>
      <c r="BA25" s="51">
        <f>IF('07_Calendario'!$E$54=0,"",SUM(BA7:BA23))</f>
        <v>0</v>
      </c>
      <c r="BB25" s="51" t="str">
        <f>IF('07_Calendario'!$E$55=0,"",SUM(BB7:BB23))</f>
        <v/>
      </c>
      <c r="BC25" s="51">
        <f>IF('07_Calendario'!$E$56=0,"",SUM(BC7:BC23))</f>
        <v>0</v>
      </c>
      <c r="BD25" s="51">
        <f>IF('07_Calendario'!$E$57=0,"",SUM(BD7:BD23))</f>
        <v>0</v>
      </c>
      <c r="BE25" s="51">
        <f>IF('07_Calendario'!$E$58=0,"",SUM(BE7:BE23))</f>
        <v>0</v>
      </c>
      <c r="BF25" s="51">
        <f>IF('07_Calendario'!$E$59=0,"",SUM(BF7:BF23))</f>
        <v>0</v>
      </c>
      <c r="BG25" s="51">
        <f>IF('07_Calendario'!$E$60=0,"",SUM(BG7:BG23))</f>
        <v>0</v>
      </c>
      <c r="BH25" s="51">
        <f>IF('07_Calendario'!$E$61=0,"",SUM(BH7:BH23))</f>
        <v>0</v>
      </c>
      <c r="BI25" s="51">
        <f>IF('07_Calendario'!$E$62=0,"",SUM(BI7:BI23))</f>
        <v>0</v>
      </c>
      <c r="BJ25" s="51">
        <f>IF('07_Calendario'!$E$63=0,"",SUM(BJ7:BJ23))</f>
        <v>0</v>
      </c>
      <c r="BK25" s="51">
        <f>IF('07_Calendario'!$E$64=0,"",SUM(BK7:BK23))</f>
        <v>0</v>
      </c>
      <c r="BL25" s="51">
        <f>IF('07_Calendario'!$E$65=0,"",SUM(BL7:BL23))</f>
        <v>0</v>
      </c>
      <c r="BM25" s="51">
        <f>IF('07_Calendario'!$E$66=0,"",SUM(BM7:BM23))</f>
        <v>0</v>
      </c>
      <c r="BN25" s="51">
        <f>IF('07_Calendario'!$E$67=0,"",SUM(BN7:BN23))</f>
        <v>0</v>
      </c>
      <c r="BO25" s="51">
        <f>IF('07_Calendario'!$E$68=0,"",SUM(BO7:BO23))</f>
        <v>0</v>
      </c>
      <c r="BP25" s="51">
        <f>IF('07_Calendario'!$E$69=0,"",SUM(BP7:BP23))</f>
        <v>0</v>
      </c>
      <c r="BQ25" s="51">
        <f>IF('07_Calendario'!$E$70=0,"",SUM(BQ7:BQ23))</f>
        <v>0</v>
      </c>
      <c r="BR25" s="51">
        <f>IF('07_Calendario'!$E$71=0,"",SUM(BR7:BR23))</f>
        <v>0</v>
      </c>
      <c r="BS25" s="51">
        <f>IF('07_Calendario'!$E$72=0,"",SUM(BS7:BS23))</f>
        <v>0</v>
      </c>
      <c r="BT25" s="51" t="str">
        <f>IF('07_Calendario'!$E$73=0,"",SUM(BT7:BT23))</f>
        <v/>
      </c>
      <c r="BU25" s="51">
        <f>IF('07_Calendario'!$E$74=0,"",SUM(BU7:BU23))</f>
        <v>0</v>
      </c>
      <c r="BV25" s="51">
        <f>IF('07_Calendario'!$E$75=0,"",SUM(BV7:BV23))</f>
        <v>0</v>
      </c>
      <c r="BW25" s="51">
        <f>IF('07_Calendario'!$E$76=0,"",SUM(BW7:BW23))</f>
        <v>0</v>
      </c>
      <c r="BX25" s="51">
        <f>IF('07_Calendario'!$E$77=0,"",SUM(BX7:BX23))</f>
        <v>0</v>
      </c>
      <c r="BY25" s="51">
        <f>IF('07_Calendario'!$E$78=0,"",SUM(BY7:BY23))</f>
        <v>0</v>
      </c>
      <c r="BZ25" s="51">
        <f>IF('07_Calendario'!$E$79=0,"",SUM(BZ7:BZ23))</f>
        <v>0</v>
      </c>
      <c r="CA25" s="51">
        <f>IF('07_Calendario'!$E$80=0,"",SUM(CA7:CA23))</f>
        <v>0</v>
      </c>
      <c r="CB25" s="51">
        <f>IF('07_Calendario'!$E$81=0,"",SUM(CB7:CB23))</f>
        <v>0</v>
      </c>
      <c r="CC25" s="51">
        <f>IF('07_Calendario'!$E$82=0,"",SUM(CC7:CC23))</f>
        <v>0</v>
      </c>
      <c r="CD25" s="18">
        <f>SUM($D25:$CC25)</f>
        <v>86331</v>
      </c>
    </row>
    <row r="26" spans="1:84" x14ac:dyDescent="0.2">
      <c r="A26" s="134" t="s">
        <v>264</v>
      </c>
      <c r="B26" s="135"/>
      <c r="C26" s="135"/>
      <c r="D26" s="111">
        <f>IF('07_Calendario'!$E$5=0,"",SUMPRODUCT(D7:D23,'06_Secuencia_Optima'!$I$26:$I$42))</f>
        <v>6565.7721330977083</v>
      </c>
      <c r="E26" s="111">
        <f>IF('07_Calendario'!$E$6=0,"",SUMPRODUCT(E7:E23,'06_Secuencia_Optima'!$I$26:$I$42))</f>
        <v>4818.3037062307831</v>
      </c>
      <c r="F26" s="111">
        <f>IF('07_Calendario'!$E$7=0,"",SUMPRODUCT(F7:F23,'06_Secuencia_Optima'!$I$26:$I$42))</f>
        <v>3002.4126530479689</v>
      </c>
      <c r="G26" s="111">
        <f>IF('07_Calendario'!$E$8=0,"",SUMPRODUCT(G7:G23,'06_Secuencia_Optima'!$I$26:$I$42))</f>
        <v>1775.0847002165585</v>
      </c>
      <c r="H26" s="111">
        <f>IF('07_Calendario'!$E$9=0,"",SUMPRODUCT(H7:H23,'06_Secuencia_Optima'!$I$26:$I$42))</f>
        <v>1440</v>
      </c>
      <c r="I26" s="111">
        <f>IF('07_Calendario'!$E$10=0,"",SUMPRODUCT(I7:I23,'06_Secuencia_Optima'!$I$26:$I$42))</f>
        <v>1440</v>
      </c>
      <c r="J26" s="111">
        <f>IF('07_Calendario'!$E$11=0,"",SUMPRODUCT(J7:J23,'06_Secuencia_Optima'!$I$26:$I$42))</f>
        <v>1100.979020979021</v>
      </c>
      <c r="K26" s="111">
        <f>IF('07_Calendario'!$E$12=0,"",SUMPRODUCT(K7:K23,'06_Secuencia_Optima'!$I$26:$I$42))</f>
        <v>960</v>
      </c>
      <c r="L26" s="111">
        <f>IF('07_Calendario'!$E$13=0,"",SUMPRODUCT(L7:L23,'06_Secuencia_Optima'!$I$26:$I$42))</f>
        <v>960</v>
      </c>
      <c r="M26" s="111">
        <f>IF('07_Calendario'!$E$14=0,"",SUMPRODUCT(M7:M23,'06_Secuencia_Optima'!$I$26:$I$42))</f>
        <v>960</v>
      </c>
      <c r="N26" s="111">
        <f>IF('07_Calendario'!$E$15=0,"",SUMPRODUCT(N7:N23,'06_Secuencia_Optima'!$I$26:$I$42))</f>
        <v>960</v>
      </c>
      <c r="O26" s="111">
        <f>IF('07_Calendario'!$E$16=0,"",SUMPRODUCT(O7:O23,'06_Secuencia_Optima'!$I$26:$I$42))</f>
        <v>960</v>
      </c>
      <c r="P26" s="111">
        <f>IF('07_Calendario'!$E$17=0,"",SUMPRODUCT(P7:P23,'06_Secuencia_Optima'!$I$26:$I$42))</f>
        <v>960</v>
      </c>
      <c r="Q26" s="111">
        <f>IF('07_Calendario'!$E$18=0,"",SUMPRODUCT(Q7:Q23,'06_Secuencia_Optima'!$I$26:$I$42))</f>
        <v>957.07317073170725</v>
      </c>
      <c r="R26" s="111" t="str">
        <f>IF('07_Calendario'!$E$19=0,"",SUMPRODUCT(R7:R23,'06_Secuencia_Optima'!$I$26:$I$42))</f>
        <v/>
      </c>
      <c r="S26" s="111">
        <f>IF('07_Calendario'!$E$20=0,"",SUMPRODUCT(S7:S23,'06_Secuencia_Optima'!$I$26:$I$42))</f>
        <v>480</v>
      </c>
      <c r="T26" s="111">
        <f>IF('07_Calendario'!$E$21=0,"",SUMPRODUCT(T7:T23,'06_Secuencia_Optima'!$I$26:$I$42))</f>
        <v>480</v>
      </c>
      <c r="U26" s="111">
        <f>IF('07_Calendario'!$E$22=0,"",SUMPRODUCT(U7:U23,'06_Secuencia_Optima'!$I$26:$I$42))</f>
        <v>0</v>
      </c>
      <c r="V26" s="111">
        <f>IF('07_Calendario'!$E$23=0,"",SUMPRODUCT(V7:V23,'06_Secuencia_Optima'!$I$26:$I$42))</f>
        <v>0</v>
      </c>
      <c r="W26" s="111">
        <f>IF('07_Calendario'!$E$24=0,"",SUMPRODUCT(W7:W23,'06_Secuencia_Optima'!$I$26:$I$42))</f>
        <v>0</v>
      </c>
      <c r="X26" s="111">
        <f>IF('07_Calendario'!$E$25=0,"",SUMPRODUCT(X7:X23,'06_Secuencia_Optima'!$I$26:$I$42))</f>
        <v>0</v>
      </c>
      <c r="Y26" s="111">
        <f>IF('07_Calendario'!$E$26=0,"",SUMPRODUCT(Y7:Y23,'06_Secuencia_Optima'!$I$26:$I$42))</f>
        <v>0</v>
      </c>
      <c r="Z26" s="111">
        <f>IF('07_Calendario'!$E$27=0,"",SUMPRODUCT(Z7:Z23,'06_Secuencia_Optima'!$I$26:$I$42))</f>
        <v>0</v>
      </c>
      <c r="AA26" s="111">
        <f>IF('07_Calendario'!$E$28=0,"",SUMPRODUCT(AA7:AA23,'06_Secuencia_Optima'!$I$26:$I$42))</f>
        <v>0</v>
      </c>
      <c r="AB26" s="111">
        <f>IF('07_Calendario'!$E$29=0,"",SUMPRODUCT(AB7:AB23,'06_Secuencia_Optima'!$I$26:$I$42))</f>
        <v>0</v>
      </c>
      <c r="AC26" s="111">
        <f>IF('07_Calendario'!$E$30=0,"",SUMPRODUCT(AC7:AC23,'06_Secuencia_Optima'!$I$26:$I$42))</f>
        <v>0</v>
      </c>
      <c r="AD26" s="111">
        <f>IF('07_Calendario'!$E$31=0,"",SUMPRODUCT(AD7:AD23,'06_Secuencia_Optima'!$I$26:$I$42))</f>
        <v>0</v>
      </c>
      <c r="AE26" s="111">
        <f>IF('07_Calendario'!$E$32=0,"",SUMPRODUCT(AE7:AE23,'06_Secuencia_Optima'!$I$26:$I$42))</f>
        <v>0</v>
      </c>
      <c r="AF26" s="111">
        <f>IF('07_Calendario'!$E$33=0,"",SUMPRODUCT(AF7:AF23,'06_Secuencia_Optima'!$I$26:$I$42))</f>
        <v>0</v>
      </c>
      <c r="AG26" s="111">
        <f>IF('07_Calendario'!$E$34=0,"",SUMPRODUCT(AG7:AG23,'06_Secuencia_Optima'!$I$26:$I$42))</f>
        <v>0</v>
      </c>
      <c r="AH26" s="111">
        <f>IF('07_Calendario'!$E$35=0,"",SUMPRODUCT(AH7:AH23,'06_Secuencia_Optima'!$I$26:$I$42))</f>
        <v>0</v>
      </c>
      <c r="AI26" s="111">
        <f>IF('07_Calendario'!$E$36=0,"",SUMPRODUCT(AI7:AI23,'06_Secuencia_Optima'!$I$26:$I$42))</f>
        <v>0</v>
      </c>
      <c r="AJ26" s="111" t="str">
        <f>IF('07_Calendario'!$E$37=0,"",SUMPRODUCT(AJ7:AJ23,'06_Secuencia_Optima'!$I$26:$I$42))</f>
        <v/>
      </c>
      <c r="AK26" s="111">
        <f>IF('07_Calendario'!$E$38=0,"",SUMPRODUCT(AK7:AK23,'06_Secuencia_Optima'!$I$26:$I$42))</f>
        <v>0</v>
      </c>
      <c r="AL26" s="111">
        <f>IF('07_Calendario'!$E$39=0,"",SUMPRODUCT(AL7:AL23,'06_Secuencia_Optima'!$I$26:$I$42))</f>
        <v>0</v>
      </c>
      <c r="AM26" s="111">
        <f>IF('07_Calendario'!$E$40=0,"",SUMPRODUCT(AM7:AM23,'06_Secuencia_Optima'!$I$26:$I$42))</f>
        <v>0</v>
      </c>
      <c r="AN26" s="111">
        <f>IF('07_Calendario'!$E$41=0,"",SUMPRODUCT(AN7:AN23,'06_Secuencia_Optima'!$I$26:$I$42))</f>
        <v>0</v>
      </c>
      <c r="AO26" s="111">
        <f>IF('07_Calendario'!$E$42=0,"",SUMPRODUCT(AO7:AO23,'06_Secuencia_Optima'!$I$26:$I$42))</f>
        <v>0</v>
      </c>
      <c r="AP26" s="111">
        <f>IF('07_Calendario'!$E$43=0,"",SUMPRODUCT(AP7:AP23,'06_Secuencia_Optima'!$I$26:$I$42))</f>
        <v>0</v>
      </c>
      <c r="AQ26" s="111">
        <f>IF('07_Calendario'!$E$44=0,"",SUMPRODUCT(AQ7:AQ23,'06_Secuencia_Optima'!$I$26:$I$42))</f>
        <v>0</v>
      </c>
      <c r="AR26" s="111">
        <f>IF('07_Calendario'!$E$45=0,"",SUMPRODUCT(AR7:AR23,'06_Secuencia_Optima'!$I$26:$I$42))</f>
        <v>0</v>
      </c>
      <c r="AS26" s="111">
        <f>IF('07_Calendario'!$E$46=0,"",SUMPRODUCT(AS7:AS23,'06_Secuencia_Optima'!$I$26:$I$42))</f>
        <v>0</v>
      </c>
      <c r="AT26" s="111">
        <f>IF('07_Calendario'!$E$47=0,"",SUMPRODUCT(AT7:AT23,'06_Secuencia_Optima'!$I$26:$I$42))</f>
        <v>0</v>
      </c>
      <c r="AU26" s="111">
        <f>IF('07_Calendario'!$E$48=0,"",SUMPRODUCT(AU7:AU23,'06_Secuencia_Optima'!$I$26:$I$42))</f>
        <v>0</v>
      </c>
      <c r="AV26" s="111">
        <f>IF('07_Calendario'!$E$49=0,"",SUMPRODUCT(AV7:AV23,'06_Secuencia_Optima'!$I$26:$I$42))</f>
        <v>0</v>
      </c>
      <c r="AW26" s="111">
        <f>IF('07_Calendario'!$E$50=0,"",SUMPRODUCT(AW7:AW23,'06_Secuencia_Optima'!$I$26:$I$42))</f>
        <v>0</v>
      </c>
      <c r="AX26" s="111">
        <f>IF('07_Calendario'!$E$51=0,"",SUMPRODUCT(AX7:AX23,'06_Secuencia_Optima'!$I$26:$I$42))</f>
        <v>0</v>
      </c>
      <c r="AY26" s="111">
        <f>IF('07_Calendario'!$E$52=0,"",SUMPRODUCT(AY7:AY23,'06_Secuencia_Optima'!$I$26:$I$42))</f>
        <v>0</v>
      </c>
      <c r="AZ26" s="111">
        <f>IF('07_Calendario'!$E$53=0,"",SUMPRODUCT(AZ7:AZ23,'06_Secuencia_Optima'!$I$26:$I$42))</f>
        <v>0</v>
      </c>
      <c r="BA26" s="111">
        <f>IF('07_Calendario'!$E$54=0,"",SUMPRODUCT(BA7:BA23,'06_Secuencia_Optima'!$I$26:$I$42))</f>
        <v>0</v>
      </c>
      <c r="BB26" s="111" t="str">
        <f>IF('07_Calendario'!$E$55=0,"",SUMPRODUCT(BB7:BB23,'06_Secuencia_Optima'!$I$26:$I$42))</f>
        <v/>
      </c>
      <c r="BC26" s="111">
        <f>IF('07_Calendario'!$E$56=0,"",SUMPRODUCT(BC7:BC23,'06_Secuencia_Optima'!$I$26:$I$42))</f>
        <v>0</v>
      </c>
      <c r="BD26" s="111">
        <f>IF('07_Calendario'!$E$57=0,"",SUMPRODUCT(BD7:BD23,'06_Secuencia_Optima'!$I$26:$I$42))</f>
        <v>0</v>
      </c>
      <c r="BE26" s="111">
        <f>IF('07_Calendario'!$E$58=0,"",SUMPRODUCT(BE7:BE23,'06_Secuencia_Optima'!$I$26:$I$42))</f>
        <v>0</v>
      </c>
      <c r="BF26" s="111">
        <f>IF('07_Calendario'!$E$59=0,"",SUMPRODUCT(BF7:BF23,'06_Secuencia_Optima'!$I$26:$I$42))</f>
        <v>0</v>
      </c>
      <c r="BG26" s="111">
        <f>IF('07_Calendario'!$E$60=0,"",SUMPRODUCT(BG7:BG23,'06_Secuencia_Optima'!$I$26:$I$42))</f>
        <v>0</v>
      </c>
      <c r="BH26" s="111">
        <f>IF('07_Calendario'!$E$61=0,"",SUMPRODUCT(BH7:BH23,'06_Secuencia_Optima'!$I$26:$I$42))</f>
        <v>0</v>
      </c>
      <c r="BI26" s="111">
        <f>IF('07_Calendario'!$E$62=0,"",SUMPRODUCT(BI7:BI23,'06_Secuencia_Optima'!$I$26:$I$42))</f>
        <v>0</v>
      </c>
      <c r="BJ26" s="111">
        <f>IF('07_Calendario'!$E$63=0,"",SUMPRODUCT(BJ7:BJ23,'06_Secuencia_Optima'!$I$26:$I$42))</f>
        <v>0</v>
      </c>
      <c r="BK26" s="111">
        <f>IF('07_Calendario'!$E$64=0,"",SUMPRODUCT(BK7:BK23,'06_Secuencia_Optima'!$I$26:$I$42))</f>
        <v>0</v>
      </c>
      <c r="BL26" s="111">
        <f>IF('07_Calendario'!$E$65=0,"",SUMPRODUCT(BL7:BL23,'06_Secuencia_Optima'!$I$26:$I$42))</f>
        <v>0</v>
      </c>
      <c r="BM26" s="111">
        <f>IF('07_Calendario'!$E$66=0,"",SUMPRODUCT(BM7:BM23,'06_Secuencia_Optima'!$I$26:$I$42))</f>
        <v>0</v>
      </c>
      <c r="BN26" s="111">
        <f>IF('07_Calendario'!$E$67=0,"",SUMPRODUCT(BN7:BN23,'06_Secuencia_Optima'!$I$26:$I$42))</f>
        <v>0</v>
      </c>
      <c r="BO26" s="111">
        <f>IF('07_Calendario'!$E$68=0,"",SUMPRODUCT(BO7:BO23,'06_Secuencia_Optima'!$I$26:$I$42))</f>
        <v>0</v>
      </c>
      <c r="BP26" s="111">
        <f>IF('07_Calendario'!$E$69=0,"",SUMPRODUCT(BP7:BP23,'06_Secuencia_Optima'!$I$26:$I$42))</f>
        <v>0</v>
      </c>
      <c r="BQ26" s="111">
        <f>IF('07_Calendario'!$E$70=0,"",SUMPRODUCT(BQ7:BQ23,'06_Secuencia_Optima'!$I$26:$I$42))</f>
        <v>0</v>
      </c>
      <c r="BR26" s="111">
        <f>IF('07_Calendario'!$E$71=0,"",SUMPRODUCT(BR7:BR23,'06_Secuencia_Optima'!$I$26:$I$42))</f>
        <v>0</v>
      </c>
      <c r="BS26" s="111">
        <f>IF('07_Calendario'!$E$72=0,"",SUMPRODUCT(BS7:BS23,'06_Secuencia_Optima'!$I$26:$I$42))</f>
        <v>0</v>
      </c>
      <c r="BT26" s="111" t="str">
        <f>IF('07_Calendario'!$E$73=0,"",SUMPRODUCT(BT7:BT23,'06_Secuencia_Optima'!$I$26:$I$42))</f>
        <v/>
      </c>
      <c r="BU26" s="111">
        <f>IF('07_Calendario'!$E$74=0,"",SUMPRODUCT(BU7:BU23,'06_Secuencia_Optima'!$I$26:$I$42))</f>
        <v>0</v>
      </c>
      <c r="BV26" s="111">
        <f>IF('07_Calendario'!$E$75=0,"",SUMPRODUCT(BV7:BV23,'06_Secuencia_Optima'!$I$26:$I$42))</f>
        <v>0</v>
      </c>
      <c r="BW26" s="111">
        <f>IF('07_Calendario'!$E$76=0,"",SUMPRODUCT(BW7:BW23,'06_Secuencia_Optima'!$I$26:$I$42))</f>
        <v>0</v>
      </c>
      <c r="BX26" s="111">
        <f>IF('07_Calendario'!$E$77=0,"",SUMPRODUCT(BX7:BX23,'06_Secuencia_Optima'!$I$26:$I$42))</f>
        <v>0</v>
      </c>
      <c r="BY26" s="111">
        <f>IF('07_Calendario'!$E$78=0,"",SUMPRODUCT(BY7:BY23,'06_Secuencia_Optima'!$I$26:$I$42))</f>
        <v>0</v>
      </c>
      <c r="BZ26" s="111">
        <f>IF('07_Calendario'!$E$79=0,"",SUMPRODUCT(BZ7:BZ23,'06_Secuencia_Optima'!$I$26:$I$42))</f>
        <v>0</v>
      </c>
      <c r="CA26" s="111">
        <f>IF('07_Calendario'!$E$80=0,"",SUMPRODUCT(CA7:CA23,'06_Secuencia_Optima'!$I$26:$I$42))</f>
        <v>0</v>
      </c>
      <c r="CB26" s="111">
        <f>IF('07_Calendario'!$E$81=0,"",SUMPRODUCT(CB7:CB23,'06_Secuencia_Optima'!$I$26:$I$42))</f>
        <v>0</v>
      </c>
      <c r="CC26" s="111">
        <f>IF('07_Calendario'!$E$82=0,"",SUMPRODUCT(CC7:CC23,'06_Secuencia_Optima'!$I$26:$I$42))</f>
        <v>0</v>
      </c>
      <c r="CD26" s="18">
        <f>SUM($D26:$CC26)</f>
        <v>27819.625384303752</v>
      </c>
    </row>
    <row r="27" spans="1:84" x14ac:dyDescent="0.2">
      <c r="A27" s="134" t="s">
        <v>265</v>
      </c>
      <c r="B27" s="135"/>
      <c r="C27" s="135"/>
      <c r="D27" s="111">
        <f>IF('07_Calendario'!$E$5=0,"",SUM(MAX(0,MIN('06_Secuencia_Optima'!$L$26,'07_Calendario'!$H$5)-MAX('06_Secuencia_Optima'!$K$26,'07_Calendario'!$G$5)),MAX(0,MIN('06_Secuencia_Optima'!$L$27,'07_Calendario'!$H$5)-MAX('06_Secuencia_Optima'!$K$27,'07_Calendario'!$G$5)),MAX(0,MIN('06_Secuencia_Optima'!$L$28,'07_Calendario'!$H$5)-MAX('06_Secuencia_Optima'!$K$28,'07_Calendario'!$G$5)),MAX(0,MIN('06_Secuencia_Optima'!$L$29,'07_Calendario'!$H$5)-MAX('06_Secuencia_Optima'!$K$29,'07_Calendario'!$G$5)),MAX(0,MIN('06_Secuencia_Optima'!$L$30,'07_Calendario'!$H$5)-MAX('06_Secuencia_Optima'!$K$30,'07_Calendario'!$G$5)),MAX(0,MIN('06_Secuencia_Optima'!$L$31,'07_Calendario'!$H$5)-MAX('06_Secuencia_Optima'!$K$31,'07_Calendario'!$G$5)),MAX(0,MIN('06_Secuencia_Optima'!$L$32,'07_Calendario'!$H$5)-MAX('06_Secuencia_Optima'!$K$32,'07_Calendario'!$G$5)),MAX(0,MIN('06_Secuencia_Optima'!$L$33,'07_Calendario'!$H$5)-MAX('06_Secuencia_Optima'!$K$33,'07_Calendario'!$G$5)),MAX(0,MIN('06_Secuencia_Optima'!$L$34,'07_Calendario'!$H$5)-MAX('06_Secuencia_Optima'!$K$34,'07_Calendario'!$G$5)),MAX(0,MIN('06_Secuencia_Optima'!$L$35,'07_Calendario'!$H$5)-MAX('06_Secuencia_Optima'!$K$35,'07_Calendario'!$G$5)),MAX(0,MIN('06_Secuencia_Optima'!$L$36,'07_Calendario'!$H$5)-MAX('06_Secuencia_Optima'!$K$36,'07_Calendario'!$G$5)),MAX(0,MIN('06_Secuencia_Optima'!$L$37,'07_Calendario'!$H$5)-MAX('06_Secuencia_Optima'!$K$37,'07_Calendario'!$G$5)),MAX(0,MIN('06_Secuencia_Optima'!$L$38,'07_Calendario'!$H$5)-MAX('06_Secuencia_Optima'!$K$38,'07_Calendario'!$G$5)),MAX(0,MIN('06_Secuencia_Optima'!$L$39,'07_Calendario'!$H$5)-MAX('06_Secuencia_Optima'!$K$39,'07_Calendario'!$G$5)),MAX(0,MIN('06_Secuencia_Optima'!$L$40,'07_Calendario'!$H$5)-MAX('06_Secuencia_Optima'!$K$40,'07_Calendario'!$G$5)),MAX(0,MIN('06_Secuencia_Optima'!$L$41,'07_Calendario'!$H$5)-MAX('06_Secuencia_Optima'!$K$41,'07_Calendario'!$G$5)),MAX(0,MIN('06_Secuencia_Optima'!$L$42,'07_Calendario'!$H$5)-MAX('06_Secuencia_Optima'!$K$42,'07_Calendario'!$G$5))))</f>
        <v>840</v>
      </c>
      <c r="E27" s="111">
        <f>IF('07_Calendario'!$E$6=0,"",SUM(MAX(0,MIN('06_Secuencia_Optima'!$L$26,'07_Calendario'!$H$6)-MAX('06_Secuencia_Optima'!$K$26,'07_Calendario'!$G$6)),MAX(0,MIN('06_Secuencia_Optima'!$L$27,'07_Calendario'!$H$6)-MAX('06_Secuencia_Optima'!$K$27,'07_Calendario'!$G$6)),MAX(0,MIN('06_Secuencia_Optima'!$L$28,'07_Calendario'!$H$6)-MAX('06_Secuencia_Optima'!$K$28,'07_Calendario'!$G$6)),MAX(0,MIN('06_Secuencia_Optima'!$L$29,'07_Calendario'!$H$6)-MAX('06_Secuencia_Optima'!$K$29,'07_Calendario'!$G$6)),MAX(0,MIN('06_Secuencia_Optima'!$L$30,'07_Calendario'!$H$6)-MAX('06_Secuencia_Optima'!$K$30,'07_Calendario'!$G$6)),MAX(0,MIN('06_Secuencia_Optima'!$L$31,'07_Calendario'!$H$6)-MAX('06_Secuencia_Optima'!$K$31,'07_Calendario'!$G$6)),MAX(0,MIN('06_Secuencia_Optima'!$L$32,'07_Calendario'!$H$6)-MAX('06_Secuencia_Optima'!$K$32,'07_Calendario'!$G$6)),MAX(0,MIN('06_Secuencia_Optima'!$L$33,'07_Calendario'!$H$6)-MAX('06_Secuencia_Optima'!$K$33,'07_Calendario'!$G$6)),MAX(0,MIN('06_Secuencia_Optima'!$L$34,'07_Calendario'!$H$6)-MAX('06_Secuencia_Optima'!$K$34,'07_Calendario'!$G$6)),MAX(0,MIN('06_Secuencia_Optima'!$L$35,'07_Calendario'!$H$6)-MAX('06_Secuencia_Optima'!$K$35,'07_Calendario'!$G$6)),MAX(0,MIN('06_Secuencia_Optima'!$L$36,'07_Calendario'!$H$6)-MAX('06_Secuencia_Optima'!$K$36,'07_Calendario'!$G$6)),MAX(0,MIN('06_Secuencia_Optima'!$L$37,'07_Calendario'!$H$6)-MAX('06_Secuencia_Optima'!$K$37,'07_Calendario'!$G$6)),MAX(0,MIN('06_Secuencia_Optima'!$L$38,'07_Calendario'!$H$6)-MAX('06_Secuencia_Optima'!$K$38,'07_Calendario'!$G$6)),MAX(0,MIN('06_Secuencia_Optima'!$L$39,'07_Calendario'!$H$6)-MAX('06_Secuencia_Optima'!$K$39,'07_Calendario'!$G$6)),MAX(0,MIN('06_Secuencia_Optima'!$L$40,'07_Calendario'!$H$6)-MAX('06_Secuencia_Optima'!$K$40,'07_Calendario'!$G$6)),MAX(0,MIN('06_Secuencia_Optima'!$L$41,'07_Calendario'!$H$6)-MAX('06_Secuencia_Optima'!$K$41,'07_Calendario'!$G$6)),MAX(0,MIN('06_Secuencia_Optima'!$L$42,'07_Calendario'!$H$6)-MAX('06_Secuencia_Optima'!$K$42,'07_Calendario'!$G$6))))</f>
        <v>0</v>
      </c>
      <c r="F27" s="111">
        <f>IF('07_Calendario'!$E$7=0,"",SUM(MAX(0,MIN('06_Secuencia_Optima'!$L$26,'07_Calendario'!$H$7)-MAX('06_Secuencia_Optima'!$K$26,'07_Calendario'!$G$7)),MAX(0,MIN('06_Secuencia_Optima'!$L$27,'07_Calendario'!$H$7)-MAX('06_Secuencia_Optima'!$K$27,'07_Calendario'!$G$7)),MAX(0,MIN('06_Secuencia_Optima'!$L$28,'07_Calendario'!$H$7)-MAX('06_Secuencia_Optima'!$K$28,'07_Calendario'!$G$7)),MAX(0,MIN('06_Secuencia_Optima'!$L$29,'07_Calendario'!$H$7)-MAX('06_Secuencia_Optima'!$K$29,'07_Calendario'!$G$7)),MAX(0,MIN('06_Secuencia_Optima'!$L$30,'07_Calendario'!$H$7)-MAX('06_Secuencia_Optima'!$K$30,'07_Calendario'!$G$7)),MAX(0,MIN('06_Secuencia_Optima'!$L$31,'07_Calendario'!$H$7)-MAX('06_Secuencia_Optima'!$K$31,'07_Calendario'!$G$7)),MAX(0,MIN('06_Secuencia_Optima'!$L$32,'07_Calendario'!$H$7)-MAX('06_Secuencia_Optima'!$K$32,'07_Calendario'!$G$7)),MAX(0,MIN('06_Secuencia_Optima'!$L$33,'07_Calendario'!$H$7)-MAX('06_Secuencia_Optima'!$K$33,'07_Calendario'!$G$7)),MAX(0,MIN('06_Secuencia_Optima'!$L$34,'07_Calendario'!$H$7)-MAX('06_Secuencia_Optima'!$K$34,'07_Calendario'!$G$7)),MAX(0,MIN('06_Secuencia_Optima'!$L$35,'07_Calendario'!$H$7)-MAX('06_Secuencia_Optima'!$K$35,'07_Calendario'!$G$7)),MAX(0,MIN('06_Secuencia_Optima'!$L$36,'07_Calendario'!$H$7)-MAX('06_Secuencia_Optima'!$K$36,'07_Calendario'!$G$7)),MAX(0,MIN('06_Secuencia_Optima'!$L$37,'07_Calendario'!$H$7)-MAX('06_Secuencia_Optima'!$K$37,'07_Calendario'!$G$7)),MAX(0,MIN('06_Secuencia_Optima'!$L$38,'07_Calendario'!$H$7)-MAX('06_Secuencia_Optima'!$K$38,'07_Calendario'!$G$7)),MAX(0,MIN('06_Secuencia_Optima'!$L$39,'07_Calendario'!$H$7)-MAX('06_Secuencia_Optima'!$K$39,'07_Calendario'!$G$7)),MAX(0,MIN('06_Secuencia_Optima'!$L$40,'07_Calendario'!$H$7)-MAX('06_Secuencia_Optima'!$K$40,'07_Calendario'!$G$7)),MAX(0,MIN('06_Secuencia_Optima'!$L$41,'07_Calendario'!$H$7)-MAX('06_Secuencia_Optima'!$K$41,'07_Calendario'!$G$7)),MAX(0,MIN('06_Secuencia_Optima'!$L$42,'07_Calendario'!$H$7)-MAX('06_Secuencia_Optima'!$K$42,'07_Calendario'!$G$7))))</f>
        <v>0</v>
      </c>
      <c r="G27" s="111">
        <f>IF('07_Calendario'!$E$8=0,"",SUM(MAX(0,MIN('06_Secuencia_Optima'!$L$26,'07_Calendario'!$H$8)-MAX('06_Secuencia_Optima'!$K$26,'07_Calendario'!$G$8)),MAX(0,MIN('06_Secuencia_Optima'!$L$27,'07_Calendario'!$H$8)-MAX('06_Secuencia_Optima'!$K$27,'07_Calendario'!$G$8)),MAX(0,MIN('06_Secuencia_Optima'!$L$28,'07_Calendario'!$H$8)-MAX('06_Secuencia_Optima'!$K$28,'07_Calendario'!$G$8)),MAX(0,MIN('06_Secuencia_Optima'!$L$29,'07_Calendario'!$H$8)-MAX('06_Secuencia_Optima'!$K$29,'07_Calendario'!$G$8)),MAX(0,MIN('06_Secuencia_Optima'!$L$30,'07_Calendario'!$H$8)-MAX('06_Secuencia_Optima'!$K$30,'07_Calendario'!$G$8)),MAX(0,MIN('06_Secuencia_Optima'!$L$31,'07_Calendario'!$H$8)-MAX('06_Secuencia_Optima'!$K$31,'07_Calendario'!$G$8)),MAX(0,MIN('06_Secuencia_Optima'!$L$32,'07_Calendario'!$H$8)-MAX('06_Secuencia_Optima'!$K$32,'07_Calendario'!$G$8)),MAX(0,MIN('06_Secuencia_Optima'!$L$33,'07_Calendario'!$H$8)-MAX('06_Secuencia_Optima'!$K$33,'07_Calendario'!$G$8)),MAX(0,MIN('06_Secuencia_Optima'!$L$34,'07_Calendario'!$H$8)-MAX('06_Secuencia_Optima'!$K$34,'07_Calendario'!$G$8)),MAX(0,MIN('06_Secuencia_Optima'!$L$35,'07_Calendario'!$H$8)-MAX('06_Secuencia_Optima'!$K$35,'07_Calendario'!$G$8)),MAX(0,MIN('06_Secuencia_Optima'!$L$36,'07_Calendario'!$H$8)-MAX('06_Secuencia_Optima'!$K$36,'07_Calendario'!$G$8)),MAX(0,MIN('06_Secuencia_Optima'!$L$37,'07_Calendario'!$H$8)-MAX('06_Secuencia_Optima'!$K$37,'07_Calendario'!$G$8)),MAX(0,MIN('06_Secuencia_Optima'!$L$38,'07_Calendario'!$H$8)-MAX('06_Secuencia_Optima'!$K$38,'07_Calendario'!$G$8)),MAX(0,MIN('06_Secuencia_Optima'!$L$39,'07_Calendario'!$H$8)-MAX('06_Secuencia_Optima'!$K$39,'07_Calendario'!$G$8)),MAX(0,MIN('06_Secuencia_Optima'!$L$40,'07_Calendario'!$H$8)-MAX('06_Secuencia_Optima'!$K$40,'07_Calendario'!$G$8)),MAX(0,MIN('06_Secuencia_Optima'!$L$41,'07_Calendario'!$H$8)-MAX('06_Secuencia_Optima'!$K$41,'07_Calendario'!$G$8)),MAX(0,MIN('06_Secuencia_Optima'!$L$42,'07_Calendario'!$H$8)-MAX('06_Secuencia_Optima'!$K$42,'07_Calendario'!$G$8))))</f>
        <v>0</v>
      </c>
      <c r="H27" s="111">
        <f>IF('07_Calendario'!$E$9=0,"",SUM(MAX(0,MIN('06_Secuencia_Optima'!$L$26,'07_Calendario'!$H$9)-MAX('06_Secuencia_Optima'!$K$26,'07_Calendario'!$G$9)),MAX(0,MIN('06_Secuencia_Optima'!$L$27,'07_Calendario'!$H$9)-MAX('06_Secuencia_Optima'!$K$27,'07_Calendario'!$G$9)),MAX(0,MIN('06_Secuencia_Optima'!$L$28,'07_Calendario'!$H$9)-MAX('06_Secuencia_Optima'!$K$28,'07_Calendario'!$G$9)),MAX(0,MIN('06_Secuencia_Optima'!$L$29,'07_Calendario'!$H$9)-MAX('06_Secuencia_Optima'!$K$29,'07_Calendario'!$G$9)),MAX(0,MIN('06_Secuencia_Optima'!$L$30,'07_Calendario'!$H$9)-MAX('06_Secuencia_Optima'!$K$30,'07_Calendario'!$G$9)),MAX(0,MIN('06_Secuencia_Optima'!$L$31,'07_Calendario'!$H$9)-MAX('06_Secuencia_Optima'!$K$31,'07_Calendario'!$G$9)),MAX(0,MIN('06_Secuencia_Optima'!$L$32,'07_Calendario'!$H$9)-MAX('06_Secuencia_Optima'!$K$32,'07_Calendario'!$G$9)),MAX(0,MIN('06_Secuencia_Optima'!$L$33,'07_Calendario'!$H$9)-MAX('06_Secuencia_Optima'!$K$33,'07_Calendario'!$G$9)),MAX(0,MIN('06_Secuencia_Optima'!$L$34,'07_Calendario'!$H$9)-MAX('06_Secuencia_Optima'!$K$34,'07_Calendario'!$G$9)),MAX(0,MIN('06_Secuencia_Optima'!$L$35,'07_Calendario'!$H$9)-MAX('06_Secuencia_Optima'!$K$35,'07_Calendario'!$G$9)),MAX(0,MIN('06_Secuencia_Optima'!$L$36,'07_Calendario'!$H$9)-MAX('06_Secuencia_Optima'!$K$36,'07_Calendario'!$G$9)),MAX(0,MIN('06_Secuencia_Optima'!$L$37,'07_Calendario'!$H$9)-MAX('06_Secuencia_Optima'!$K$37,'07_Calendario'!$G$9)),MAX(0,MIN('06_Secuencia_Optima'!$L$38,'07_Calendario'!$H$9)-MAX('06_Secuencia_Optima'!$K$38,'07_Calendario'!$G$9)),MAX(0,MIN('06_Secuencia_Optima'!$L$39,'07_Calendario'!$H$9)-MAX('06_Secuencia_Optima'!$K$39,'07_Calendario'!$G$9)),MAX(0,MIN('06_Secuencia_Optima'!$L$40,'07_Calendario'!$H$9)-MAX('06_Secuencia_Optima'!$K$40,'07_Calendario'!$G$9)),MAX(0,MIN('06_Secuencia_Optima'!$L$41,'07_Calendario'!$H$9)-MAX('06_Secuencia_Optima'!$K$41,'07_Calendario'!$G$9)),MAX(0,MIN('06_Secuencia_Optima'!$L$42,'07_Calendario'!$H$9)-MAX('06_Secuencia_Optima'!$K$42,'07_Calendario'!$G$9))))</f>
        <v>0</v>
      </c>
      <c r="I27" s="111">
        <f>IF('07_Calendario'!$E$10=0,"",SUM(MAX(0,MIN('06_Secuencia_Optima'!$L$26,'07_Calendario'!$H$10)-MAX('06_Secuencia_Optima'!$K$26,'07_Calendario'!$G$10)),MAX(0,MIN('06_Secuencia_Optima'!$L$27,'07_Calendario'!$H$10)-MAX('06_Secuencia_Optima'!$K$27,'07_Calendario'!$G$10)),MAX(0,MIN('06_Secuencia_Optima'!$L$28,'07_Calendario'!$H$10)-MAX('06_Secuencia_Optima'!$K$28,'07_Calendario'!$G$10)),MAX(0,MIN('06_Secuencia_Optima'!$L$29,'07_Calendario'!$H$10)-MAX('06_Secuencia_Optima'!$K$29,'07_Calendario'!$G$10)),MAX(0,MIN('06_Secuencia_Optima'!$L$30,'07_Calendario'!$H$10)-MAX('06_Secuencia_Optima'!$K$30,'07_Calendario'!$G$10)),MAX(0,MIN('06_Secuencia_Optima'!$L$31,'07_Calendario'!$H$10)-MAX('06_Secuencia_Optima'!$K$31,'07_Calendario'!$G$10)),MAX(0,MIN('06_Secuencia_Optima'!$L$32,'07_Calendario'!$H$10)-MAX('06_Secuencia_Optima'!$K$32,'07_Calendario'!$G$10)),MAX(0,MIN('06_Secuencia_Optima'!$L$33,'07_Calendario'!$H$10)-MAX('06_Secuencia_Optima'!$K$33,'07_Calendario'!$G$10)),MAX(0,MIN('06_Secuencia_Optima'!$L$34,'07_Calendario'!$H$10)-MAX('06_Secuencia_Optima'!$K$34,'07_Calendario'!$G$10)),MAX(0,MIN('06_Secuencia_Optima'!$L$35,'07_Calendario'!$H$10)-MAX('06_Secuencia_Optima'!$K$35,'07_Calendario'!$G$10)),MAX(0,MIN('06_Secuencia_Optima'!$L$36,'07_Calendario'!$H$10)-MAX('06_Secuencia_Optima'!$K$36,'07_Calendario'!$G$10)),MAX(0,MIN('06_Secuencia_Optima'!$L$37,'07_Calendario'!$H$10)-MAX('06_Secuencia_Optima'!$K$37,'07_Calendario'!$G$10)),MAX(0,MIN('06_Secuencia_Optima'!$L$38,'07_Calendario'!$H$10)-MAX('06_Secuencia_Optima'!$K$38,'07_Calendario'!$G$10)),MAX(0,MIN('06_Secuencia_Optima'!$L$39,'07_Calendario'!$H$10)-MAX('06_Secuencia_Optima'!$K$39,'07_Calendario'!$G$10)),MAX(0,MIN('06_Secuencia_Optima'!$L$40,'07_Calendario'!$H$10)-MAX('06_Secuencia_Optima'!$K$40,'07_Calendario'!$G$10)),MAX(0,MIN('06_Secuencia_Optima'!$L$41,'07_Calendario'!$H$10)-MAX('06_Secuencia_Optima'!$K$41,'07_Calendario'!$G$10)),MAX(0,MIN('06_Secuencia_Optima'!$L$42,'07_Calendario'!$H$10)-MAX('06_Secuencia_Optima'!$K$42,'07_Calendario'!$G$10))))</f>
        <v>0</v>
      </c>
      <c r="J27" s="111">
        <f>IF('07_Calendario'!$E$11=0,"",SUM(MAX(0,MIN('06_Secuencia_Optima'!$L$26,'07_Calendario'!$H$11)-MAX('06_Secuencia_Optima'!$K$26,'07_Calendario'!$G$11)),MAX(0,MIN('06_Secuencia_Optima'!$L$27,'07_Calendario'!$H$11)-MAX('06_Secuencia_Optima'!$K$27,'07_Calendario'!$G$11)),MAX(0,MIN('06_Secuencia_Optima'!$L$28,'07_Calendario'!$H$11)-MAX('06_Secuencia_Optima'!$K$28,'07_Calendario'!$G$11)),MAX(0,MIN('06_Secuencia_Optima'!$L$29,'07_Calendario'!$H$11)-MAX('06_Secuencia_Optima'!$K$29,'07_Calendario'!$G$11)),MAX(0,MIN('06_Secuencia_Optima'!$L$30,'07_Calendario'!$H$11)-MAX('06_Secuencia_Optima'!$K$30,'07_Calendario'!$G$11)),MAX(0,MIN('06_Secuencia_Optima'!$L$31,'07_Calendario'!$H$11)-MAX('06_Secuencia_Optima'!$K$31,'07_Calendario'!$G$11)),MAX(0,MIN('06_Secuencia_Optima'!$L$32,'07_Calendario'!$H$11)-MAX('06_Secuencia_Optima'!$K$32,'07_Calendario'!$G$11)),MAX(0,MIN('06_Secuencia_Optima'!$L$33,'07_Calendario'!$H$11)-MAX('06_Secuencia_Optima'!$K$33,'07_Calendario'!$G$11)),MAX(0,MIN('06_Secuencia_Optima'!$L$34,'07_Calendario'!$H$11)-MAX('06_Secuencia_Optima'!$K$34,'07_Calendario'!$G$11)),MAX(0,MIN('06_Secuencia_Optima'!$L$35,'07_Calendario'!$H$11)-MAX('06_Secuencia_Optima'!$K$35,'07_Calendario'!$G$11)),MAX(0,MIN('06_Secuencia_Optima'!$L$36,'07_Calendario'!$H$11)-MAX('06_Secuencia_Optima'!$K$36,'07_Calendario'!$G$11)),MAX(0,MIN('06_Secuencia_Optima'!$L$37,'07_Calendario'!$H$11)-MAX('06_Secuencia_Optima'!$K$37,'07_Calendario'!$G$11)),MAX(0,MIN('06_Secuencia_Optima'!$L$38,'07_Calendario'!$H$11)-MAX('06_Secuencia_Optima'!$K$38,'07_Calendario'!$G$11)),MAX(0,MIN('06_Secuencia_Optima'!$L$39,'07_Calendario'!$H$11)-MAX('06_Secuencia_Optima'!$K$39,'07_Calendario'!$G$11)),MAX(0,MIN('06_Secuencia_Optima'!$L$40,'07_Calendario'!$H$11)-MAX('06_Secuencia_Optima'!$K$40,'07_Calendario'!$G$11)),MAX(0,MIN('06_Secuencia_Optima'!$L$41,'07_Calendario'!$H$11)-MAX('06_Secuencia_Optima'!$K$41,'07_Calendario'!$G$11)),MAX(0,MIN('06_Secuencia_Optima'!$L$42,'07_Calendario'!$H$11)-MAX('06_Secuencia_Optima'!$K$42,'07_Calendario'!$G$11))))</f>
        <v>0</v>
      </c>
      <c r="K27" s="111">
        <f>IF('07_Calendario'!$E$12=0,"",SUM(MAX(0,MIN('06_Secuencia_Optima'!$L$26,'07_Calendario'!$H$12)-MAX('06_Secuencia_Optima'!$K$26,'07_Calendario'!$G$12)),MAX(0,MIN('06_Secuencia_Optima'!$L$27,'07_Calendario'!$H$12)-MAX('06_Secuencia_Optima'!$K$27,'07_Calendario'!$G$12)),MAX(0,MIN('06_Secuencia_Optima'!$L$28,'07_Calendario'!$H$12)-MAX('06_Secuencia_Optima'!$K$28,'07_Calendario'!$G$12)),MAX(0,MIN('06_Secuencia_Optima'!$L$29,'07_Calendario'!$H$12)-MAX('06_Secuencia_Optima'!$K$29,'07_Calendario'!$G$12)),MAX(0,MIN('06_Secuencia_Optima'!$L$30,'07_Calendario'!$H$12)-MAX('06_Secuencia_Optima'!$K$30,'07_Calendario'!$G$12)),MAX(0,MIN('06_Secuencia_Optima'!$L$31,'07_Calendario'!$H$12)-MAX('06_Secuencia_Optima'!$K$31,'07_Calendario'!$G$12)),MAX(0,MIN('06_Secuencia_Optima'!$L$32,'07_Calendario'!$H$12)-MAX('06_Secuencia_Optima'!$K$32,'07_Calendario'!$G$12)),MAX(0,MIN('06_Secuencia_Optima'!$L$33,'07_Calendario'!$H$12)-MAX('06_Secuencia_Optima'!$K$33,'07_Calendario'!$G$12)),MAX(0,MIN('06_Secuencia_Optima'!$L$34,'07_Calendario'!$H$12)-MAX('06_Secuencia_Optima'!$K$34,'07_Calendario'!$G$12)),MAX(0,MIN('06_Secuencia_Optima'!$L$35,'07_Calendario'!$H$12)-MAX('06_Secuencia_Optima'!$K$35,'07_Calendario'!$G$12)),MAX(0,MIN('06_Secuencia_Optima'!$L$36,'07_Calendario'!$H$12)-MAX('06_Secuencia_Optima'!$K$36,'07_Calendario'!$G$12)),MAX(0,MIN('06_Secuencia_Optima'!$L$37,'07_Calendario'!$H$12)-MAX('06_Secuencia_Optima'!$K$37,'07_Calendario'!$G$12)),MAX(0,MIN('06_Secuencia_Optima'!$L$38,'07_Calendario'!$H$12)-MAX('06_Secuencia_Optima'!$K$38,'07_Calendario'!$G$12)),MAX(0,MIN('06_Secuencia_Optima'!$L$39,'07_Calendario'!$H$12)-MAX('06_Secuencia_Optima'!$K$39,'07_Calendario'!$G$12)),MAX(0,MIN('06_Secuencia_Optima'!$L$40,'07_Calendario'!$H$12)-MAX('06_Secuencia_Optima'!$K$40,'07_Calendario'!$G$12)),MAX(0,MIN('06_Secuencia_Optima'!$L$41,'07_Calendario'!$H$12)-MAX('06_Secuencia_Optima'!$K$41,'07_Calendario'!$G$12)),MAX(0,MIN('06_Secuencia_Optima'!$L$42,'07_Calendario'!$H$12)-MAX('06_Secuencia_Optima'!$K$42,'07_Calendario'!$G$12))))</f>
        <v>0</v>
      </c>
      <c r="L27" s="111">
        <f>IF('07_Calendario'!$E$13=0,"",SUM(MAX(0,MIN('06_Secuencia_Optima'!$L$26,'07_Calendario'!$H$13)-MAX('06_Secuencia_Optima'!$K$26,'07_Calendario'!$G$13)),MAX(0,MIN('06_Secuencia_Optima'!$L$27,'07_Calendario'!$H$13)-MAX('06_Secuencia_Optima'!$K$27,'07_Calendario'!$G$13)),MAX(0,MIN('06_Secuencia_Optima'!$L$28,'07_Calendario'!$H$13)-MAX('06_Secuencia_Optima'!$K$28,'07_Calendario'!$G$13)),MAX(0,MIN('06_Secuencia_Optima'!$L$29,'07_Calendario'!$H$13)-MAX('06_Secuencia_Optima'!$K$29,'07_Calendario'!$G$13)),MAX(0,MIN('06_Secuencia_Optima'!$L$30,'07_Calendario'!$H$13)-MAX('06_Secuencia_Optima'!$K$30,'07_Calendario'!$G$13)),MAX(0,MIN('06_Secuencia_Optima'!$L$31,'07_Calendario'!$H$13)-MAX('06_Secuencia_Optima'!$K$31,'07_Calendario'!$G$13)),MAX(0,MIN('06_Secuencia_Optima'!$L$32,'07_Calendario'!$H$13)-MAX('06_Secuencia_Optima'!$K$32,'07_Calendario'!$G$13)),MAX(0,MIN('06_Secuencia_Optima'!$L$33,'07_Calendario'!$H$13)-MAX('06_Secuencia_Optima'!$K$33,'07_Calendario'!$G$13)),MAX(0,MIN('06_Secuencia_Optima'!$L$34,'07_Calendario'!$H$13)-MAX('06_Secuencia_Optima'!$K$34,'07_Calendario'!$G$13)),MAX(0,MIN('06_Secuencia_Optima'!$L$35,'07_Calendario'!$H$13)-MAX('06_Secuencia_Optima'!$K$35,'07_Calendario'!$G$13)),MAX(0,MIN('06_Secuencia_Optima'!$L$36,'07_Calendario'!$H$13)-MAX('06_Secuencia_Optima'!$K$36,'07_Calendario'!$G$13)),MAX(0,MIN('06_Secuencia_Optima'!$L$37,'07_Calendario'!$H$13)-MAX('06_Secuencia_Optima'!$K$37,'07_Calendario'!$G$13)),MAX(0,MIN('06_Secuencia_Optima'!$L$38,'07_Calendario'!$H$13)-MAX('06_Secuencia_Optima'!$K$38,'07_Calendario'!$G$13)),MAX(0,MIN('06_Secuencia_Optima'!$L$39,'07_Calendario'!$H$13)-MAX('06_Secuencia_Optima'!$K$39,'07_Calendario'!$G$13)),MAX(0,MIN('06_Secuencia_Optima'!$L$40,'07_Calendario'!$H$13)-MAX('06_Secuencia_Optima'!$K$40,'07_Calendario'!$G$13)),MAX(0,MIN('06_Secuencia_Optima'!$L$41,'07_Calendario'!$H$13)-MAX('06_Secuencia_Optima'!$K$41,'07_Calendario'!$G$13)),MAX(0,MIN('06_Secuencia_Optima'!$L$42,'07_Calendario'!$H$13)-MAX('06_Secuencia_Optima'!$K$42,'07_Calendario'!$G$13))))</f>
        <v>0</v>
      </c>
      <c r="M27" s="111">
        <f>IF('07_Calendario'!$E$14=0,"",SUM(MAX(0,MIN('06_Secuencia_Optima'!$L$26,'07_Calendario'!$H$14)-MAX('06_Secuencia_Optima'!$K$26,'07_Calendario'!$G$14)),MAX(0,MIN('06_Secuencia_Optima'!$L$27,'07_Calendario'!$H$14)-MAX('06_Secuencia_Optima'!$K$27,'07_Calendario'!$G$14)),MAX(0,MIN('06_Secuencia_Optima'!$L$28,'07_Calendario'!$H$14)-MAX('06_Secuencia_Optima'!$K$28,'07_Calendario'!$G$14)),MAX(0,MIN('06_Secuencia_Optima'!$L$29,'07_Calendario'!$H$14)-MAX('06_Secuencia_Optima'!$K$29,'07_Calendario'!$G$14)),MAX(0,MIN('06_Secuencia_Optima'!$L$30,'07_Calendario'!$H$14)-MAX('06_Secuencia_Optima'!$K$30,'07_Calendario'!$G$14)),MAX(0,MIN('06_Secuencia_Optima'!$L$31,'07_Calendario'!$H$14)-MAX('06_Secuencia_Optima'!$K$31,'07_Calendario'!$G$14)),MAX(0,MIN('06_Secuencia_Optima'!$L$32,'07_Calendario'!$H$14)-MAX('06_Secuencia_Optima'!$K$32,'07_Calendario'!$G$14)),MAX(0,MIN('06_Secuencia_Optima'!$L$33,'07_Calendario'!$H$14)-MAX('06_Secuencia_Optima'!$K$33,'07_Calendario'!$G$14)),MAX(0,MIN('06_Secuencia_Optima'!$L$34,'07_Calendario'!$H$14)-MAX('06_Secuencia_Optima'!$K$34,'07_Calendario'!$G$14)),MAX(0,MIN('06_Secuencia_Optima'!$L$35,'07_Calendario'!$H$14)-MAX('06_Secuencia_Optima'!$K$35,'07_Calendario'!$G$14)),MAX(0,MIN('06_Secuencia_Optima'!$L$36,'07_Calendario'!$H$14)-MAX('06_Secuencia_Optima'!$K$36,'07_Calendario'!$G$14)),MAX(0,MIN('06_Secuencia_Optima'!$L$37,'07_Calendario'!$H$14)-MAX('06_Secuencia_Optima'!$K$37,'07_Calendario'!$G$14)),MAX(0,MIN('06_Secuencia_Optima'!$L$38,'07_Calendario'!$H$14)-MAX('06_Secuencia_Optima'!$K$38,'07_Calendario'!$G$14)),MAX(0,MIN('06_Secuencia_Optima'!$L$39,'07_Calendario'!$H$14)-MAX('06_Secuencia_Optima'!$K$39,'07_Calendario'!$G$14)),MAX(0,MIN('06_Secuencia_Optima'!$L$40,'07_Calendario'!$H$14)-MAX('06_Secuencia_Optima'!$K$40,'07_Calendario'!$G$14)),MAX(0,MIN('06_Secuencia_Optima'!$L$41,'07_Calendario'!$H$14)-MAX('06_Secuencia_Optima'!$K$41,'07_Calendario'!$G$14)),MAX(0,MIN('06_Secuencia_Optima'!$L$42,'07_Calendario'!$H$14)-MAX('06_Secuencia_Optima'!$K$42,'07_Calendario'!$G$14))))</f>
        <v>0</v>
      </c>
      <c r="N27" s="111">
        <f>IF('07_Calendario'!$E$15=0,"",SUM(MAX(0,MIN('06_Secuencia_Optima'!$L$26,'07_Calendario'!$H$15)-MAX('06_Secuencia_Optima'!$K$26,'07_Calendario'!$G$15)),MAX(0,MIN('06_Secuencia_Optima'!$L$27,'07_Calendario'!$H$15)-MAX('06_Secuencia_Optima'!$K$27,'07_Calendario'!$G$15)),MAX(0,MIN('06_Secuencia_Optima'!$L$28,'07_Calendario'!$H$15)-MAX('06_Secuencia_Optima'!$K$28,'07_Calendario'!$G$15)),MAX(0,MIN('06_Secuencia_Optima'!$L$29,'07_Calendario'!$H$15)-MAX('06_Secuencia_Optima'!$K$29,'07_Calendario'!$G$15)),MAX(0,MIN('06_Secuencia_Optima'!$L$30,'07_Calendario'!$H$15)-MAX('06_Secuencia_Optima'!$K$30,'07_Calendario'!$G$15)),MAX(0,MIN('06_Secuencia_Optima'!$L$31,'07_Calendario'!$H$15)-MAX('06_Secuencia_Optima'!$K$31,'07_Calendario'!$G$15)),MAX(0,MIN('06_Secuencia_Optima'!$L$32,'07_Calendario'!$H$15)-MAX('06_Secuencia_Optima'!$K$32,'07_Calendario'!$G$15)),MAX(0,MIN('06_Secuencia_Optima'!$L$33,'07_Calendario'!$H$15)-MAX('06_Secuencia_Optima'!$K$33,'07_Calendario'!$G$15)),MAX(0,MIN('06_Secuencia_Optima'!$L$34,'07_Calendario'!$H$15)-MAX('06_Secuencia_Optima'!$K$34,'07_Calendario'!$G$15)),MAX(0,MIN('06_Secuencia_Optima'!$L$35,'07_Calendario'!$H$15)-MAX('06_Secuencia_Optima'!$K$35,'07_Calendario'!$G$15)),MAX(0,MIN('06_Secuencia_Optima'!$L$36,'07_Calendario'!$H$15)-MAX('06_Secuencia_Optima'!$K$36,'07_Calendario'!$G$15)),MAX(0,MIN('06_Secuencia_Optima'!$L$37,'07_Calendario'!$H$15)-MAX('06_Secuencia_Optima'!$K$37,'07_Calendario'!$G$15)),MAX(0,MIN('06_Secuencia_Optima'!$L$38,'07_Calendario'!$H$15)-MAX('06_Secuencia_Optima'!$K$38,'07_Calendario'!$G$15)),MAX(0,MIN('06_Secuencia_Optima'!$L$39,'07_Calendario'!$H$15)-MAX('06_Secuencia_Optima'!$K$39,'07_Calendario'!$G$15)),MAX(0,MIN('06_Secuencia_Optima'!$L$40,'07_Calendario'!$H$15)-MAX('06_Secuencia_Optima'!$K$40,'07_Calendario'!$G$15)),MAX(0,MIN('06_Secuencia_Optima'!$L$41,'07_Calendario'!$H$15)-MAX('06_Secuencia_Optima'!$K$41,'07_Calendario'!$G$15)),MAX(0,MIN('06_Secuencia_Optima'!$L$42,'07_Calendario'!$H$15)-MAX('06_Secuencia_Optima'!$K$42,'07_Calendario'!$G$15))))</f>
        <v>0</v>
      </c>
      <c r="O27" s="111">
        <f>IF('07_Calendario'!$E$16=0,"",SUM(MAX(0,MIN('06_Secuencia_Optima'!$L$26,'07_Calendario'!$H$16)-MAX('06_Secuencia_Optima'!$K$26,'07_Calendario'!$G$16)),MAX(0,MIN('06_Secuencia_Optima'!$L$27,'07_Calendario'!$H$16)-MAX('06_Secuencia_Optima'!$K$27,'07_Calendario'!$G$16)),MAX(0,MIN('06_Secuencia_Optima'!$L$28,'07_Calendario'!$H$16)-MAX('06_Secuencia_Optima'!$K$28,'07_Calendario'!$G$16)),MAX(0,MIN('06_Secuencia_Optima'!$L$29,'07_Calendario'!$H$16)-MAX('06_Secuencia_Optima'!$K$29,'07_Calendario'!$G$16)),MAX(0,MIN('06_Secuencia_Optima'!$L$30,'07_Calendario'!$H$16)-MAX('06_Secuencia_Optima'!$K$30,'07_Calendario'!$G$16)),MAX(0,MIN('06_Secuencia_Optima'!$L$31,'07_Calendario'!$H$16)-MAX('06_Secuencia_Optima'!$K$31,'07_Calendario'!$G$16)),MAX(0,MIN('06_Secuencia_Optima'!$L$32,'07_Calendario'!$H$16)-MAX('06_Secuencia_Optima'!$K$32,'07_Calendario'!$G$16)),MAX(0,MIN('06_Secuencia_Optima'!$L$33,'07_Calendario'!$H$16)-MAX('06_Secuencia_Optima'!$K$33,'07_Calendario'!$G$16)),MAX(0,MIN('06_Secuencia_Optima'!$L$34,'07_Calendario'!$H$16)-MAX('06_Secuencia_Optima'!$K$34,'07_Calendario'!$G$16)),MAX(0,MIN('06_Secuencia_Optima'!$L$35,'07_Calendario'!$H$16)-MAX('06_Secuencia_Optima'!$K$35,'07_Calendario'!$G$16)),MAX(0,MIN('06_Secuencia_Optima'!$L$36,'07_Calendario'!$H$16)-MAX('06_Secuencia_Optima'!$K$36,'07_Calendario'!$G$16)),MAX(0,MIN('06_Secuencia_Optima'!$L$37,'07_Calendario'!$H$16)-MAX('06_Secuencia_Optima'!$K$37,'07_Calendario'!$G$16)),MAX(0,MIN('06_Secuencia_Optima'!$L$38,'07_Calendario'!$H$16)-MAX('06_Secuencia_Optima'!$K$38,'07_Calendario'!$G$16)),MAX(0,MIN('06_Secuencia_Optima'!$L$39,'07_Calendario'!$H$16)-MAX('06_Secuencia_Optima'!$K$39,'07_Calendario'!$G$16)),MAX(0,MIN('06_Secuencia_Optima'!$L$40,'07_Calendario'!$H$16)-MAX('06_Secuencia_Optima'!$K$40,'07_Calendario'!$G$16)),MAX(0,MIN('06_Secuencia_Optima'!$L$41,'07_Calendario'!$H$16)-MAX('06_Secuencia_Optima'!$K$41,'07_Calendario'!$G$16)),MAX(0,MIN('06_Secuencia_Optima'!$L$42,'07_Calendario'!$H$16)-MAX('06_Secuencia_Optima'!$K$42,'07_Calendario'!$G$16))))</f>
        <v>0</v>
      </c>
      <c r="P27" s="111">
        <f>IF('07_Calendario'!$E$17=0,"",SUM(MAX(0,MIN('06_Secuencia_Optima'!$L$26,'07_Calendario'!$H$17)-MAX('06_Secuencia_Optima'!$K$26,'07_Calendario'!$G$17)),MAX(0,MIN('06_Secuencia_Optima'!$L$27,'07_Calendario'!$H$17)-MAX('06_Secuencia_Optima'!$K$27,'07_Calendario'!$G$17)),MAX(0,MIN('06_Secuencia_Optima'!$L$28,'07_Calendario'!$H$17)-MAX('06_Secuencia_Optima'!$K$28,'07_Calendario'!$G$17)),MAX(0,MIN('06_Secuencia_Optima'!$L$29,'07_Calendario'!$H$17)-MAX('06_Secuencia_Optima'!$K$29,'07_Calendario'!$G$17)),MAX(0,MIN('06_Secuencia_Optima'!$L$30,'07_Calendario'!$H$17)-MAX('06_Secuencia_Optima'!$K$30,'07_Calendario'!$G$17)),MAX(0,MIN('06_Secuencia_Optima'!$L$31,'07_Calendario'!$H$17)-MAX('06_Secuencia_Optima'!$K$31,'07_Calendario'!$G$17)),MAX(0,MIN('06_Secuencia_Optima'!$L$32,'07_Calendario'!$H$17)-MAX('06_Secuencia_Optima'!$K$32,'07_Calendario'!$G$17)),MAX(0,MIN('06_Secuencia_Optima'!$L$33,'07_Calendario'!$H$17)-MAX('06_Secuencia_Optima'!$K$33,'07_Calendario'!$G$17)),MAX(0,MIN('06_Secuencia_Optima'!$L$34,'07_Calendario'!$H$17)-MAX('06_Secuencia_Optima'!$K$34,'07_Calendario'!$G$17)),MAX(0,MIN('06_Secuencia_Optima'!$L$35,'07_Calendario'!$H$17)-MAX('06_Secuencia_Optima'!$K$35,'07_Calendario'!$G$17)),MAX(0,MIN('06_Secuencia_Optima'!$L$36,'07_Calendario'!$H$17)-MAX('06_Secuencia_Optima'!$K$36,'07_Calendario'!$G$17)),MAX(0,MIN('06_Secuencia_Optima'!$L$37,'07_Calendario'!$H$17)-MAX('06_Secuencia_Optima'!$K$37,'07_Calendario'!$G$17)),MAX(0,MIN('06_Secuencia_Optima'!$L$38,'07_Calendario'!$H$17)-MAX('06_Secuencia_Optima'!$K$38,'07_Calendario'!$G$17)),MAX(0,MIN('06_Secuencia_Optima'!$L$39,'07_Calendario'!$H$17)-MAX('06_Secuencia_Optima'!$K$39,'07_Calendario'!$G$17)),MAX(0,MIN('06_Secuencia_Optima'!$L$40,'07_Calendario'!$H$17)-MAX('06_Secuencia_Optima'!$K$40,'07_Calendario'!$G$17)),MAX(0,MIN('06_Secuencia_Optima'!$L$41,'07_Calendario'!$H$17)-MAX('06_Secuencia_Optima'!$K$41,'07_Calendario'!$G$17)),MAX(0,MIN('06_Secuencia_Optima'!$L$42,'07_Calendario'!$H$17)-MAX('06_Secuencia_Optima'!$K$42,'07_Calendario'!$G$17))))</f>
        <v>0</v>
      </c>
      <c r="Q27" s="111">
        <f>IF('07_Calendario'!$E$18=0,"",SUM(MAX(0,MIN('06_Secuencia_Optima'!$L$26,'07_Calendario'!$H$18)-MAX('06_Secuencia_Optima'!$K$26,'07_Calendario'!$G$18)),MAX(0,MIN('06_Secuencia_Optima'!$L$27,'07_Calendario'!$H$18)-MAX('06_Secuencia_Optima'!$K$27,'07_Calendario'!$G$18)),MAX(0,MIN('06_Secuencia_Optima'!$L$28,'07_Calendario'!$H$18)-MAX('06_Secuencia_Optima'!$K$28,'07_Calendario'!$G$18)),MAX(0,MIN('06_Secuencia_Optima'!$L$29,'07_Calendario'!$H$18)-MAX('06_Secuencia_Optima'!$K$29,'07_Calendario'!$G$18)),MAX(0,MIN('06_Secuencia_Optima'!$L$30,'07_Calendario'!$H$18)-MAX('06_Secuencia_Optima'!$K$30,'07_Calendario'!$G$18)),MAX(0,MIN('06_Secuencia_Optima'!$L$31,'07_Calendario'!$H$18)-MAX('06_Secuencia_Optima'!$K$31,'07_Calendario'!$G$18)),MAX(0,MIN('06_Secuencia_Optima'!$L$32,'07_Calendario'!$H$18)-MAX('06_Secuencia_Optima'!$K$32,'07_Calendario'!$G$18)),MAX(0,MIN('06_Secuencia_Optima'!$L$33,'07_Calendario'!$H$18)-MAX('06_Secuencia_Optima'!$K$33,'07_Calendario'!$G$18)),MAX(0,MIN('06_Secuencia_Optima'!$L$34,'07_Calendario'!$H$18)-MAX('06_Secuencia_Optima'!$K$34,'07_Calendario'!$G$18)),MAX(0,MIN('06_Secuencia_Optima'!$L$35,'07_Calendario'!$H$18)-MAX('06_Secuencia_Optima'!$K$35,'07_Calendario'!$G$18)),MAX(0,MIN('06_Secuencia_Optima'!$L$36,'07_Calendario'!$H$18)-MAX('06_Secuencia_Optima'!$K$36,'07_Calendario'!$G$18)),MAX(0,MIN('06_Secuencia_Optima'!$L$37,'07_Calendario'!$H$18)-MAX('06_Secuencia_Optima'!$K$37,'07_Calendario'!$G$18)),MAX(0,MIN('06_Secuencia_Optima'!$L$38,'07_Calendario'!$H$18)-MAX('06_Secuencia_Optima'!$K$38,'07_Calendario'!$G$18)),MAX(0,MIN('06_Secuencia_Optima'!$L$39,'07_Calendario'!$H$18)-MAX('06_Secuencia_Optima'!$K$39,'07_Calendario'!$G$18)),MAX(0,MIN('06_Secuencia_Optima'!$L$40,'07_Calendario'!$H$18)-MAX('06_Secuencia_Optima'!$K$40,'07_Calendario'!$G$18)),MAX(0,MIN('06_Secuencia_Optima'!$L$41,'07_Calendario'!$H$18)-MAX('06_Secuencia_Optima'!$K$41,'07_Calendario'!$G$18)),MAX(0,MIN('06_Secuencia_Optima'!$L$42,'07_Calendario'!$H$18)-MAX('06_Secuencia_Optima'!$K$42,'07_Calendario'!$G$18))))</f>
        <v>0</v>
      </c>
      <c r="R27" s="111" t="str">
        <f>IF('07_Calendario'!$E$19=0,"",SUM(MAX(0,MIN('06_Secuencia_Optima'!$L$26,'07_Calendario'!$H$19)-MAX('06_Secuencia_Optima'!$K$26,'07_Calendario'!$G$19)),MAX(0,MIN('06_Secuencia_Optima'!$L$27,'07_Calendario'!$H$19)-MAX('06_Secuencia_Optima'!$K$27,'07_Calendario'!$G$19)),MAX(0,MIN('06_Secuencia_Optima'!$L$28,'07_Calendario'!$H$19)-MAX('06_Secuencia_Optima'!$K$28,'07_Calendario'!$G$19)),MAX(0,MIN('06_Secuencia_Optima'!$L$29,'07_Calendario'!$H$19)-MAX('06_Secuencia_Optima'!$K$29,'07_Calendario'!$G$19)),MAX(0,MIN('06_Secuencia_Optima'!$L$30,'07_Calendario'!$H$19)-MAX('06_Secuencia_Optima'!$K$30,'07_Calendario'!$G$19)),MAX(0,MIN('06_Secuencia_Optima'!$L$31,'07_Calendario'!$H$19)-MAX('06_Secuencia_Optima'!$K$31,'07_Calendario'!$G$19)),MAX(0,MIN('06_Secuencia_Optima'!$L$32,'07_Calendario'!$H$19)-MAX('06_Secuencia_Optima'!$K$32,'07_Calendario'!$G$19)),MAX(0,MIN('06_Secuencia_Optima'!$L$33,'07_Calendario'!$H$19)-MAX('06_Secuencia_Optima'!$K$33,'07_Calendario'!$G$19)),MAX(0,MIN('06_Secuencia_Optima'!$L$34,'07_Calendario'!$H$19)-MAX('06_Secuencia_Optima'!$K$34,'07_Calendario'!$G$19)),MAX(0,MIN('06_Secuencia_Optima'!$L$35,'07_Calendario'!$H$19)-MAX('06_Secuencia_Optima'!$K$35,'07_Calendario'!$G$19)),MAX(0,MIN('06_Secuencia_Optima'!$L$36,'07_Calendario'!$H$19)-MAX('06_Secuencia_Optima'!$K$36,'07_Calendario'!$G$19)),MAX(0,MIN('06_Secuencia_Optima'!$L$37,'07_Calendario'!$H$19)-MAX('06_Secuencia_Optima'!$K$37,'07_Calendario'!$G$19)),MAX(0,MIN('06_Secuencia_Optima'!$L$38,'07_Calendario'!$H$19)-MAX('06_Secuencia_Optima'!$K$38,'07_Calendario'!$G$19)),MAX(0,MIN('06_Secuencia_Optima'!$L$39,'07_Calendario'!$H$19)-MAX('06_Secuencia_Optima'!$K$39,'07_Calendario'!$G$19)),MAX(0,MIN('06_Secuencia_Optima'!$L$40,'07_Calendario'!$H$19)-MAX('06_Secuencia_Optima'!$K$40,'07_Calendario'!$G$19)),MAX(0,MIN('06_Secuencia_Optima'!$L$41,'07_Calendario'!$H$19)-MAX('06_Secuencia_Optima'!$K$41,'07_Calendario'!$G$19)),MAX(0,MIN('06_Secuencia_Optima'!$L$42,'07_Calendario'!$H$19)-MAX('06_Secuencia_Optima'!$K$42,'07_Calendario'!$G$19))))</f>
        <v/>
      </c>
      <c r="S27" s="111">
        <f>IF('07_Calendario'!$E$20=0,"",SUM(MAX(0,MIN('06_Secuencia_Optima'!$L$26,'07_Calendario'!$H$20)-MAX('06_Secuencia_Optima'!$K$26,'07_Calendario'!$G$20)),MAX(0,MIN('06_Secuencia_Optima'!$L$27,'07_Calendario'!$H$20)-MAX('06_Secuencia_Optima'!$K$27,'07_Calendario'!$G$20)),MAX(0,MIN('06_Secuencia_Optima'!$L$28,'07_Calendario'!$H$20)-MAX('06_Secuencia_Optima'!$K$28,'07_Calendario'!$G$20)),MAX(0,MIN('06_Secuencia_Optima'!$L$29,'07_Calendario'!$H$20)-MAX('06_Secuencia_Optima'!$K$29,'07_Calendario'!$G$20)),MAX(0,MIN('06_Secuencia_Optima'!$L$30,'07_Calendario'!$H$20)-MAX('06_Secuencia_Optima'!$K$30,'07_Calendario'!$G$20)),MAX(0,MIN('06_Secuencia_Optima'!$L$31,'07_Calendario'!$H$20)-MAX('06_Secuencia_Optima'!$K$31,'07_Calendario'!$G$20)),MAX(0,MIN('06_Secuencia_Optima'!$L$32,'07_Calendario'!$H$20)-MAX('06_Secuencia_Optima'!$K$32,'07_Calendario'!$G$20)),MAX(0,MIN('06_Secuencia_Optima'!$L$33,'07_Calendario'!$H$20)-MAX('06_Secuencia_Optima'!$K$33,'07_Calendario'!$G$20)),MAX(0,MIN('06_Secuencia_Optima'!$L$34,'07_Calendario'!$H$20)-MAX('06_Secuencia_Optima'!$K$34,'07_Calendario'!$G$20)),MAX(0,MIN('06_Secuencia_Optima'!$L$35,'07_Calendario'!$H$20)-MAX('06_Secuencia_Optima'!$K$35,'07_Calendario'!$G$20)),MAX(0,MIN('06_Secuencia_Optima'!$L$36,'07_Calendario'!$H$20)-MAX('06_Secuencia_Optima'!$K$36,'07_Calendario'!$G$20)),MAX(0,MIN('06_Secuencia_Optima'!$L$37,'07_Calendario'!$H$20)-MAX('06_Secuencia_Optima'!$K$37,'07_Calendario'!$G$20)),MAX(0,MIN('06_Secuencia_Optima'!$L$38,'07_Calendario'!$H$20)-MAX('06_Secuencia_Optima'!$K$38,'07_Calendario'!$G$20)),MAX(0,MIN('06_Secuencia_Optima'!$L$39,'07_Calendario'!$H$20)-MAX('06_Secuencia_Optima'!$K$39,'07_Calendario'!$G$20)),MAX(0,MIN('06_Secuencia_Optima'!$L$40,'07_Calendario'!$H$20)-MAX('06_Secuencia_Optima'!$K$40,'07_Calendario'!$G$20)),MAX(0,MIN('06_Secuencia_Optima'!$L$41,'07_Calendario'!$H$20)-MAX('06_Secuencia_Optima'!$K$41,'07_Calendario'!$G$20)),MAX(0,MIN('06_Secuencia_Optima'!$L$42,'07_Calendario'!$H$20)-MAX('06_Secuencia_Optima'!$K$42,'07_Calendario'!$G$20))))</f>
        <v>0</v>
      </c>
      <c r="T27" s="111">
        <f>IF('07_Calendario'!$E$21=0,"",SUM(MAX(0,MIN('06_Secuencia_Optima'!$L$26,'07_Calendario'!$H$21)-MAX('06_Secuencia_Optima'!$K$26,'07_Calendario'!$G$21)),MAX(0,MIN('06_Secuencia_Optima'!$L$27,'07_Calendario'!$H$21)-MAX('06_Secuencia_Optima'!$K$27,'07_Calendario'!$G$21)),MAX(0,MIN('06_Secuencia_Optima'!$L$28,'07_Calendario'!$H$21)-MAX('06_Secuencia_Optima'!$K$28,'07_Calendario'!$G$21)),MAX(0,MIN('06_Secuencia_Optima'!$L$29,'07_Calendario'!$H$21)-MAX('06_Secuencia_Optima'!$K$29,'07_Calendario'!$G$21)),MAX(0,MIN('06_Secuencia_Optima'!$L$30,'07_Calendario'!$H$21)-MAX('06_Secuencia_Optima'!$K$30,'07_Calendario'!$G$21)),MAX(0,MIN('06_Secuencia_Optima'!$L$31,'07_Calendario'!$H$21)-MAX('06_Secuencia_Optima'!$K$31,'07_Calendario'!$G$21)),MAX(0,MIN('06_Secuencia_Optima'!$L$32,'07_Calendario'!$H$21)-MAX('06_Secuencia_Optima'!$K$32,'07_Calendario'!$G$21)),MAX(0,MIN('06_Secuencia_Optima'!$L$33,'07_Calendario'!$H$21)-MAX('06_Secuencia_Optima'!$K$33,'07_Calendario'!$G$21)),MAX(0,MIN('06_Secuencia_Optima'!$L$34,'07_Calendario'!$H$21)-MAX('06_Secuencia_Optima'!$K$34,'07_Calendario'!$G$21)),MAX(0,MIN('06_Secuencia_Optima'!$L$35,'07_Calendario'!$H$21)-MAX('06_Secuencia_Optima'!$K$35,'07_Calendario'!$G$21)),MAX(0,MIN('06_Secuencia_Optima'!$L$36,'07_Calendario'!$H$21)-MAX('06_Secuencia_Optima'!$K$36,'07_Calendario'!$G$21)),MAX(0,MIN('06_Secuencia_Optima'!$L$37,'07_Calendario'!$H$21)-MAX('06_Secuencia_Optima'!$K$37,'07_Calendario'!$G$21)),MAX(0,MIN('06_Secuencia_Optima'!$L$38,'07_Calendario'!$H$21)-MAX('06_Secuencia_Optima'!$K$38,'07_Calendario'!$G$21)),MAX(0,MIN('06_Secuencia_Optima'!$L$39,'07_Calendario'!$H$21)-MAX('06_Secuencia_Optima'!$K$39,'07_Calendario'!$G$21)),MAX(0,MIN('06_Secuencia_Optima'!$L$40,'07_Calendario'!$H$21)-MAX('06_Secuencia_Optima'!$K$40,'07_Calendario'!$G$21)),MAX(0,MIN('06_Secuencia_Optima'!$L$41,'07_Calendario'!$H$21)-MAX('06_Secuencia_Optima'!$K$41,'07_Calendario'!$G$21)),MAX(0,MIN('06_Secuencia_Optima'!$L$42,'07_Calendario'!$H$21)-MAX('06_Secuencia_Optima'!$K$42,'07_Calendario'!$G$21))))</f>
        <v>0</v>
      </c>
      <c r="U27" s="111">
        <f>IF('07_Calendario'!$E$22=0,"",SUM(MAX(0,MIN('06_Secuencia_Optima'!$L$26,'07_Calendario'!$H$22)-MAX('06_Secuencia_Optima'!$K$26,'07_Calendario'!$G$22)),MAX(0,MIN('06_Secuencia_Optima'!$L$27,'07_Calendario'!$H$22)-MAX('06_Secuencia_Optima'!$K$27,'07_Calendario'!$G$22)),MAX(0,MIN('06_Secuencia_Optima'!$L$28,'07_Calendario'!$H$22)-MAX('06_Secuencia_Optima'!$K$28,'07_Calendario'!$G$22)),MAX(0,MIN('06_Secuencia_Optima'!$L$29,'07_Calendario'!$H$22)-MAX('06_Secuencia_Optima'!$K$29,'07_Calendario'!$G$22)),MAX(0,MIN('06_Secuencia_Optima'!$L$30,'07_Calendario'!$H$22)-MAX('06_Secuencia_Optima'!$K$30,'07_Calendario'!$G$22)),MAX(0,MIN('06_Secuencia_Optima'!$L$31,'07_Calendario'!$H$22)-MAX('06_Secuencia_Optima'!$K$31,'07_Calendario'!$G$22)),MAX(0,MIN('06_Secuencia_Optima'!$L$32,'07_Calendario'!$H$22)-MAX('06_Secuencia_Optima'!$K$32,'07_Calendario'!$G$22)),MAX(0,MIN('06_Secuencia_Optima'!$L$33,'07_Calendario'!$H$22)-MAX('06_Secuencia_Optima'!$K$33,'07_Calendario'!$G$22)),MAX(0,MIN('06_Secuencia_Optima'!$L$34,'07_Calendario'!$H$22)-MAX('06_Secuencia_Optima'!$K$34,'07_Calendario'!$G$22)),MAX(0,MIN('06_Secuencia_Optima'!$L$35,'07_Calendario'!$H$22)-MAX('06_Secuencia_Optima'!$K$35,'07_Calendario'!$G$22)),MAX(0,MIN('06_Secuencia_Optima'!$L$36,'07_Calendario'!$H$22)-MAX('06_Secuencia_Optima'!$K$36,'07_Calendario'!$G$22)),MAX(0,MIN('06_Secuencia_Optima'!$L$37,'07_Calendario'!$H$22)-MAX('06_Secuencia_Optima'!$K$37,'07_Calendario'!$G$22)),MAX(0,MIN('06_Secuencia_Optima'!$L$38,'07_Calendario'!$H$22)-MAX('06_Secuencia_Optima'!$K$38,'07_Calendario'!$G$22)),MAX(0,MIN('06_Secuencia_Optima'!$L$39,'07_Calendario'!$H$22)-MAX('06_Secuencia_Optima'!$K$39,'07_Calendario'!$G$22)),MAX(0,MIN('06_Secuencia_Optima'!$L$40,'07_Calendario'!$H$22)-MAX('06_Secuencia_Optima'!$K$40,'07_Calendario'!$G$22)),MAX(0,MIN('06_Secuencia_Optima'!$L$41,'07_Calendario'!$H$22)-MAX('06_Secuencia_Optima'!$K$41,'07_Calendario'!$G$22)),MAX(0,MIN('06_Secuencia_Optima'!$L$42,'07_Calendario'!$H$22)-MAX('06_Secuencia_Optima'!$K$42,'07_Calendario'!$G$22))))</f>
        <v>0</v>
      </c>
      <c r="V27" s="111">
        <f>IF('07_Calendario'!$E$23=0,"",SUM(MAX(0,MIN('06_Secuencia_Optima'!$L$26,'07_Calendario'!$H$23)-MAX('06_Secuencia_Optima'!$K$26,'07_Calendario'!$G$23)),MAX(0,MIN('06_Secuencia_Optima'!$L$27,'07_Calendario'!$H$23)-MAX('06_Secuencia_Optima'!$K$27,'07_Calendario'!$G$23)),MAX(0,MIN('06_Secuencia_Optima'!$L$28,'07_Calendario'!$H$23)-MAX('06_Secuencia_Optima'!$K$28,'07_Calendario'!$G$23)),MAX(0,MIN('06_Secuencia_Optima'!$L$29,'07_Calendario'!$H$23)-MAX('06_Secuencia_Optima'!$K$29,'07_Calendario'!$G$23)),MAX(0,MIN('06_Secuencia_Optima'!$L$30,'07_Calendario'!$H$23)-MAX('06_Secuencia_Optima'!$K$30,'07_Calendario'!$G$23)),MAX(0,MIN('06_Secuencia_Optima'!$L$31,'07_Calendario'!$H$23)-MAX('06_Secuencia_Optima'!$K$31,'07_Calendario'!$G$23)),MAX(0,MIN('06_Secuencia_Optima'!$L$32,'07_Calendario'!$H$23)-MAX('06_Secuencia_Optima'!$K$32,'07_Calendario'!$G$23)),MAX(0,MIN('06_Secuencia_Optima'!$L$33,'07_Calendario'!$H$23)-MAX('06_Secuencia_Optima'!$K$33,'07_Calendario'!$G$23)),MAX(0,MIN('06_Secuencia_Optima'!$L$34,'07_Calendario'!$H$23)-MAX('06_Secuencia_Optima'!$K$34,'07_Calendario'!$G$23)),MAX(0,MIN('06_Secuencia_Optima'!$L$35,'07_Calendario'!$H$23)-MAX('06_Secuencia_Optima'!$K$35,'07_Calendario'!$G$23)),MAX(0,MIN('06_Secuencia_Optima'!$L$36,'07_Calendario'!$H$23)-MAX('06_Secuencia_Optima'!$K$36,'07_Calendario'!$G$23)),MAX(0,MIN('06_Secuencia_Optima'!$L$37,'07_Calendario'!$H$23)-MAX('06_Secuencia_Optima'!$K$37,'07_Calendario'!$G$23)),MAX(0,MIN('06_Secuencia_Optima'!$L$38,'07_Calendario'!$H$23)-MAX('06_Secuencia_Optima'!$K$38,'07_Calendario'!$G$23)),MAX(0,MIN('06_Secuencia_Optima'!$L$39,'07_Calendario'!$H$23)-MAX('06_Secuencia_Optima'!$K$39,'07_Calendario'!$G$23)),MAX(0,MIN('06_Secuencia_Optima'!$L$40,'07_Calendario'!$H$23)-MAX('06_Secuencia_Optima'!$K$40,'07_Calendario'!$G$23)),MAX(0,MIN('06_Secuencia_Optima'!$L$41,'07_Calendario'!$H$23)-MAX('06_Secuencia_Optima'!$K$41,'07_Calendario'!$G$23)),MAX(0,MIN('06_Secuencia_Optima'!$L$42,'07_Calendario'!$H$23)-MAX('06_Secuencia_Optima'!$K$42,'07_Calendario'!$G$23))))</f>
        <v>0</v>
      </c>
      <c r="W27" s="111">
        <f>IF('07_Calendario'!$E$24=0,"",SUM(MAX(0,MIN('06_Secuencia_Optima'!$L$26,'07_Calendario'!$H$24)-MAX('06_Secuencia_Optima'!$K$26,'07_Calendario'!$G$24)),MAX(0,MIN('06_Secuencia_Optima'!$L$27,'07_Calendario'!$H$24)-MAX('06_Secuencia_Optima'!$K$27,'07_Calendario'!$G$24)),MAX(0,MIN('06_Secuencia_Optima'!$L$28,'07_Calendario'!$H$24)-MAX('06_Secuencia_Optima'!$K$28,'07_Calendario'!$G$24)),MAX(0,MIN('06_Secuencia_Optima'!$L$29,'07_Calendario'!$H$24)-MAX('06_Secuencia_Optima'!$K$29,'07_Calendario'!$G$24)),MAX(0,MIN('06_Secuencia_Optima'!$L$30,'07_Calendario'!$H$24)-MAX('06_Secuencia_Optima'!$K$30,'07_Calendario'!$G$24)),MAX(0,MIN('06_Secuencia_Optima'!$L$31,'07_Calendario'!$H$24)-MAX('06_Secuencia_Optima'!$K$31,'07_Calendario'!$G$24)),MAX(0,MIN('06_Secuencia_Optima'!$L$32,'07_Calendario'!$H$24)-MAX('06_Secuencia_Optima'!$K$32,'07_Calendario'!$G$24)),MAX(0,MIN('06_Secuencia_Optima'!$L$33,'07_Calendario'!$H$24)-MAX('06_Secuencia_Optima'!$K$33,'07_Calendario'!$G$24)),MAX(0,MIN('06_Secuencia_Optima'!$L$34,'07_Calendario'!$H$24)-MAX('06_Secuencia_Optima'!$K$34,'07_Calendario'!$G$24)),MAX(0,MIN('06_Secuencia_Optima'!$L$35,'07_Calendario'!$H$24)-MAX('06_Secuencia_Optima'!$K$35,'07_Calendario'!$G$24)),MAX(0,MIN('06_Secuencia_Optima'!$L$36,'07_Calendario'!$H$24)-MAX('06_Secuencia_Optima'!$K$36,'07_Calendario'!$G$24)),MAX(0,MIN('06_Secuencia_Optima'!$L$37,'07_Calendario'!$H$24)-MAX('06_Secuencia_Optima'!$K$37,'07_Calendario'!$G$24)),MAX(0,MIN('06_Secuencia_Optima'!$L$38,'07_Calendario'!$H$24)-MAX('06_Secuencia_Optima'!$K$38,'07_Calendario'!$G$24)),MAX(0,MIN('06_Secuencia_Optima'!$L$39,'07_Calendario'!$H$24)-MAX('06_Secuencia_Optima'!$K$39,'07_Calendario'!$G$24)),MAX(0,MIN('06_Secuencia_Optima'!$L$40,'07_Calendario'!$H$24)-MAX('06_Secuencia_Optima'!$K$40,'07_Calendario'!$G$24)),MAX(0,MIN('06_Secuencia_Optima'!$L$41,'07_Calendario'!$H$24)-MAX('06_Secuencia_Optima'!$K$41,'07_Calendario'!$G$24)),MAX(0,MIN('06_Secuencia_Optima'!$L$42,'07_Calendario'!$H$24)-MAX('06_Secuencia_Optima'!$K$42,'07_Calendario'!$G$24))))</f>
        <v>0</v>
      </c>
      <c r="X27" s="111">
        <f>IF('07_Calendario'!$E$25=0,"",SUM(MAX(0,MIN('06_Secuencia_Optima'!$L$26,'07_Calendario'!$H$25)-MAX('06_Secuencia_Optima'!$K$26,'07_Calendario'!$G$25)),MAX(0,MIN('06_Secuencia_Optima'!$L$27,'07_Calendario'!$H$25)-MAX('06_Secuencia_Optima'!$K$27,'07_Calendario'!$G$25)),MAX(0,MIN('06_Secuencia_Optima'!$L$28,'07_Calendario'!$H$25)-MAX('06_Secuencia_Optima'!$K$28,'07_Calendario'!$G$25)),MAX(0,MIN('06_Secuencia_Optima'!$L$29,'07_Calendario'!$H$25)-MAX('06_Secuencia_Optima'!$K$29,'07_Calendario'!$G$25)),MAX(0,MIN('06_Secuencia_Optima'!$L$30,'07_Calendario'!$H$25)-MAX('06_Secuencia_Optima'!$K$30,'07_Calendario'!$G$25)),MAX(0,MIN('06_Secuencia_Optima'!$L$31,'07_Calendario'!$H$25)-MAX('06_Secuencia_Optima'!$K$31,'07_Calendario'!$G$25)),MAX(0,MIN('06_Secuencia_Optima'!$L$32,'07_Calendario'!$H$25)-MAX('06_Secuencia_Optima'!$K$32,'07_Calendario'!$G$25)),MAX(0,MIN('06_Secuencia_Optima'!$L$33,'07_Calendario'!$H$25)-MAX('06_Secuencia_Optima'!$K$33,'07_Calendario'!$G$25)),MAX(0,MIN('06_Secuencia_Optima'!$L$34,'07_Calendario'!$H$25)-MAX('06_Secuencia_Optima'!$K$34,'07_Calendario'!$G$25)),MAX(0,MIN('06_Secuencia_Optima'!$L$35,'07_Calendario'!$H$25)-MAX('06_Secuencia_Optima'!$K$35,'07_Calendario'!$G$25)),MAX(0,MIN('06_Secuencia_Optima'!$L$36,'07_Calendario'!$H$25)-MAX('06_Secuencia_Optima'!$K$36,'07_Calendario'!$G$25)),MAX(0,MIN('06_Secuencia_Optima'!$L$37,'07_Calendario'!$H$25)-MAX('06_Secuencia_Optima'!$K$37,'07_Calendario'!$G$25)),MAX(0,MIN('06_Secuencia_Optima'!$L$38,'07_Calendario'!$H$25)-MAX('06_Secuencia_Optima'!$K$38,'07_Calendario'!$G$25)),MAX(0,MIN('06_Secuencia_Optima'!$L$39,'07_Calendario'!$H$25)-MAX('06_Secuencia_Optima'!$K$39,'07_Calendario'!$G$25)),MAX(0,MIN('06_Secuencia_Optima'!$L$40,'07_Calendario'!$H$25)-MAX('06_Secuencia_Optima'!$K$40,'07_Calendario'!$G$25)),MAX(0,MIN('06_Secuencia_Optima'!$L$41,'07_Calendario'!$H$25)-MAX('06_Secuencia_Optima'!$K$41,'07_Calendario'!$G$25)),MAX(0,MIN('06_Secuencia_Optima'!$L$42,'07_Calendario'!$H$25)-MAX('06_Secuencia_Optima'!$K$42,'07_Calendario'!$G$25))))</f>
        <v>0</v>
      </c>
      <c r="Y27" s="111">
        <f>IF('07_Calendario'!$E$26=0,"",SUM(MAX(0,MIN('06_Secuencia_Optima'!$L$26,'07_Calendario'!$H$26)-MAX('06_Secuencia_Optima'!$K$26,'07_Calendario'!$G$26)),MAX(0,MIN('06_Secuencia_Optima'!$L$27,'07_Calendario'!$H$26)-MAX('06_Secuencia_Optima'!$K$27,'07_Calendario'!$G$26)),MAX(0,MIN('06_Secuencia_Optima'!$L$28,'07_Calendario'!$H$26)-MAX('06_Secuencia_Optima'!$K$28,'07_Calendario'!$G$26)),MAX(0,MIN('06_Secuencia_Optima'!$L$29,'07_Calendario'!$H$26)-MAX('06_Secuencia_Optima'!$K$29,'07_Calendario'!$G$26)),MAX(0,MIN('06_Secuencia_Optima'!$L$30,'07_Calendario'!$H$26)-MAX('06_Secuencia_Optima'!$K$30,'07_Calendario'!$G$26)),MAX(0,MIN('06_Secuencia_Optima'!$L$31,'07_Calendario'!$H$26)-MAX('06_Secuencia_Optima'!$K$31,'07_Calendario'!$G$26)),MAX(0,MIN('06_Secuencia_Optima'!$L$32,'07_Calendario'!$H$26)-MAX('06_Secuencia_Optima'!$K$32,'07_Calendario'!$G$26)),MAX(0,MIN('06_Secuencia_Optima'!$L$33,'07_Calendario'!$H$26)-MAX('06_Secuencia_Optima'!$K$33,'07_Calendario'!$G$26)),MAX(0,MIN('06_Secuencia_Optima'!$L$34,'07_Calendario'!$H$26)-MAX('06_Secuencia_Optima'!$K$34,'07_Calendario'!$G$26)),MAX(0,MIN('06_Secuencia_Optima'!$L$35,'07_Calendario'!$H$26)-MAX('06_Secuencia_Optima'!$K$35,'07_Calendario'!$G$26)),MAX(0,MIN('06_Secuencia_Optima'!$L$36,'07_Calendario'!$H$26)-MAX('06_Secuencia_Optima'!$K$36,'07_Calendario'!$G$26)),MAX(0,MIN('06_Secuencia_Optima'!$L$37,'07_Calendario'!$H$26)-MAX('06_Secuencia_Optima'!$K$37,'07_Calendario'!$G$26)),MAX(0,MIN('06_Secuencia_Optima'!$L$38,'07_Calendario'!$H$26)-MAX('06_Secuencia_Optima'!$K$38,'07_Calendario'!$G$26)),MAX(0,MIN('06_Secuencia_Optima'!$L$39,'07_Calendario'!$H$26)-MAX('06_Secuencia_Optima'!$K$39,'07_Calendario'!$G$26)),MAX(0,MIN('06_Secuencia_Optima'!$L$40,'07_Calendario'!$H$26)-MAX('06_Secuencia_Optima'!$K$40,'07_Calendario'!$G$26)),MAX(0,MIN('06_Secuencia_Optima'!$L$41,'07_Calendario'!$H$26)-MAX('06_Secuencia_Optima'!$K$41,'07_Calendario'!$G$26)),MAX(0,MIN('06_Secuencia_Optima'!$L$42,'07_Calendario'!$H$26)-MAX('06_Secuencia_Optima'!$K$42,'07_Calendario'!$G$26))))</f>
        <v>0</v>
      </c>
      <c r="Z27" s="111">
        <f>IF('07_Calendario'!$E$27=0,"",SUM(MAX(0,MIN('06_Secuencia_Optima'!$L$26,'07_Calendario'!$H$27)-MAX('06_Secuencia_Optima'!$K$26,'07_Calendario'!$G$27)),MAX(0,MIN('06_Secuencia_Optima'!$L$27,'07_Calendario'!$H$27)-MAX('06_Secuencia_Optima'!$K$27,'07_Calendario'!$G$27)),MAX(0,MIN('06_Secuencia_Optima'!$L$28,'07_Calendario'!$H$27)-MAX('06_Secuencia_Optima'!$K$28,'07_Calendario'!$G$27)),MAX(0,MIN('06_Secuencia_Optima'!$L$29,'07_Calendario'!$H$27)-MAX('06_Secuencia_Optima'!$K$29,'07_Calendario'!$G$27)),MAX(0,MIN('06_Secuencia_Optima'!$L$30,'07_Calendario'!$H$27)-MAX('06_Secuencia_Optima'!$K$30,'07_Calendario'!$G$27)),MAX(0,MIN('06_Secuencia_Optima'!$L$31,'07_Calendario'!$H$27)-MAX('06_Secuencia_Optima'!$K$31,'07_Calendario'!$G$27)),MAX(0,MIN('06_Secuencia_Optima'!$L$32,'07_Calendario'!$H$27)-MAX('06_Secuencia_Optima'!$K$32,'07_Calendario'!$G$27)),MAX(0,MIN('06_Secuencia_Optima'!$L$33,'07_Calendario'!$H$27)-MAX('06_Secuencia_Optima'!$K$33,'07_Calendario'!$G$27)),MAX(0,MIN('06_Secuencia_Optima'!$L$34,'07_Calendario'!$H$27)-MAX('06_Secuencia_Optima'!$K$34,'07_Calendario'!$G$27)),MAX(0,MIN('06_Secuencia_Optima'!$L$35,'07_Calendario'!$H$27)-MAX('06_Secuencia_Optima'!$K$35,'07_Calendario'!$G$27)),MAX(0,MIN('06_Secuencia_Optima'!$L$36,'07_Calendario'!$H$27)-MAX('06_Secuencia_Optima'!$K$36,'07_Calendario'!$G$27)),MAX(0,MIN('06_Secuencia_Optima'!$L$37,'07_Calendario'!$H$27)-MAX('06_Secuencia_Optima'!$K$37,'07_Calendario'!$G$27)),MAX(0,MIN('06_Secuencia_Optima'!$L$38,'07_Calendario'!$H$27)-MAX('06_Secuencia_Optima'!$K$38,'07_Calendario'!$G$27)),MAX(0,MIN('06_Secuencia_Optima'!$L$39,'07_Calendario'!$H$27)-MAX('06_Secuencia_Optima'!$K$39,'07_Calendario'!$G$27)),MAX(0,MIN('06_Secuencia_Optima'!$L$40,'07_Calendario'!$H$27)-MAX('06_Secuencia_Optima'!$K$40,'07_Calendario'!$G$27)),MAX(0,MIN('06_Secuencia_Optima'!$L$41,'07_Calendario'!$H$27)-MAX('06_Secuencia_Optima'!$K$41,'07_Calendario'!$G$27)),MAX(0,MIN('06_Secuencia_Optima'!$L$42,'07_Calendario'!$H$27)-MAX('06_Secuencia_Optima'!$K$42,'07_Calendario'!$G$27))))</f>
        <v>0</v>
      </c>
      <c r="AA27" s="111">
        <f>IF('07_Calendario'!$E$28=0,"",SUM(MAX(0,MIN('06_Secuencia_Optima'!$L$26,'07_Calendario'!$H$28)-MAX('06_Secuencia_Optima'!$K$26,'07_Calendario'!$G$28)),MAX(0,MIN('06_Secuencia_Optima'!$L$27,'07_Calendario'!$H$28)-MAX('06_Secuencia_Optima'!$K$27,'07_Calendario'!$G$28)),MAX(0,MIN('06_Secuencia_Optima'!$L$28,'07_Calendario'!$H$28)-MAX('06_Secuencia_Optima'!$K$28,'07_Calendario'!$G$28)),MAX(0,MIN('06_Secuencia_Optima'!$L$29,'07_Calendario'!$H$28)-MAX('06_Secuencia_Optima'!$K$29,'07_Calendario'!$G$28)),MAX(0,MIN('06_Secuencia_Optima'!$L$30,'07_Calendario'!$H$28)-MAX('06_Secuencia_Optima'!$K$30,'07_Calendario'!$G$28)),MAX(0,MIN('06_Secuencia_Optima'!$L$31,'07_Calendario'!$H$28)-MAX('06_Secuencia_Optima'!$K$31,'07_Calendario'!$G$28)),MAX(0,MIN('06_Secuencia_Optima'!$L$32,'07_Calendario'!$H$28)-MAX('06_Secuencia_Optima'!$K$32,'07_Calendario'!$G$28)),MAX(0,MIN('06_Secuencia_Optima'!$L$33,'07_Calendario'!$H$28)-MAX('06_Secuencia_Optima'!$K$33,'07_Calendario'!$G$28)),MAX(0,MIN('06_Secuencia_Optima'!$L$34,'07_Calendario'!$H$28)-MAX('06_Secuencia_Optima'!$K$34,'07_Calendario'!$G$28)),MAX(0,MIN('06_Secuencia_Optima'!$L$35,'07_Calendario'!$H$28)-MAX('06_Secuencia_Optima'!$K$35,'07_Calendario'!$G$28)),MAX(0,MIN('06_Secuencia_Optima'!$L$36,'07_Calendario'!$H$28)-MAX('06_Secuencia_Optima'!$K$36,'07_Calendario'!$G$28)),MAX(0,MIN('06_Secuencia_Optima'!$L$37,'07_Calendario'!$H$28)-MAX('06_Secuencia_Optima'!$K$37,'07_Calendario'!$G$28)),MAX(0,MIN('06_Secuencia_Optima'!$L$38,'07_Calendario'!$H$28)-MAX('06_Secuencia_Optima'!$K$38,'07_Calendario'!$G$28)),MAX(0,MIN('06_Secuencia_Optima'!$L$39,'07_Calendario'!$H$28)-MAX('06_Secuencia_Optima'!$K$39,'07_Calendario'!$G$28)),MAX(0,MIN('06_Secuencia_Optima'!$L$40,'07_Calendario'!$H$28)-MAX('06_Secuencia_Optima'!$K$40,'07_Calendario'!$G$28)),MAX(0,MIN('06_Secuencia_Optima'!$L$41,'07_Calendario'!$H$28)-MAX('06_Secuencia_Optima'!$K$41,'07_Calendario'!$G$28)),MAX(0,MIN('06_Secuencia_Optima'!$L$42,'07_Calendario'!$H$28)-MAX('06_Secuencia_Optima'!$K$42,'07_Calendario'!$G$28))))</f>
        <v>0</v>
      </c>
      <c r="AB27" s="111">
        <f>IF('07_Calendario'!$E$29=0,"",SUM(MAX(0,MIN('06_Secuencia_Optima'!$L$26,'07_Calendario'!$H$29)-MAX('06_Secuencia_Optima'!$K$26,'07_Calendario'!$G$29)),MAX(0,MIN('06_Secuencia_Optima'!$L$27,'07_Calendario'!$H$29)-MAX('06_Secuencia_Optima'!$K$27,'07_Calendario'!$G$29)),MAX(0,MIN('06_Secuencia_Optima'!$L$28,'07_Calendario'!$H$29)-MAX('06_Secuencia_Optima'!$K$28,'07_Calendario'!$G$29)),MAX(0,MIN('06_Secuencia_Optima'!$L$29,'07_Calendario'!$H$29)-MAX('06_Secuencia_Optima'!$K$29,'07_Calendario'!$G$29)),MAX(0,MIN('06_Secuencia_Optima'!$L$30,'07_Calendario'!$H$29)-MAX('06_Secuencia_Optima'!$K$30,'07_Calendario'!$G$29)),MAX(0,MIN('06_Secuencia_Optima'!$L$31,'07_Calendario'!$H$29)-MAX('06_Secuencia_Optima'!$K$31,'07_Calendario'!$G$29)),MAX(0,MIN('06_Secuencia_Optima'!$L$32,'07_Calendario'!$H$29)-MAX('06_Secuencia_Optima'!$K$32,'07_Calendario'!$G$29)),MAX(0,MIN('06_Secuencia_Optima'!$L$33,'07_Calendario'!$H$29)-MAX('06_Secuencia_Optima'!$K$33,'07_Calendario'!$G$29)),MAX(0,MIN('06_Secuencia_Optima'!$L$34,'07_Calendario'!$H$29)-MAX('06_Secuencia_Optima'!$K$34,'07_Calendario'!$G$29)),MAX(0,MIN('06_Secuencia_Optima'!$L$35,'07_Calendario'!$H$29)-MAX('06_Secuencia_Optima'!$K$35,'07_Calendario'!$G$29)),MAX(0,MIN('06_Secuencia_Optima'!$L$36,'07_Calendario'!$H$29)-MAX('06_Secuencia_Optima'!$K$36,'07_Calendario'!$G$29)),MAX(0,MIN('06_Secuencia_Optima'!$L$37,'07_Calendario'!$H$29)-MAX('06_Secuencia_Optima'!$K$37,'07_Calendario'!$G$29)),MAX(0,MIN('06_Secuencia_Optima'!$L$38,'07_Calendario'!$H$29)-MAX('06_Secuencia_Optima'!$K$38,'07_Calendario'!$G$29)),MAX(0,MIN('06_Secuencia_Optima'!$L$39,'07_Calendario'!$H$29)-MAX('06_Secuencia_Optima'!$K$39,'07_Calendario'!$G$29)),MAX(0,MIN('06_Secuencia_Optima'!$L$40,'07_Calendario'!$H$29)-MAX('06_Secuencia_Optima'!$K$40,'07_Calendario'!$G$29)),MAX(0,MIN('06_Secuencia_Optima'!$L$41,'07_Calendario'!$H$29)-MAX('06_Secuencia_Optima'!$K$41,'07_Calendario'!$G$29)),MAX(0,MIN('06_Secuencia_Optima'!$L$42,'07_Calendario'!$H$29)-MAX('06_Secuencia_Optima'!$K$42,'07_Calendario'!$G$29))))</f>
        <v>0</v>
      </c>
      <c r="AC27" s="111">
        <f>IF('07_Calendario'!$E$30=0,"",SUM(MAX(0,MIN('06_Secuencia_Optima'!$L$26,'07_Calendario'!$H$30)-MAX('06_Secuencia_Optima'!$K$26,'07_Calendario'!$G$30)),MAX(0,MIN('06_Secuencia_Optima'!$L$27,'07_Calendario'!$H$30)-MAX('06_Secuencia_Optima'!$K$27,'07_Calendario'!$G$30)),MAX(0,MIN('06_Secuencia_Optima'!$L$28,'07_Calendario'!$H$30)-MAX('06_Secuencia_Optima'!$K$28,'07_Calendario'!$G$30)),MAX(0,MIN('06_Secuencia_Optima'!$L$29,'07_Calendario'!$H$30)-MAX('06_Secuencia_Optima'!$K$29,'07_Calendario'!$G$30)),MAX(0,MIN('06_Secuencia_Optima'!$L$30,'07_Calendario'!$H$30)-MAX('06_Secuencia_Optima'!$K$30,'07_Calendario'!$G$30)),MAX(0,MIN('06_Secuencia_Optima'!$L$31,'07_Calendario'!$H$30)-MAX('06_Secuencia_Optima'!$K$31,'07_Calendario'!$G$30)),MAX(0,MIN('06_Secuencia_Optima'!$L$32,'07_Calendario'!$H$30)-MAX('06_Secuencia_Optima'!$K$32,'07_Calendario'!$G$30)),MAX(0,MIN('06_Secuencia_Optima'!$L$33,'07_Calendario'!$H$30)-MAX('06_Secuencia_Optima'!$K$33,'07_Calendario'!$G$30)),MAX(0,MIN('06_Secuencia_Optima'!$L$34,'07_Calendario'!$H$30)-MAX('06_Secuencia_Optima'!$K$34,'07_Calendario'!$G$30)),MAX(0,MIN('06_Secuencia_Optima'!$L$35,'07_Calendario'!$H$30)-MAX('06_Secuencia_Optima'!$K$35,'07_Calendario'!$G$30)),MAX(0,MIN('06_Secuencia_Optima'!$L$36,'07_Calendario'!$H$30)-MAX('06_Secuencia_Optima'!$K$36,'07_Calendario'!$G$30)),MAX(0,MIN('06_Secuencia_Optima'!$L$37,'07_Calendario'!$H$30)-MAX('06_Secuencia_Optima'!$K$37,'07_Calendario'!$G$30)),MAX(0,MIN('06_Secuencia_Optima'!$L$38,'07_Calendario'!$H$30)-MAX('06_Secuencia_Optima'!$K$38,'07_Calendario'!$G$30)),MAX(0,MIN('06_Secuencia_Optima'!$L$39,'07_Calendario'!$H$30)-MAX('06_Secuencia_Optima'!$K$39,'07_Calendario'!$G$30)),MAX(0,MIN('06_Secuencia_Optima'!$L$40,'07_Calendario'!$H$30)-MAX('06_Secuencia_Optima'!$K$40,'07_Calendario'!$G$30)),MAX(0,MIN('06_Secuencia_Optima'!$L$41,'07_Calendario'!$H$30)-MAX('06_Secuencia_Optima'!$K$41,'07_Calendario'!$G$30)),MAX(0,MIN('06_Secuencia_Optima'!$L$42,'07_Calendario'!$H$30)-MAX('06_Secuencia_Optima'!$K$42,'07_Calendario'!$G$30))))</f>
        <v>0</v>
      </c>
      <c r="AD27" s="111">
        <f>IF('07_Calendario'!$E$31=0,"",SUM(MAX(0,MIN('06_Secuencia_Optima'!$L$26,'07_Calendario'!$H$31)-MAX('06_Secuencia_Optima'!$K$26,'07_Calendario'!$G$31)),MAX(0,MIN('06_Secuencia_Optima'!$L$27,'07_Calendario'!$H$31)-MAX('06_Secuencia_Optima'!$K$27,'07_Calendario'!$G$31)),MAX(0,MIN('06_Secuencia_Optima'!$L$28,'07_Calendario'!$H$31)-MAX('06_Secuencia_Optima'!$K$28,'07_Calendario'!$G$31)),MAX(0,MIN('06_Secuencia_Optima'!$L$29,'07_Calendario'!$H$31)-MAX('06_Secuencia_Optima'!$K$29,'07_Calendario'!$G$31)),MAX(0,MIN('06_Secuencia_Optima'!$L$30,'07_Calendario'!$H$31)-MAX('06_Secuencia_Optima'!$K$30,'07_Calendario'!$G$31)),MAX(0,MIN('06_Secuencia_Optima'!$L$31,'07_Calendario'!$H$31)-MAX('06_Secuencia_Optima'!$K$31,'07_Calendario'!$G$31)),MAX(0,MIN('06_Secuencia_Optima'!$L$32,'07_Calendario'!$H$31)-MAX('06_Secuencia_Optima'!$K$32,'07_Calendario'!$G$31)),MAX(0,MIN('06_Secuencia_Optima'!$L$33,'07_Calendario'!$H$31)-MAX('06_Secuencia_Optima'!$K$33,'07_Calendario'!$G$31)),MAX(0,MIN('06_Secuencia_Optima'!$L$34,'07_Calendario'!$H$31)-MAX('06_Secuencia_Optima'!$K$34,'07_Calendario'!$G$31)),MAX(0,MIN('06_Secuencia_Optima'!$L$35,'07_Calendario'!$H$31)-MAX('06_Secuencia_Optima'!$K$35,'07_Calendario'!$G$31)),MAX(0,MIN('06_Secuencia_Optima'!$L$36,'07_Calendario'!$H$31)-MAX('06_Secuencia_Optima'!$K$36,'07_Calendario'!$G$31)),MAX(0,MIN('06_Secuencia_Optima'!$L$37,'07_Calendario'!$H$31)-MAX('06_Secuencia_Optima'!$K$37,'07_Calendario'!$G$31)),MAX(0,MIN('06_Secuencia_Optima'!$L$38,'07_Calendario'!$H$31)-MAX('06_Secuencia_Optima'!$K$38,'07_Calendario'!$G$31)),MAX(0,MIN('06_Secuencia_Optima'!$L$39,'07_Calendario'!$H$31)-MAX('06_Secuencia_Optima'!$K$39,'07_Calendario'!$G$31)),MAX(0,MIN('06_Secuencia_Optima'!$L$40,'07_Calendario'!$H$31)-MAX('06_Secuencia_Optima'!$K$40,'07_Calendario'!$G$31)),MAX(0,MIN('06_Secuencia_Optima'!$L$41,'07_Calendario'!$H$31)-MAX('06_Secuencia_Optima'!$K$41,'07_Calendario'!$G$31)),MAX(0,MIN('06_Secuencia_Optima'!$L$42,'07_Calendario'!$H$31)-MAX('06_Secuencia_Optima'!$K$42,'07_Calendario'!$G$31))))</f>
        <v>0</v>
      </c>
      <c r="AE27" s="111">
        <f>IF('07_Calendario'!$E$32=0,"",SUM(MAX(0,MIN('06_Secuencia_Optima'!$L$26,'07_Calendario'!$H$32)-MAX('06_Secuencia_Optima'!$K$26,'07_Calendario'!$G$32)),MAX(0,MIN('06_Secuencia_Optima'!$L$27,'07_Calendario'!$H$32)-MAX('06_Secuencia_Optima'!$K$27,'07_Calendario'!$G$32)),MAX(0,MIN('06_Secuencia_Optima'!$L$28,'07_Calendario'!$H$32)-MAX('06_Secuencia_Optima'!$K$28,'07_Calendario'!$G$32)),MAX(0,MIN('06_Secuencia_Optima'!$L$29,'07_Calendario'!$H$32)-MAX('06_Secuencia_Optima'!$K$29,'07_Calendario'!$G$32)),MAX(0,MIN('06_Secuencia_Optima'!$L$30,'07_Calendario'!$H$32)-MAX('06_Secuencia_Optima'!$K$30,'07_Calendario'!$G$32)),MAX(0,MIN('06_Secuencia_Optima'!$L$31,'07_Calendario'!$H$32)-MAX('06_Secuencia_Optima'!$K$31,'07_Calendario'!$G$32)),MAX(0,MIN('06_Secuencia_Optima'!$L$32,'07_Calendario'!$H$32)-MAX('06_Secuencia_Optima'!$K$32,'07_Calendario'!$G$32)),MAX(0,MIN('06_Secuencia_Optima'!$L$33,'07_Calendario'!$H$32)-MAX('06_Secuencia_Optima'!$K$33,'07_Calendario'!$G$32)),MAX(0,MIN('06_Secuencia_Optima'!$L$34,'07_Calendario'!$H$32)-MAX('06_Secuencia_Optima'!$K$34,'07_Calendario'!$G$32)),MAX(0,MIN('06_Secuencia_Optima'!$L$35,'07_Calendario'!$H$32)-MAX('06_Secuencia_Optima'!$K$35,'07_Calendario'!$G$32)),MAX(0,MIN('06_Secuencia_Optima'!$L$36,'07_Calendario'!$H$32)-MAX('06_Secuencia_Optima'!$K$36,'07_Calendario'!$G$32)),MAX(0,MIN('06_Secuencia_Optima'!$L$37,'07_Calendario'!$H$32)-MAX('06_Secuencia_Optima'!$K$37,'07_Calendario'!$G$32)),MAX(0,MIN('06_Secuencia_Optima'!$L$38,'07_Calendario'!$H$32)-MAX('06_Secuencia_Optima'!$K$38,'07_Calendario'!$G$32)),MAX(0,MIN('06_Secuencia_Optima'!$L$39,'07_Calendario'!$H$32)-MAX('06_Secuencia_Optima'!$K$39,'07_Calendario'!$G$32)),MAX(0,MIN('06_Secuencia_Optima'!$L$40,'07_Calendario'!$H$32)-MAX('06_Secuencia_Optima'!$K$40,'07_Calendario'!$G$32)),MAX(0,MIN('06_Secuencia_Optima'!$L$41,'07_Calendario'!$H$32)-MAX('06_Secuencia_Optima'!$K$41,'07_Calendario'!$G$32)),MAX(0,MIN('06_Secuencia_Optima'!$L$42,'07_Calendario'!$H$32)-MAX('06_Secuencia_Optima'!$K$42,'07_Calendario'!$G$32))))</f>
        <v>0</v>
      </c>
      <c r="AF27" s="111">
        <f>IF('07_Calendario'!$E$33=0,"",SUM(MAX(0,MIN('06_Secuencia_Optima'!$L$26,'07_Calendario'!$H$33)-MAX('06_Secuencia_Optima'!$K$26,'07_Calendario'!$G$33)),MAX(0,MIN('06_Secuencia_Optima'!$L$27,'07_Calendario'!$H$33)-MAX('06_Secuencia_Optima'!$K$27,'07_Calendario'!$G$33)),MAX(0,MIN('06_Secuencia_Optima'!$L$28,'07_Calendario'!$H$33)-MAX('06_Secuencia_Optima'!$K$28,'07_Calendario'!$G$33)),MAX(0,MIN('06_Secuencia_Optima'!$L$29,'07_Calendario'!$H$33)-MAX('06_Secuencia_Optima'!$K$29,'07_Calendario'!$G$33)),MAX(0,MIN('06_Secuencia_Optima'!$L$30,'07_Calendario'!$H$33)-MAX('06_Secuencia_Optima'!$K$30,'07_Calendario'!$G$33)),MAX(0,MIN('06_Secuencia_Optima'!$L$31,'07_Calendario'!$H$33)-MAX('06_Secuencia_Optima'!$K$31,'07_Calendario'!$G$33)),MAX(0,MIN('06_Secuencia_Optima'!$L$32,'07_Calendario'!$H$33)-MAX('06_Secuencia_Optima'!$K$32,'07_Calendario'!$G$33)),MAX(0,MIN('06_Secuencia_Optima'!$L$33,'07_Calendario'!$H$33)-MAX('06_Secuencia_Optima'!$K$33,'07_Calendario'!$G$33)),MAX(0,MIN('06_Secuencia_Optima'!$L$34,'07_Calendario'!$H$33)-MAX('06_Secuencia_Optima'!$K$34,'07_Calendario'!$G$33)),MAX(0,MIN('06_Secuencia_Optima'!$L$35,'07_Calendario'!$H$33)-MAX('06_Secuencia_Optima'!$K$35,'07_Calendario'!$G$33)),MAX(0,MIN('06_Secuencia_Optima'!$L$36,'07_Calendario'!$H$33)-MAX('06_Secuencia_Optima'!$K$36,'07_Calendario'!$G$33)),MAX(0,MIN('06_Secuencia_Optima'!$L$37,'07_Calendario'!$H$33)-MAX('06_Secuencia_Optima'!$K$37,'07_Calendario'!$G$33)),MAX(0,MIN('06_Secuencia_Optima'!$L$38,'07_Calendario'!$H$33)-MAX('06_Secuencia_Optima'!$K$38,'07_Calendario'!$G$33)),MAX(0,MIN('06_Secuencia_Optima'!$L$39,'07_Calendario'!$H$33)-MAX('06_Secuencia_Optima'!$K$39,'07_Calendario'!$G$33)),MAX(0,MIN('06_Secuencia_Optima'!$L$40,'07_Calendario'!$H$33)-MAX('06_Secuencia_Optima'!$K$40,'07_Calendario'!$G$33)),MAX(0,MIN('06_Secuencia_Optima'!$L$41,'07_Calendario'!$H$33)-MAX('06_Secuencia_Optima'!$K$41,'07_Calendario'!$G$33)),MAX(0,MIN('06_Secuencia_Optima'!$L$42,'07_Calendario'!$H$33)-MAX('06_Secuencia_Optima'!$K$42,'07_Calendario'!$G$33))))</f>
        <v>0</v>
      </c>
      <c r="AG27" s="111">
        <f>IF('07_Calendario'!$E$34=0,"",SUM(MAX(0,MIN('06_Secuencia_Optima'!$L$26,'07_Calendario'!$H$34)-MAX('06_Secuencia_Optima'!$K$26,'07_Calendario'!$G$34)),MAX(0,MIN('06_Secuencia_Optima'!$L$27,'07_Calendario'!$H$34)-MAX('06_Secuencia_Optima'!$K$27,'07_Calendario'!$G$34)),MAX(0,MIN('06_Secuencia_Optima'!$L$28,'07_Calendario'!$H$34)-MAX('06_Secuencia_Optima'!$K$28,'07_Calendario'!$G$34)),MAX(0,MIN('06_Secuencia_Optima'!$L$29,'07_Calendario'!$H$34)-MAX('06_Secuencia_Optima'!$K$29,'07_Calendario'!$G$34)),MAX(0,MIN('06_Secuencia_Optima'!$L$30,'07_Calendario'!$H$34)-MAX('06_Secuencia_Optima'!$K$30,'07_Calendario'!$G$34)),MAX(0,MIN('06_Secuencia_Optima'!$L$31,'07_Calendario'!$H$34)-MAX('06_Secuencia_Optima'!$K$31,'07_Calendario'!$G$34)),MAX(0,MIN('06_Secuencia_Optima'!$L$32,'07_Calendario'!$H$34)-MAX('06_Secuencia_Optima'!$K$32,'07_Calendario'!$G$34)),MAX(0,MIN('06_Secuencia_Optima'!$L$33,'07_Calendario'!$H$34)-MAX('06_Secuencia_Optima'!$K$33,'07_Calendario'!$G$34)),MAX(0,MIN('06_Secuencia_Optima'!$L$34,'07_Calendario'!$H$34)-MAX('06_Secuencia_Optima'!$K$34,'07_Calendario'!$G$34)),MAX(0,MIN('06_Secuencia_Optima'!$L$35,'07_Calendario'!$H$34)-MAX('06_Secuencia_Optima'!$K$35,'07_Calendario'!$G$34)),MAX(0,MIN('06_Secuencia_Optima'!$L$36,'07_Calendario'!$H$34)-MAX('06_Secuencia_Optima'!$K$36,'07_Calendario'!$G$34)),MAX(0,MIN('06_Secuencia_Optima'!$L$37,'07_Calendario'!$H$34)-MAX('06_Secuencia_Optima'!$K$37,'07_Calendario'!$G$34)),MAX(0,MIN('06_Secuencia_Optima'!$L$38,'07_Calendario'!$H$34)-MAX('06_Secuencia_Optima'!$K$38,'07_Calendario'!$G$34)),MAX(0,MIN('06_Secuencia_Optima'!$L$39,'07_Calendario'!$H$34)-MAX('06_Secuencia_Optima'!$K$39,'07_Calendario'!$G$34)),MAX(0,MIN('06_Secuencia_Optima'!$L$40,'07_Calendario'!$H$34)-MAX('06_Secuencia_Optima'!$K$40,'07_Calendario'!$G$34)),MAX(0,MIN('06_Secuencia_Optima'!$L$41,'07_Calendario'!$H$34)-MAX('06_Secuencia_Optima'!$K$41,'07_Calendario'!$G$34)),MAX(0,MIN('06_Secuencia_Optima'!$L$42,'07_Calendario'!$H$34)-MAX('06_Secuencia_Optima'!$K$42,'07_Calendario'!$G$34))))</f>
        <v>0</v>
      </c>
      <c r="AH27" s="111">
        <f>IF('07_Calendario'!$E$35=0,"",SUM(MAX(0,MIN('06_Secuencia_Optima'!$L$26,'07_Calendario'!$H$35)-MAX('06_Secuencia_Optima'!$K$26,'07_Calendario'!$G$35)),MAX(0,MIN('06_Secuencia_Optima'!$L$27,'07_Calendario'!$H$35)-MAX('06_Secuencia_Optima'!$K$27,'07_Calendario'!$G$35)),MAX(0,MIN('06_Secuencia_Optima'!$L$28,'07_Calendario'!$H$35)-MAX('06_Secuencia_Optima'!$K$28,'07_Calendario'!$G$35)),MAX(0,MIN('06_Secuencia_Optima'!$L$29,'07_Calendario'!$H$35)-MAX('06_Secuencia_Optima'!$K$29,'07_Calendario'!$G$35)),MAX(0,MIN('06_Secuencia_Optima'!$L$30,'07_Calendario'!$H$35)-MAX('06_Secuencia_Optima'!$K$30,'07_Calendario'!$G$35)),MAX(0,MIN('06_Secuencia_Optima'!$L$31,'07_Calendario'!$H$35)-MAX('06_Secuencia_Optima'!$K$31,'07_Calendario'!$G$35)),MAX(0,MIN('06_Secuencia_Optima'!$L$32,'07_Calendario'!$H$35)-MAX('06_Secuencia_Optima'!$K$32,'07_Calendario'!$G$35)),MAX(0,MIN('06_Secuencia_Optima'!$L$33,'07_Calendario'!$H$35)-MAX('06_Secuencia_Optima'!$K$33,'07_Calendario'!$G$35)),MAX(0,MIN('06_Secuencia_Optima'!$L$34,'07_Calendario'!$H$35)-MAX('06_Secuencia_Optima'!$K$34,'07_Calendario'!$G$35)),MAX(0,MIN('06_Secuencia_Optima'!$L$35,'07_Calendario'!$H$35)-MAX('06_Secuencia_Optima'!$K$35,'07_Calendario'!$G$35)),MAX(0,MIN('06_Secuencia_Optima'!$L$36,'07_Calendario'!$H$35)-MAX('06_Secuencia_Optima'!$K$36,'07_Calendario'!$G$35)),MAX(0,MIN('06_Secuencia_Optima'!$L$37,'07_Calendario'!$H$35)-MAX('06_Secuencia_Optima'!$K$37,'07_Calendario'!$G$35)),MAX(0,MIN('06_Secuencia_Optima'!$L$38,'07_Calendario'!$H$35)-MAX('06_Secuencia_Optima'!$K$38,'07_Calendario'!$G$35)),MAX(0,MIN('06_Secuencia_Optima'!$L$39,'07_Calendario'!$H$35)-MAX('06_Secuencia_Optima'!$K$39,'07_Calendario'!$G$35)),MAX(0,MIN('06_Secuencia_Optima'!$L$40,'07_Calendario'!$H$35)-MAX('06_Secuencia_Optima'!$K$40,'07_Calendario'!$G$35)),MAX(0,MIN('06_Secuencia_Optima'!$L$41,'07_Calendario'!$H$35)-MAX('06_Secuencia_Optima'!$K$41,'07_Calendario'!$G$35)),MAX(0,MIN('06_Secuencia_Optima'!$L$42,'07_Calendario'!$H$35)-MAX('06_Secuencia_Optima'!$K$42,'07_Calendario'!$G$35))))</f>
        <v>0</v>
      </c>
      <c r="AI27" s="111">
        <f>IF('07_Calendario'!$E$36=0,"",SUM(MAX(0,MIN('06_Secuencia_Optima'!$L$26,'07_Calendario'!$H$36)-MAX('06_Secuencia_Optima'!$K$26,'07_Calendario'!$G$36)),MAX(0,MIN('06_Secuencia_Optima'!$L$27,'07_Calendario'!$H$36)-MAX('06_Secuencia_Optima'!$K$27,'07_Calendario'!$G$36)),MAX(0,MIN('06_Secuencia_Optima'!$L$28,'07_Calendario'!$H$36)-MAX('06_Secuencia_Optima'!$K$28,'07_Calendario'!$G$36)),MAX(0,MIN('06_Secuencia_Optima'!$L$29,'07_Calendario'!$H$36)-MAX('06_Secuencia_Optima'!$K$29,'07_Calendario'!$G$36)),MAX(0,MIN('06_Secuencia_Optima'!$L$30,'07_Calendario'!$H$36)-MAX('06_Secuencia_Optima'!$K$30,'07_Calendario'!$G$36)),MAX(0,MIN('06_Secuencia_Optima'!$L$31,'07_Calendario'!$H$36)-MAX('06_Secuencia_Optima'!$K$31,'07_Calendario'!$G$36)),MAX(0,MIN('06_Secuencia_Optima'!$L$32,'07_Calendario'!$H$36)-MAX('06_Secuencia_Optima'!$K$32,'07_Calendario'!$G$36)),MAX(0,MIN('06_Secuencia_Optima'!$L$33,'07_Calendario'!$H$36)-MAX('06_Secuencia_Optima'!$K$33,'07_Calendario'!$G$36)),MAX(0,MIN('06_Secuencia_Optima'!$L$34,'07_Calendario'!$H$36)-MAX('06_Secuencia_Optima'!$K$34,'07_Calendario'!$G$36)),MAX(0,MIN('06_Secuencia_Optima'!$L$35,'07_Calendario'!$H$36)-MAX('06_Secuencia_Optima'!$K$35,'07_Calendario'!$G$36)),MAX(0,MIN('06_Secuencia_Optima'!$L$36,'07_Calendario'!$H$36)-MAX('06_Secuencia_Optima'!$K$36,'07_Calendario'!$G$36)),MAX(0,MIN('06_Secuencia_Optima'!$L$37,'07_Calendario'!$H$36)-MAX('06_Secuencia_Optima'!$K$37,'07_Calendario'!$G$36)),MAX(0,MIN('06_Secuencia_Optima'!$L$38,'07_Calendario'!$H$36)-MAX('06_Secuencia_Optima'!$K$38,'07_Calendario'!$G$36)),MAX(0,MIN('06_Secuencia_Optima'!$L$39,'07_Calendario'!$H$36)-MAX('06_Secuencia_Optima'!$K$39,'07_Calendario'!$G$36)),MAX(0,MIN('06_Secuencia_Optima'!$L$40,'07_Calendario'!$H$36)-MAX('06_Secuencia_Optima'!$K$40,'07_Calendario'!$G$36)),MAX(0,MIN('06_Secuencia_Optima'!$L$41,'07_Calendario'!$H$36)-MAX('06_Secuencia_Optima'!$K$41,'07_Calendario'!$G$36)),MAX(0,MIN('06_Secuencia_Optima'!$L$42,'07_Calendario'!$H$36)-MAX('06_Secuencia_Optima'!$K$42,'07_Calendario'!$G$36))))</f>
        <v>0</v>
      </c>
      <c r="AJ27" s="111" t="str">
        <f>IF('07_Calendario'!$E$37=0,"",SUM(MAX(0,MIN('06_Secuencia_Optima'!$L$26,'07_Calendario'!$H$37)-MAX('06_Secuencia_Optima'!$K$26,'07_Calendario'!$G$37)),MAX(0,MIN('06_Secuencia_Optima'!$L$27,'07_Calendario'!$H$37)-MAX('06_Secuencia_Optima'!$K$27,'07_Calendario'!$G$37)),MAX(0,MIN('06_Secuencia_Optima'!$L$28,'07_Calendario'!$H$37)-MAX('06_Secuencia_Optima'!$K$28,'07_Calendario'!$G$37)),MAX(0,MIN('06_Secuencia_Optima'!$L$29,'07_Calendario'!$H$37)-MAX('06_Secuencia_Optima'!$K$29,'07_Calendario'!$G$37)),MAX(0,MIN('06_Secuencia_Optima'!$L$30,'07_Calendario'!$H$37)-MAX('06_Secuencia_Optima'!$K$30,'07_Calendario'!$G$37)),MAX(0,MIN('06_Secuencia_Optima'!$L$31,'07_Calendario'!$H$37)-MAX('06_Secuencia_Optima'!$K$31,'07_Calendario'!$G$37)),MAX(0,MIN('06_Secuencia_Optima'!$L$32,'07_Calendario'!$H$37)-MAX('06_Secuencia_Optima'!$K$32,'07_Calendario'!$G$37)),MAX(0,MIN('06_Secuencia_Optima'!$L$33,'07_Calendario'!$H$37)-MAX('06_Secuencia_Optima'!$K$33,'07_Calendario'!$G$37)),MAX(0,MIN('06_Secuencia_Optima'!$L$34,'07_Calendario'!$H$37)-MAX('06_Secuencia_Optima'!$K$34,'07_Calendario'!$G$37)),MAX(0,MIN('06_Secuencia_Optima'!$L$35,'07_Calendario'!$H$37)-MAX('06_Secuencia_Optima'!$K$35,'07_Calendario'!$G$37)),MAX(0,MIN('06_Secuencia_Optima'!$L$36,'07_Calendario'!$H$37)-MAX('06_Secuencia_Optima'!$K$36,'07_Calendario'!$G$37)),MAX(0,MIN('06_Secuencia_Optima'!$L$37,'07_Calendario'!$H$37)-MAX('06_Secuencia_Optima'!$K$37,'07_Calendario'!$G$37)),MAX(0,MIN('06_Secuencia_Optima'!$L$38,'07_Calendario'!$H$37)-MAX('06_Secuencia_Optima'!$K$38,'07_Calendario'!$G$37)),MAX(0,MIN('06_Secuencia_Optima'!$L$39,'07_Calendario'!$H$37)-MAX('06_Secuencia_Optima'!$K$39,'07_Calendario'!$G$37)),MAX(0,MIN('06_Secuencia_Optima'!$L$40,'07_Calendario'!$H$37)-MAX('06_Secuencia_Optima'!$K$40,'07_Calendario'!$G$37)),MAX(0,MIN('06_Secuencia_Optima'!$L$41,'07_Calendario'!$H$37)-MAX('06_Secuencia_Optima'!$K$41,'07_Calendario'!$G$37)),MAX(0,MIN('06_Secuencia_Optima'!$L$42,'07_Calendario'!$H$37)-MAX('06_Secuencia_Optima'!$K$42,'07_Calendario'!$G$37))))</f>
        <v/>
      </c>
      <c r="AK27" s="111">
        <f>IF('07_Calendario'!$E$38=0,"",SUM(MAX(0,MIN('06_Secuencia_Optima'!$L$26,'07_Calendario'!$H$38)-MAX('06_Secuencia_Optima'!$K$26,'07_Calendario'!$G$38)),MAX(0,MIN('06_Secuencia_Optima'!$L$27,'07_Calendario'!$H$38)-MAX('06_Secuencia_Optima'!$K$27,'07_Calendario'!$G$38)),MAX(0,MIN('06_Secuencia_Optima'!$L$28,'07_Calendario'!$H$38)-MAX('06_Secuencia_Optima'!$K$28,'07_Calendario'!$G$38)),MAX(0,MIN('06_Secuencia_Optima'!$L$29,'07_Calendario'!$H$38)-MAX('06_Secuencia_Optima'!$K$29,'07_Calendario'!$G$38)),MAX(0,MIN('06_Secuencia_Optima'!$L$30,'07_Calendario'!$H$38)-MAX('06_Secuencia_Optima'!$K$30,'07_Calendario'!$G$38)),MAX(0,MIN('06_Secuencia_Optima'!$L$31,'07_Calendario'!$H$38)-MAX('06_Secuencia_Optima'!$K$31,'07_Calendario'!$G$38)),MAX(0,MIN('06_Secuencia_Optima'!$L$32,'07_Calendario'!$H$38)-MAX('06_Secuencia_Optima'!$K$32,'07_Calendario'!$G$38)),MAX(0,MIN('06_Secuencia_Optima'!$L$33,'07_Calendario'!$H$38)-MAX('06_Secuencia_Optima'!$K$33,'07_Calendario'!$G$38)),MAX(0,MIN('06_Secuencia_Optima'!$L$34,'07_Calendario'!$H$38)-MAX('06_Secuencia_Optima'!$K$34,'07_Calendario'!$G$38)),MAX(0,MIN('06_Secuencia_Optima'!$L$35,'07_Calendario'!$H$38)-MAX('06_Secuencia_Optima'!$K$35,'07_Calendario'!$G$38)),MAX(0,MIN('06_Secuencia_Optima'!$L$36,'07_Calendario'!$H$38)-MAX('06_Secuencia_Optima'!$K$36,'07_Calendario'!$G$38)),MAX(0,MIN('06_Secuencia_Optima'!$L$37,'07_Calendario'!$H$38)-MAX('06_Secuencia_Optima'!$K$37,'07_Calendario'!$G$38)),MAX(0,MIN('06_Secuencia_Optima'!$L$38,'07_Calendario'!$H$38)-MAX('06_Secuencia_Optima'!$K$38,'07_Calendario'!$G$38)),MAX(0,MIN('06_Secuencia_Optima'!$L$39,'07_Calendario'!$H$38)-MAX('06_Secuencia_Optima'!$K$39,'07_Calendario'!$G$38)),MAX(0,MIN('06_Secuencia_Optima'!$L$40,'07_Calendario'!$H$38)-MAX('06_Secuencia_Optima'!$K$40,'07_Calendario'!$G$38)),MAX(0,MIN('06_Secuencia_Optima'!$L$41,'07_Calendario'!$H$38)-MAX('06_Secuencia_Optima'!$K$41,'07_Calendario'!$G$38)),MAX(0,MIN('06_Secuencia_Optima'!$L$42,'07_Calendario'!$H$38)-MAX('06_Secuencia_Optima'!$K$42,'07_Calendario'!$G$38))))</f>
        <v>0</v>
      </c>
      <c r="AL27" s="111">
        <f>IF('07_Calendario'!$E$39=0,"",SUM(MAX(0,MIN('06_Secuencia_Optima'!$L$26,'07_Calendario'!$H$39)-MAX('06_Secuencia_Optima'!$K$26,'07_Calendario'!$G$39)),MAX(0,MIN('06_Secuencia_Optima'!$L$27,'07_Calendario'!$H$39)-MAX('06_Secuencia_Optima'!$K$27,'07_Calendario'!$G$39)),MAX(0,MIN('06_Secuencia_Optima'!$L$28,'07_Calendario'!$H$39)-MAX('06_Secuencia_Optima'!$K$28,'07_Calendario'!$G$39)),MAX(0,MIN('06_Secuencia_Optima'!$L$29,'07_Calendario'!$H$39)-MAX('06_Secuencia_Optima'!$K$29,'07_Calendario'!$G$39)),MAX(0,MIN('06_Secuencia_Optima'!$L$30,'07_Calendario'!$H$39)-MAX('06_Secuencia_Optima'!$K$30,'07_Calendario'!$G$39)),MAX(0,MIN('06_Secuencia_Optima'!$L$31,'07_Calendario'!$H$39)-MAX('06_Secuencia_Optima'!$K$31,'07_Calendario'!$G$39)),MAX(0,MIN('06_Secuencia_Optima'!$L$32,'07_Calendario'!$H$39)-MAX('06_Secuencia_Optima'!$K$32,'07_Calendario'!$G$39)),MAX(0,MIN('06_Secuencia_Optima'!$L$33,'07_Calendario'!$H$39)-MAX('06_Secuencia_Optima'!$K$33,'07_Calendario'!$G$39)),MAX(0,MIN('06_Secuencia_Optima'!$L$34,'07_Calendario'!$H$39)-MAX('06_Secuencia_Optima'!$K$34,'07_Calendario'!$G$39)),MAX(0,MIN('06_Secuencia_Optima'!$L$35,'07_Calendario'!$H$39)-MAX('06_Secuencia_Optima'!$K$35,'07_Calendario'!$G$39)),MAX(0,MIN('06_Secuencia_Optima'!$L$36,'07_Calendario'!$H$39)-MAX('06_Secuencia_Optima'!$K$36,'07_Calendario'!$G$39)),MAX(0,MIN('06_Secuencia_Optima'!$L$37,'07_Calendario'!$H$39)-MAX('06_Secuencia_Optima'!$K$37,'07_Calendario'!$G$39)),MAX(0,MIN('06_Secuencia_Optima'!$L$38,'07_Calendario'!$H$39)-MAX('06_Secuencia_Optima'!$K$38,'07_Calendario'!$G$39)),MAX(0,MIN('06_Secuencia_Optima'!$L$39,'07_Calendario'!$H$39)-MAX('06_Secuencia_Optima'!$K$39,'07_Calendario'!$G$39)),MAX(0,MIN('06_Secuencia_Optima'!$L$40,'07_Calendario'!$H$39)-MAX('06_Secuencia_Optima'!$K$40,'07_Calendario'!$G$39)),MAX(0,MIN('06_Secuencia_Optima'!$L$41,'07_Calendario'!$H$39)-MAX('06_Secuencia_Optima'!$K$41,'07_Calendario'!$G$39)),MAX(0,MIN('06_Secuencia_Optima'!$L$42,'07_Calendario'!$H$39)-MAX('06_Secuencia_Optima'!$K$42,'07_Calendario'!$G$39))))</f>
        <v>0</v>
      </c>
      <c r="AM27" s="111">
        <f>IF('07_Calendario'!$E$40=0,"",SUM(MAX(0,MIN('06_Secuencia_Optima'!$L$26,'07_Calendario'!$H$40)-MAX('06_Secuencia_Optima'!$K$26,'07_Calendario'!$G$40)),MAX(0,MIN('06_Secuencia_Optima'!$L$27,'07_Calendario'!$H$40)-MAX('06_Secuencia_Optima'!$K$27,'07_Calendario'!$G$40)),MAX(0,MIN('06_Secuencia_Optima'!$L$28,'07_Calendario'!$H$40)-MAX('06_Secuencia_Optima'!$K$28,'07_Calendario'!$G$40)),MAX(0,MIN('06_Secuencia_Optima'!$L$29,'07_Calendario'!$H$40)-MAX('06_Secuencia_Optima'!$K$29,'07_Calendario'!$G$40)),MAX(0,MIN('06_Secuencia_Optima'!$L$30,'07_Calendario'!$H$40)-MAX('06_Secuencia_Optima'!$K$30,'07_Calendario'!$G$40)),MAX(0,MIN('06_Secuencia_Optima'!$L$31,'07_Calendario'!$H$40)-MAX('06_Secuencia_Optima'!$K$31,'07_Calendario'!$G$40)),MAX(0,MIN('06_Secuencia_Optima'!$L$32,'07_Calendario'!$H$40)-MAX('06_Secuencia_Optima'!$K$32,'07_Calendario'!$G$40)),MAX(0,MIN('06_Secuencia_Optima'!$L$33,'07_Calendario'!$H$40)-MAX('06_Secuencia_Optima'!$K$33,'07_Calendario'!$G$40)),MAX(0,MIN('06_Secuencia_Optima'!$L$34,'07_Calendario'!$H$40)-MAX('06_Secuencia_Optima'!$K$34,'07_Calendario'!$G$40)),MAX(0,MIN('06_Secuencia_Optima'!$L$35,'07_Calendario'!$H$40)-MAX('06_Secuencia_Optima'!$K$35,'07_Calendario'!$G$40)),MAX(0,MIN('06_Secuencia_Optima'!$L$36,'07_Calendario'!$H$40)-MAX('06_Secuencia_Optima'!$K$36,'07_Calendario'!$G$40)),MAX(0,MIN('06_Secuencia_Optima'!$L$37,'07_Calendario'!$H$40)-MAX('06_Secuencia_Optima'!$K$37,'07_Calendario'!$G$40)),MAX(0,MIN('06_Secuencia_Optima'!$L$38,'07_Calendario'!$H$40)-MAX('06_Secuencia_Optima'!$K$38,'07_Calendario'!$G$40)),MAX(0,MIN('06_Secuencia_Optima'!$L$39,'07_Calendario'!$H$40)-MAX('06_Secuencia_Optima'!$K$39,'07_Calendario'!$G$40)),MAX(0,MIN('06_Secuencia_Optima'!$L$40,'07_Calendario'!$H$40)-MAX('06_Secuencia_Optima'!$K$40,'07_Calendario'!$G$40)),MAX(0,MIN('06_Secuencia_Optima'!$L$41,'07_Calendario'!$H$40)-MAX('06_Secuencia_Optima'!$K$41,'07_Calendario'!$G$40)),MAX(0,MIN('06_Secuencia_Optima'!$L$42,'07_Calendario'!$H$40)-MAX('06_Secuencia_Optima'!$K$42,'07_Calendario'!$G$40))))</f>
        <v>0</v>
      </c>
      <c r="AN27" s="111">
        <f>IF('07_Calendario'!$E$41=0,"",SUM(MAX(0,MIN('06_Secuencia_Optima'!$L$26,'07_Calendario'!$H$41)-MAX('06_Secuencia_Optima'!$K$26,'07_Calendario'!$G$41)),MAX(0,MIN('06_Secuencia_Optima'!$L$27,'07_Calendario'!$H$41)-MAX('06_Secuencia_Optima'!$K$27,'07_Calendario'!$G$41)),MAX(0,MIN('06_Secuencia_Optima'!$L$28,'07_Calendario'!$H$41)-MAX('06_Secuencia_Optima'!$K$28,'07_Calendario'!$G$41)),MAX(0,MIN('06_Secuencia_Optima'!$L$29,'07_Calendario'!$H$41)-MAX('06_Secuencia_Optima'!$K$29,'07_Calendario'!$G$41)),MAX(0,MIN('06_Secuencia_Optima'!$L$30,'07_Calendario'!$H$41)-MAX('06_Secuencia_Optima'!$K$30,'07_Calendario'!$G$41)),MAX(0,MIN('06_Secuencia_Optima'!$L$31,'07_Calendario'!$H$41)-MAX('06_Secuencia_Optima'!$K$31,'07_Calendario'!$G$41)),MAX(0,MIN('06_Secuencia_Optima'!$L$32,'07_Calendario'!$H$41)-MAX('06_Secuencia_Optima'!$K$32,'07_Calendario'!$G$41)),MAX(0,MIN('06_Secuencia_Optima'!$L$33,'07_Calendario'!$H$41)-MAX('06_Secuencia_Optima'!$K$33,'07_Calendario'!$G$41)),MAX(0,MIN('06_Secuencia_Optima'!$L$34,'07_Calendario'!$H$41)-MAX('06_Secuencia_Optima'!$K$34,'07_Calendario'!$G$41)),MAX(0,MIN('06_Secuencia_Optima'!$L$35,'07_Calendario'!$H$41)-MAX('06_Secuencia_Optima'!$K$35,'07_Calendario'!$G$41)),MAX(0,MIN('06_Secuencia_Optima'!$L$36,'07_Calendario'!$H$41)-MAX('06_Secuencia_Optima'!$K$36,'07_Calendario'!$G$41)),MAX(0,MIN('06_Secuencia_Optima'!$L$37,'07_Calendario'!$H$41)-MAX('06_Secuencia_Optima'!$K$37,'07_Calendario'!$G$41)),MAX(0,MIN('06_Secuencia_Optima'!$L$38,'07_Calendario'!$H$41)-MAX('06_Secuencia_Optima'!$K$38,'07_Calendario'!$G$41)),MAX(0,MIN('06_Secuencia_Optima'!$L$39,'07_Calendario'!$H$41)-MAX('06_Secuencia_Optima'!$K$39,'07_Calendario'!$G$41)),MAX(0,MIN('06_Secuencia_Optima'!$L$40,'07_Calendario'!$H$41)-MAX('06_Secuencia_Optima'!$K$40,'07_Calendario'!$G$41)),MAX(0,MIN('06_Secuencia_Optima'!$L$41,'07_Calendario'!$H$41)-MAX('06_Secuencia_Optima'!$K$41,'07_Calendario'!$G$41)),MAX(0,MIN('06_Secuencia_Optima'!$L$42,'07_Calendario'!$H$41)-MAX('06_Secuencia_Optima'!$K$42,'07_Calendario'!$G$41))))</f>
        <v>0</v>
      </c>
      <c r="AO27" s="111">
        <f>IF('07_Calendario'!$E$42=0,"",SUM(MAX(0,MIN('06_Secuencia_Optima'!$L$26,'07_Calendario'!$H$42)-MAX('06_Secuencia_Optima'!$K$26,'07_Calendario'!$G$42)),MAX(0,MIN('06_Secuencia_Optima'!$L$27,'07_Calendario'!$H$42)-MAX('06_Secuencia_Optima'!$K$27,'07_Calendario'!$G$42)),MAX(0,MIN('06_Secuencia_Optima'!$L$28,'07_Calendario'!$H$42)-MAX('06_Secuencia_Optima'!$K$28,'07_Calendario'!$G$42)),MAX(0,MIN('06_Secuencia_Optima'!$L$29,'07_Calendario'!$H$42)-MAX('06_Secuencia_Optima'!$K$29,'07_Calendario'!$G$42)),MAX(0,MIN('06_Secuencia_Optima'!$L$30,'07_Calendario'!$H$42)-MAX('06_Secuencia_Optima'!$K$30,'07_Calendario'!$G$42)),MAX(0,MIN('06_Secuencia_Optima'!$L$31,'07_Calendario'!$H$42)-MAX('06_Secuencia_Optima'!$K$31,'07_Calendario'!$G$42)),MAX(0,MIN('06_Secuencia_Optima'!$L$32,'07_Calendario'!$H$42)-MAX('06_Secuencia_Optima'!$K$32,'07_Calendario'!$G$42)),MAX(0,MIN('06_Secuencia_Optima'!$L$33,'07_Calendario'!$H$42)-MAX('06_Secuencia_Optima'!$K$33,'07_Calendario'!$G$42)),MAX(0,MIN('06_Secuencia_Optima'!$L$34,'07_Calendario'!$H$42)-MAX('06_Secuencia_Optima'!$K$34,'07_Calendario'!$G$42)),MAX(0,MIN('06_Secuencia_Optima'!$L$35,'07_Calendario'!$H$42)-MAX('06_Secuencia_Optima'!$K$35,'07_Calendario'!$G$42)),MAX(0,MIN('06_Secuencia_Optima'!$L$36,'07_Calendario'!$H$42)-MAX('06_Secuencia_Optima'!$K$36,'07_Calendario'!$G$42)),MAX(0,MIN('06_Secuencia_Optima'!$L$37,'07_Calendario'!$H$42)-MAX('06_Secuencia_Optima'!$K$37,'07_Calendario'!$G$42)),MAX(0,MIN('06_Secuencia_Optima'!$L$38,'07_Calendario'!$H$42)-MAX('06_Secuencia_Optima'!$K$38,'07_Calendario'!$G$42)),MAX(0,MIN('06_Secuencia_Optima'!$L$39,'07_Calendario'!$H$42)-MAX('06_Secuencia_Optima'!$K$39,'07_Calendario'!$G$42)),MAX(0,MIN('06_Secuencia_Optima'!$L$40,'07_Calendario'!$H$42)-MAX('06_Secuencia_Optima'!$K$40,'07_Calendario'!$G$42)),MAX(0,MIN('06_Secuencia_Optima'!$L$41,'07_Calendario'!$H$42)-MAX('06_Secuencia_Optima'!$K$41,'07_Calendario'!$G$42)),MAX(0,MIN('06_Secuencia_Optima'!$L$42,'07_Calendario'!$H$42)-MAX('06_Secuencia_Optima'!$K$42,'07_Calendario'!$G$42))))</f>
        <v>0</v>
      </c>
      <c r="AP27" s="111">
        <f>IF('07_Calendario'!$E$43=0,"",SUM(MAX(0,MIN('06_Secuencia_Optima'!$L$26,'07_Calendario'!$H$43)-MAX('06_Secuencia_Optima'!$K$26,'07_Calendario'!$G$43)),MAX(0,MIN('06_Secuencia_Optima'!$L$27,'07_Calendario'!$H$43)-MAX('06_Secuencia_Optima'!$K$27,'07_Calendario'!$G$43)),MAX(0,MIN('06_Secuencia_Optima'!$L$28,'07_Calendario'!$H$43)-MAX('06_Secuencia_Optima'!$K$28,'07_Calendario'!$G$43)),MAX(0,MIN('06_Secuencia_Optima'!$L$29,'07_Calendario'!$H$43)-MAX('06_Secuencia_Optima'!$K$29,'07_Calendario'!$G$43)),MAX(0,MIN('06_Secuencia_Optima'!$L$30,'07_Calendario'!$H$43)-MAX('06_Secuencia_Optima'!$K$30,'07_Calendario'!$G$43)),MAX(0,MIN('06_Secuencia_Optima'!$L$31,'07_Calendario'!$H$43)-MAX('06_Secuencia_Optima'!$K$31,'07_Calendario'!$G$43)),MAX(0,MIN('06_Secuencia_Optima'!$L$32,'07_Calendario'!$H$43)-MAX('06_Secuencia_Optima'!$K$32,'07_Calendario'!$G$43)),MAX(0,MIN('06_Secuencia_Optima'!$L$33,'07_Calendario'!$H$43)-MAX('06_Secuencia_Optima'!$K$33,'07_Calendario'!$G$43)),MAX(0,MIN('06_Secuencia_Optima'!$L$34,'07_Calendario'!$H$43)-MAX('06_Secuencia_Optima'!$K$34,'07_Calendario'!$G$43)),MAX(0,MIN('06_Secuencia_Optima'!$L$35,'07_Calendario'!$H$43)-MAX('06_Secuencia_Optima'!$K$35,'07_Calendario'!$G$43)),MAX(0,MIN('06_Secuencia_Optima'!$L$36,'07_Calendario'!$H$43)-MAX('06_Secuencia_Optima'!$K$36,'07_Calendario'!$G$43)),MAX(0,MIN('06_Secuencia_Optima'!$L$37,'07_Calendario'!$H$43)-MAX('06_Secuencia_Optima'!$K$37,'07_Calendario'!$G$43)),MAX(0,MIN('06_Secuencia_Optima'!$L$38,'07_Calendario'!$H$43)-MAX('06_Secuencia_Optima'!$K$38,'07_Calendario'!$G$43)),MAX(0,MIN('06_Secuencia_Optima'!$L$39,'07_Calendario'!$H$43)-MAX('06_Secuencia_Optima'!$K$39,'07_Calendario'!$G$43)),MAX(0,MIN('06_Secuencia_Optima'!$L$40,'07_Calendario'!$H$43)-MAX('06_Secuencia_Optima'!$K$40,'07_Calendario'!$G$43)),MAX(0,MIN('06_Secuencia_Optima'!$L$41,'07_Calendario'!$H$43)-MAX('06_Secuencia_Optima'!$K$41,'07_Calendario'!$G$43)),MAX(0,MIN('06_Secuencia_Optima'!$L$42,'07_Calendario'!$H$43)-MAX('06_Secuencia_Optima'!$K$42,'07_Calendario'!$G$43))))</f>
        <v>0</v>
      </c>
      <c r="AQ27" s="111">
        <f>IF('07_Calendario'!$E$44=0,"",SUM(MAX(0,MIN('06_Secuencia_Optima'!$L$26,'07_Calendario'!$H$44)-MAX('06_Secuencia_Optima'!$K$26,'07_Calendario'!$G$44)),MAX(0,MIN('06_Secuencia_Optima'!$L$27,'07_Calendario'!$H$44)-MAX('06_Secuencia_Optima'!$K$27,'07_Calendario'!$G$44)),MAX(0,MIN('06_Secuencia_Optima'!$L$28,'07_Calendario'!$H$44)-MAX('06_Secuencia_Optima'!$K$28,'07_Calendario'!$G$44)),MAX(0,MIN('06_Secuencia_Optima'!$L$29,'07_Calendario'!$H$44)-MAX('06_Secuencia_Optima'!$K$29,'07_Calendario'!$G$44)),MAX(0,MIN('06_Secuencia_Optima'!$L$30,'07_Calendario'!$H$44)-MAX('06_Secuencia_Optima'!$K$30,'07_Calendario'!$G$44)),MAX(0,MIN('06_Secuencia_Optima'!$L$31,'07_Calendario'!$H$44)-MAX('06_Secuencia_Optima'!$K$31,'07_Calendario'!$G$44)),MAX(0,MIN('06_Secuencia_Optima'!$L$32,'07_Calendario'!$H$44)-MAX('06_Secuencia_Optima'!$K$32,'07_Calendario'!$G$44)),MAX(0,MIN('06_Secuencia_Optima'!$L$33,'07_Calendario'!$H$44)-MAX('06_Secuencia_Optima'!$K$33,'07_Calendario'!$G$44)),MAX(0,MIN('06_Secuencia_Optima'!$L$34,'07_Calendario'!$H$44)-MAX('06_Secuencia_Optima'!$K$34,'07_Calendario'!$G$44)),MAX(0,MIN('06_Secuencia_Optima'!$L$35,'07_Calendario'!$H$44)-MAX('06_Secuencia_Optima'!$K$35,'07_Calendario'!$G$44)),MAX(0,MIN('06_Secuencia_Optima'!$L$36,'07_Calendario'!$H$44)-MAX('06_Secuencia_Optima'!$K$36,'07_Calendario'!$G$44)),MAX(0,MIN('06_Secuencia_Optima'!$L$37,'07_Calendario'!$H$44)-MAX('06_Secuencia_Optima'!$K$37,'07_Calendario'!$G$44)),MAX(0,MIN('06_Secuencia_Optima'!$L$38,'07_Calendario'!$H$44)-MAX('06_Secuencia_Optima'!$K$38,'07_Calendario'!$G$44)),MAX(0,MIN('06_Secuencia_Optima'!$L$39,'07_Calendario'!$H$44)-MAX('06_Secuencia_Optima'!$K$39,'07_Calendario'!$G$44)),MAX(0,MIN('06_Secuencia_Optima'!$L$40,'07_Calendario'!$H$44)-MAX('06_Secuencia_Optima'!$K$40,'07_Calendario'!$G$44)),MAX(0,MIN('06_Secuencia_Optima'!$L$41,'07_Calendario'!$H$44)-MAX('06_Secuencia_Optima'!$K$41,'07_Calendario'!$G$44)),MAX(0,MIN('06_Secuencia_Optima'!$L$42,'07_Calendario'!$H$44)-MAX('06_Secuencia_Optima'!$K$42,'07_Calendario'!$G$44))))</f>
        <v>0</v>
      </c>
      <c r="AR27" s="111">
        <f>IF('07_Calendario'!$E$45=0,"",SUM(MAX(0,MIN('06_Secuencia_Optima'!$L$26,'07_Calendario'!$H$45)-MAX('06_Secuencia_Optima'!$K$26,'07_Calendario'!$G$45)),MAX(0,MIN('06_Secuencia_Optima'!$L$27,'07_Calendario'!$H$45)-MAX('06_Secuencia_Optima'!$K$27,'07_Calendario'!$G$45)),MAX(0,MIN('06_Secuencia_Optima'!$L$28,'07_Calendario'!$H$45)-MAX('06_Secuencia_Optima'!$K$28,'07_Calendario'!$G$45)),MAX(0,MIN('06_Secuencia_Optima'!$L$29,'07_Calendario'!$H$45)-MAX('06_Secuencia_Optima'!$K$29,'07_Calendario'!$G$45)),MAX(0,MIN('06_Secuencia_Optima'!$L$30,'07_Calendario'!$H$45)-MAX('06_Secuencia_Optima'!$K$30,'07_Calendario'!$G$45)),MAX(0,MIN('06_Secuencia_Optima'!$L$31,'07_Calendario'!$H$45)-MAX('06_Secuencia_Optima'!$K$31,'07_Calendario'!$G$45)),MAX(0,MIN('06_Secuencia_Optima'!$L$32,'07_Calendario'!$H$45)-MAX('06_Secuencia_Optima'!$K$32,'07_Calendario'!$G$45)),MAX(0,MIN('06_Secuencia_Optima'!$L$33,'07_Calendario'!$H$45)-MAX('06_Secuencia_Optima'!$K$33,'07_Calendario'!$G$45)),MAX(0,MIN('06_Secuencia_Optima'!$L$34,'07_Calendario'!$H$45)-MAX('06_Secuencia_Optima'!$K$34,'07_Calendario'!$G$45)),MAX(0,MIN('06_Secuencia_Optima'!$L$35,'07_Calendario'!$H$45)-MAX('06_Secuencia_Optima'!$K$35,'07_Calendario'!$G$45)),MAX(0,MIN('06_Secuencia_Optima'!$L$36,'07_Calendario'!$H$45)-MAX('06_Secuencia_Optima'!$K$36,'07_Calendario'!$G$45)),MAX(0,MIN('06_Secuencia_Optima'!$L$37,'07_Calendario'!$H$45)-MAX('06_Secuencia_Optima'!$K$37,'07_Calendario'!$G$45)),MAX(0,MIN('06_Secuencia_Optima'!$L$38,'07_Calendario'!$H$45)-MAX('06_Secuencia_Optima'!$K$38,'07_Calendario'!$G$45)),MAX(0,MIN('06_Secuencia_Optima'!$L$39,'07_Calendario'!$H$45)-MAX('06_Secuencia_Optima'!$K$39,'07_Calendario'!$G$45)),MAX(0,MIN('06_Secuencia_Optima'!$L$40,'07_Calendario'!$H$45)-MAX('06_Secuencia_Optima'!$K$40,'07_Calendario'!$G$45)),MAX(0,MIN('06_Secuencia_Optima'!$L$41,'07_Calendario'!$H$45)-MAX('06_Secuencia_Optima'!$K$41,'07_Calendario'!$G$45)),MAX(0,MIN('06_Secuencia_Optima'!$L$42,'07_Calendario'!$H$45)-MAX('06_Secuencia_Optima'!$K$42,'07_Calendario'!$G$45))))</f>
        <v>0</v>
      </c>
      <c r="AS27" s="111">
        <f>IF('07_Calendario'!$E$46=0,"",SUM(MAX(0,MIN('06_Secuencia_Optima'!$L$26,'07_Calendario'!$H$46)-MAX('06_Secuencia_Optima'!$K$26,'07_Calendario'!$G$46)),MAX(0,MIN('06_Secuencia_Optima'!$L$27,'07_Calendario'!$H$46)-MAX('06_Secuencia_Optima'!$K$27,'07_Calendario'!$G$46)),MAX(0,MIN('06_Secuencia_Optima'!$L$28,'07_Calendario'!$H$46)-MAX('06_Secuencia_Optima'!$K$28,'07_Calendario'!$G$46)),MAX(0,MIN('06_Secuencia_Optima'!$L$29,'07_Calendario'!$H$46)-MAX('06_Secuencia_Optima'!$K$29,'07_Calendario'!$G$46)),MAX(0,MIN('06_Secuencia_Optima'!$L$30,'07_Calendario'!$H$46)-MAX('06_Secuencia_Optima'!$K$30,'07_Calendario'!$G$46)),MAX(0,MIN('06_Secuencia_Optima'!$L$31,'07_Calendario'!$H$46)-MAX('06_Secuencia_Optima'!$K$31,'07_Calendario'!$G$46)),MAX(0,MIN('06_Secuencia_Optima'!$L$32,'07_Calendario'!$H$46)-MAX('06_Secuencia_Optima'!$K$32,'07_Calendario'!$G$46)),MAX(0,MIN('06_Secuencia_Optima'!$L$33,'07_Calendario'!$H$46)-MAX('06_Secuencia_Optima'!$K$33,'07_Calendario'!$G$46)),MAX(0,MIN('06_Secuencia_Optima'!$L$34,'07_Calendario'!$H$46)-MAX('06_Secuencia_Optima'!$K$34,'07_Calendario'!$G$46)),MAX(0,MIN('06_Secuencia_Optima'!$L$35,'07_Calendario'!$H$46)-MAX('06_Secuencia_Optima'!$K$35,'07_Calendario'!$G$46)),MAX(0,MIN('06_Secuencia_Optima'!$L$36,'07_Calendario'!$H$46)-MAX('06_Secuencia_Optima'!$K$36,'07_Calendario'!$G$46)),MAX(0,MIN('06_Secuencia_Optima'!$L$37,'07_Calendario'!$H$46)-MAX('06_Secuencia_Optima'!$K$37,'07_Calendario'!$G$46)),MAX(0,MIN('06_Secuencia_Optima'!$L$38,'07_Calendario'!$H$46)-MAX('06_Secuencia_Optima'!$K$38,'07_Calendario'!$G$46)),MAX(0,MIN('06_Secuencia_Optima'!$L$39,'07_Calendario'!$H$46)-MAX('06_Secuencia_Optima'!$K$39,'07_Calendario'!$G$46)),MAX(0,MIN('06_Secuencia_Optima'!$L$40,'07_Calendario'!$H$46)-MAX('06_Secuencia_Optima'!$K$40,'07_Calendario'!$G$46)),MAX(0,MIN('06_Secuencia_Optima'!$L$41,'07_Calendario'!$H$46)-MAX('06_Secuencia_Optima'!$K$41,'07_Calendario'!$G$46)),MAX(0,MIN('06_Secuencia_Optima'!$L$42,'07_Calendario'!$H$46)-MAX('06_Secuencia_Optima'!$K$42,'07_Calendario'!$G$46))))</f>
        <v>0</v>
      </c>
      <c r="AT27" s="111">
        <f>IF('07_Calendario'!$E$47=0,"",SUM(MAX(0,MIN('06_Secuencia_Optima'!$L$26,'07_Calendario'!$H$47)-MAX('06_Secuencia_Optima'!$K$26,'07_Calendario'!$G$47)),MAX(0,MIN('06_Secuencia_Optima'!$L$27,'07_Calendario'!$H$47)-MAX('06_Secuencia_Optima'!$K$27,'07_Calendario'!$G$47)),MAX(0,MIN('06_Secuencia_Optima'!$L$28,'07_Calendario'!$H$47)-MAX('06_Secuencia_Optima'!$K$28,'07_Calendario'!$G$47)),MAX(0,MIN('06_Secuencia_Optima'!$L$29,'07_Calendario'!$H$47)-MAX('06_Secuencia_Optima'!$K$29,'07_Calendario'!$G$47)),MAX(0,MIN('06_Secuencia_Optima'!$L$30,'07_Calendario'!$H$47)-MAX('06_Secuencia_Optima'!$K$30,'07_Calendario'!$G$47)),MAX(0,MIN('06_Secuencia_Optima'!$L$31,'07_Calendario'!$H$47)-MAX('06_Secuencia_Optima'!$K$31,'07_Calendario'!$G$47)),MAX(0,MIN('06_Secuencia_Optima'!$L$32,'07_Calendario'!$H$47)-MAX('06_Secuencia_Optima'!$K$32,'07_Calendario'!$G$47)),MAX(0,MIN('06_Secuencia_Optima'!$L$33,'07_Calendario'!$H$47)-MAX('06_Secuencia_Optima'!$K$33,'07_Calendario'!$G$47)),MAX(0,MIN('06_Secuencia_Optima'!$L$34,'07_Calendario'!$H$47)-MAX('06_Secuencia_Optima'!$K$34,'07_Calendario'!$G$47)),MAX(0,MIN('06_Secuencia_Optima'!$L$35,'07_Calendario'!$H$47)-MAX('06_Secuencia_Optima'!$K$35,'07_Calendario'!$G$47)),MAX(0,MIN('06_Secuencia_Optima'!$L$36,'07_Calendario'!$H$47)-MAX('06_Secuencia_Optima'!$K$36,'07_Calendario'!$G$47)),MAX(0,MIN('06_Secuencia_Optima'!$L$37,'07_Calendario'!$H$47)-MAX('06_Secuencia_Optima'!$K$37,'07_Calendario'!$G$47)),MAX(0,MIN('06_Secuencia_Optima'!$L$38,'07_Calendario'!$H$47)-MAX('06_Secuencia_Optima'!$K$38,'07_Calendario'!$G$47)),MAX(0,MIN('06_Secuencia_Optima'!$L$39,'07_Calendario'!$H$47)-MAX('06_Secuencia_Optima'!$K$39,'07_Calendario'!$G$47)),MAX(0,MIN('06_Secuencia_Optima'!$L$40,'07_Calendario'!$H$47)-MAX('06_Secuencia_Optima'!$K$40,'07_Calendario'!$G$47)),MAX(0,MIN('06_Secuencia_Optima'!$L$41,'07_Calendario'!$H$47)-MAX('06_Secuencia_Optima'!$K$41,'07_Calendario'!$G$47)),MAX(0,MIN('06_Secuencia_Optima'!$L$42,'07_Calendario'!$H$47)-MAX('06_Secuencia_Optima'!$K$42,'07_Calendario'!$G$47))))</f>
        <v>0</v>
      </c>
      <c r="AU27" s="111">
        <f>IF('07_Calendario'!$E$48=0,"",SUM(MAX(0,MIN('06_Secuencia_Optima'!$L$26,'07_Calendario'!$H$48)-MAX('06_Secuencia_Optima'!$K$26,'07_Calendario'!$G$48)),MAX(0,MIN('06_Secuencia_Optima'!$L$27,'07_Calendario'!$H$48)-MAX('06_Secuencia_Optima'!$K$27,'07_Calendario'!$G$48)),MAX(0,MIN('06_Secuencia_Optima'!$L$28,'07_Calendario'!$H$48)-MAX('06_Secuencia_Optima'!$K$28,'07_Calendario'!$G$48)),MAX(0,MIN('06_Secuencia_Optima'!$L$29,'07_Calendario'!$H$48)-MAX('06_Secuencia_Optima'!$K$29,'07_Calendario'!$G$48)),MAX(0,MIN('06_Secuencia_Optima'!$L$30,'07_Calendario'!$H$48)-MAX('06_Secuencia_Optima'!$K$30,'07_Calendario'!$G$48)),MAX(0,MIN('06_Secuencia_Optima'!$L$31,'07_Calendario'!$H$48)-MAX('06_Secuencia_Optima'!$K$31,'07_Calendario'!$G$48)),MAX(0,MIN('06_Secuencia_Optima'!$L$32,'07_Calendario'!$H$48)-MAX('06_Secuencia_Optima'!$K$32,'07_Calendario'!$G$48)),MAX(0,MIN('06_Secuencia_Optima'!$L$33,'07_Calendario'!$H$48)-MAX('06_Secuencia_Optima'!$K$33,'07_Calendario'!$G$48)),MAX(0,MIN('06_Secuencia_Optima'!$L$34,'07_Calendario'!$H$48)-MAX('06_Secuencia_Optima'!$K$34,'07_Calendario'!$G$48)),MAX(0,MIN('06_Secuencia_Optima'!$L$35,'07_Calendario'!$H$48)-MAX('06_Secuencia_Optima'!$K$35,'07_Calendario'!$G$48)),MAX(0,MIN('06_Secuencia_Optima'!$L$36,'07_Calendario'!$H$48)-MAX('06_Secuencia_Optima'!$K$36,'07_Calendario'!$G$48)),MAX(0,MIN('06_Secuencia_Optima'!$L$37,'07_Calendario'!$H$48)-MAX('06_Secuencia_Optima'!$K$37,'07_Calendario'!$G$48)),MAX(0,MIN('06_Secuencia_Optima'!$L$38,'07_Calendario'!$H$48)-MAX('06_Secuencia_Optima'!$K$38,'07_Calendario'!$G$48)),MAX(0,MIN('06_Secuencia_Optima'!$L$39,'07_Calendario'!$H$48)-MAX('06_Secuencia_Optima'!$K$39,'07_Calendario'!$G$48)),MAX(0,MIN('06_Secuencia_Optima'!$L$40,'07_Calendario'!$H$48)-MAX('06_Secuencia_Optima'!$K$40,'07_Calendario'!$G$48)),MAX(0,MIN('06_Secuencia_Optima'!$L$41,'07_Calendario'!$H$48)-MAX('06_Secuencia_Optima'!$K$41,'07_Calendario'!$G$48)),MAX(0,MIN('06_Secuencia_Optima'!$L$42,'07_Calendario'!$H$48)-MAX('06_Secuencia_Optima'!$K$42,'07_Calendario'!$G$48))))</f>
        <v>0</v>
      </c>
      <c r="AV27" s="111">
        <f>IF('07_Calendario'!$E$49=0,"",SUM(MAX(0,MIN('06_Secuencia_Optima'!$L$26,'07_Calendario'!$H$49)-MAX('06_Secuencia_Optima'!$K$26,'07_Calendario'!$G$49)),MAX(0,MIN('06_Secuencia_Optima'!$L$27,'07_Calendario'!$H$49)-MAX('06_Secuencia_Optima'!$K$27,'07_Calendario'!$G$49)),MAX(0,MIN('06_Secuencia_Optima'!$L$28,'07_Calendario'!$H$49)-MAX('06_Secuencia_Optima'!$K$28,'07_Calendario'!$G$49)),MAX(0,MIN('06_Secuencia_Optima'!$L$29,'07_Calendario'!$H$49)-MAX('06_Secuencia_Optima'!$K$29,'07_Calendario'!$G$49)),MAX(0,MIN('06_Secuencia_Optima'!$L$30,'07_Calendario'!$H$49)-MAX('06_Secuencia_Optima'!$K$30,'07_Calendario'!$G$49)),MAX(0,MIN('06_Secuencia_Optima'!$L$31,'07_Calendario'!$H$49)-MAX('06_Secuencia_Optima'!$K$31,'07_Calendario'!$G$49)),MAX(0,MIN('06_Secuencia_Optima'!$L$32,'07_Calendario'!$H$49)-MAX('06_Secuencia_Optima'!$K$32,'07_Calendario'!$G$49)),MAX(0,MIN('06_Secuencia_Optima'!$L$33,'07_Calendario'!$H$49)-MAX('06_Secuencia_Optima'!$K$33,'07_Calendario'!$G$49)),MAX(0,MIN('06_Secuencia_Optima'!$L$34,'07_Calendario'!$H$49)-MAX('06_Secuencia_Optima'!$K$34,'07_Calendario'!$G$49)),MAX(0,MIN('06_Secuencia_Optima'!$L$35,'07_Calendario'!$H$49)-MAX('06_Secuencia_Optima'!$K$35,'07_Calendario'!$G$49)),MAX(0,MIN('06_Secuencia_Optima'!$L$36,'07_Calendario'!$H$49)-MAX('06_Secuencia_Optima'!$K$36,'07_Calendario'!$G$49)),MAX(0,MIN('06_Secuencia_Optima'!$L$37,'07_Calendario'!$H$49)-MAX('06_Secuencia_Optima'!$K$37,'07_Calendario'!$G$49)),MAX(0,MIN('06_Secuencia_Optima'!$L$38,'07_Calendario'!$H$49)-MAX('06_Secuencia_Optima'!$K$38,'07_Calendario'!$G$49)),MAX(0,MIN('06_Secuencia_Optima'!$L$39,'07_Calendario'!$H$49)-MAX('06_Secuencia_Optima'!$K$39,'07_Calendario'!$G$49)),MAX(0,MIN('06_Secuencia_Optima'!$L$40,'07_Calendario'!$H$49)-MAX('06_Secuencia_Optima'!$K$40,'07_Calendario'!$G$49)),MAX(0,MIN('06_Secuencia_Optima'!$L$41,'07_Calendario'!$H$49)-MAX('06_Secuencia_Optima'!$K$41,'07_Calendario'!$G$49)),MAX(0,MIN('06_Secuencia_Optima'!$L$42,'07_Calendario'!$H$49)-MAX('06_Secuencia_Optima'!$K$42,'07_Calendario'!$G$49))))</f>
        <v>0</v>
      </c>
      <c r="AW27" s="111">
        <f>IF('07_Calendario'!$E$50=0,"",SUM(MAX(0,MIN('06_Secuencia_Optima'!$L$26,'07_Calendario'!$H$50)-MAX('06_Secuencia_Optima'!$K$26,'07_Calendario'!$G$50)),MAX(0,MIN('06_Secuencia_Optima'!$L$27,'07_Calendario'!$H$50)-MAX('06_Secuencia_Optima'!$K$27,'07_Calendario'!$G$50)),MAX(0,MIN('06_Secuencia_Optima'!$L$28,'07_Calendario'!$H$50)-MAX('06_Secuencia_Optima'!$K$28,'07_Calendario'!$G$50)),MAX(0,MIN('06_Secuencia_Optima'!$L$29,'07_Calendario'!$H$50)-MAX('06_Secuencia_Optima'!$K$29,'07_Calendario'!$G$50)),MAX(0,MIN('06_Secuencia_Optima'!$L$30,'07_Calendario'!$H$50)-MAX('06_Secuencia_Optima'!$K$30,'07_Calendario'!$G$50)),MAX(0,MIN('06_Secuencia_Optima'!$L$31,'07_Calendario'!$H$50)-MAX('06_Secuencia_Optima'!$K$31,'07_Calendario'!$G$50)),MAX(0,MIN('06_Secuencia_Optima'!$L$32,'07_Calendario'!$H$50)-MAX('06_Secuencia_Optima'!$K$32,'07_Calendario'!$G$50)),MAX(0,MIN('06_Secuencia_Optima'!$L$33,'07_Calendario'!$H$50)-MAX('06_Secuencia_Optima'!$K$33,'07_Calendario'!$G$50)),MAX(0,MIN('06_Secuencia_Optima'!$L$34,'07_Calendario'!$H$50)-MAX('06_Secuencia_Optima'!$K$34,'07_Calendario'!$G$50)),MAX(0,MIN('06_Secuencia_Optima'!$L$35,'07_Calendario'!$H$50)-MAX('06_Secuencia_Optima'!$K$35,'07_Calendario'!$G$50)),MAX(0,MIN('06_Secuencia_Optima'!$L$36,'07_Calendario'!$H$50)-MAX('06_Secuencia_Optima'!$K$36,'07_Calendario'!$G$50)),MAX(0,MIN('06_Secuencia_Optima'!$L$37,'07_Calendario'!$H$50)-MAX('06_Secuencia_Optima'!$K$37,'07_Calendario'!$G$50)),MAX(0,MIN('06_Secuencia_Optima'!$L$38,'07_Calendario'!$H$50)-MAX('06_Secuencia_Optima'!$K$38,'07_Calendario'!$G$50)),MAX(0,MIN('06_Secuencia_Optima'!$L$39,'07_Calendario'!$H$50)-MAX('06_Secuencia_Optima'!$K$39,'07_Calendario'!$G$50)),MAX(0,MIN('06_Secuencia_Optima'!$L$40,'07_Calendario'!$H$50)-MAX('06_Secuencia_Optima'!$K$40,'07_Calendario'!$G$50)),MAX(0,MIN('06_Secuencia_Optima'!$L$41,'07_Calendario'!$H$50)-MAX('06_Secuencia_Optima'!$K$41,'07_Calendario'!$G$50)),MAX(0,MIN('06_Secuencia_Optima'!$L$42,'07_Calendario'!$H$50)-MAX('06_Secuencia_Optima'!$K$42,'07_Calendario'!$G$50))))</f>
        <v>0</v>
      </c>
      <c r="AX27" s="111">
        <f>IF('07_Calendario'!$E$51=0,"",SUM(MAX(0,MIN('06_Secuencia_Optima'!$L$26,'07_Calendario'!$H$51)-MAX('06_Secuencia_Optima'!$K$26,'07_Calendario'!$G$51)),MAX(0,MIN('06_Secuencia_Optima'!$L$27,'07_Calendario'!$H$51)-MAX('06_Secuencia_Optima'!$K$27,'07_Calendario'!$G$51)),MAX(0,MIN('06_Secuencia_Optima'!$L$28,'07_Calendario'!$H$51)-MAX('06_Secuencia_Optima'!$K$28,'07_Calendario'!$G$51)),MAX(0,MIN('06_Secuencia_Optima'!$L$29,'07_Calendario'!$H$51)-MAX('06_Secuencia_Optima'!$K$29,'07_Calendario'!$G$51)),MAX(0,MIN('06_Secuencia_Optima'!$L$30,'07_Calendario'!$H$51)-MAX('06_Secuencia_Optima'!$K$30,'07_Calendario'!$G$51)),MAX(0,MIN('06_Secuencia_Optima'!$L$31,'07_Calendario'!$H$51)-MAX('06_Secuencia_Optima'!$K$31,'07_Calendario'!$G$51)),MAX(0,MIN('06_Secuencia_Optima'!$L$32,'07_Calendario'!$H$51)-MAX('06_Secuencia_Optima'!$K$32,'07_Calendario'!$G$51)),MAX(0,MIN('06_Secuencia_Optima'!$L$33,'07_Calendario'!$H$51)-MAX('06_Secuencia_Optima'!$K$33,'07_Calendario'!$G$51)),MAX(0,MIN('06_Secuencia_Optima'!$L$34,'07_Calendario'!$H$51)-MAX('06_Secuencia_Optima'!$K$34,'07_Calendario'!$G$51)),MAX(0,MIN('06_Secuencia_Optima'!$L$35,'07_Calendario'!$H$51)-MAX('06_Secuencia_Optima'!$K$35,'07_Calendario'!$G$51)),MAX(0,MIN('06_Secuencia_Optima'!$L$36,'07_Calendario'!$H$51)-MAX('06_Secuencia_Optima'!$K$36,'07_Calendario'!$G$51)),MAX(0,MIN('06_Secuencia_Optima'!$L$37,'07_Calendario'!$H$51)-MAX('06_Secuencia_Optima'!$K$37,'07_Calendario'!$G$51)),MAX(0,MIN('06_Secuencia_Optima'!$L$38,'07_Calendario'!$H$51)-MAX('06_Secuencia_Optima'!$K$38,'07_Calendario'!$G$51)),MAX(0,MIN('06_Secuencia_Optima'!$L$39,'07_Calendario'!$H$51)-MAX('06_Secuencia_Optima'!$K$39,'07_Calendario'!$G$51)),MAX(0,MIN('06_Secuencia_Optima'!$L$40,'07_Calendario'!$H$51)-MAX('06_Secuencia_Optima'!$K$40,'07_Calendario'!$G$51)),MAX(0,MIN('06_Secuencia_Optima'!$L$41,'07_Calendario'!$H$51)-MAX('06_Secuencia_Optima'!$K$41,'07_Calendario'!$G$51)),MAX(0,MIN('06_Secuencia_Optima'!$L$42,'07_Calendario'!$H$51)-MAX('06_Secuencia_Optima'!$K$42,'07_Calendario'!$G$51))))</f>
        <v>0</v>
      </c>
      <c r="AY27" s="111">
        <f>IF('07_Calendario'!$E$52=0,"",SUM(MAX(0,MIN('06_Secuencia_Optima'!$L$26,'07_Calendario'!$H$52)-MAX('06_Secuencia_Optima'!$K$26,'07_Calendario'!$G$52)),MAX(0,MIN('06_Secuencia_Optima'!$L$27,'07_Calendario'!$H$52)-MAX('06_Secuencia_Optima'!$K$27,'07_Calendario'!$G$52)),MAX(0,MIN('06_Secuencia_Optima'!$L$28,'07_Calendario'!$H$52)-MAX('06_Secuencia_Optima'!$K$28,'07_Calendario'!$G$52)),MAX(0,MIN('06_Secuencia_Optima'!$L$29,'07_Calendario'!$H$52)-MAX('06_Secuencia_Optima'!$K$29,'07_Calendario'!$G$52)),MAX(0,MIN('06_Secuencia_Optima'!$L$30,'07_Calendario'!$H$52)-MAX('06_Secuencia_Optima'!$K$30,'07_Calendario'!$G$52)),MAX(0,MIN('06_Secuencia_Optima'!$L$31,'07_Calendario'!$H$52)-MAX('06_Secuencia_Optima'!$K$31,'07_Calendario'!$G$52)),MAX(0,MIN('06_Secuencia_Optima'!$L$32,'07_Calendario'!$H$52)-MAX('06_Secuencia_Optima'!$K$32,'07_Calendario'!$G$52)),MAX(0,MIN('06_Secuencia_Optima'!$L$33,'07_Calendario'!$H$52)-MAX('06_Secuencia_Optima'!$K$33,'07_Calendario'!$G$52)),MAX(0,MIN('06_Secuencia_Optima'!$L$34,'07_Calendario'!$H$52)-MAX('06_Secuencia_Optima'!$K$34,'07_Calendario'!$G$52)),MAX(0,MIN('06_Secuencia_Optima'!$L$35,'07_Calendario'!$H$52)-MAX('06_Secuencia_Optima'!$K$35,'07_Calendario'!$G$52)),MAX(0,MIN('06_Secuencia_Optima'!$L$36,'07_Calendario'!$H$52)-MAX('06_Secuencia_Optima'!$K$36,'07_Calendario'!$G$52)),MAX(0,MIN('06_Secuencia_Optima'!$L$37,'07_Calendario'!$H$52)-MAX('06_Secuencia_Optima'!$K$37,'07_Calendario'!$G$52)),MAX(0,MIN('06_Secuencia_Optima'!$L$38,'07_Calendario'!$H$52)-MAX('06_Secuencia_Optima'!$K$38,'07_Calendario'!$G$52)),MAX(0,MIN('06_Secuencia_Optima'!$L$39,'07_Calendario'!$H$52)-MAX('06_Secuencia_Optima'!$K$39,'07_Calendario'!$G$52)),MAX(0,MIN('06_Secuencia_Optima'!$L$40,'07_Calendario'!$H$52)-MAX('06_Secuencia_Optima'!$K$40,'07_Calendario'!$G$52)),MAX(0,MIN('06_Secuencia_Optima'!$L$41,'07_Calendario'!$H$52)-MAX('06_Secuencia_Optima'!$K$41,'07_Calendario'!$G$52)),MAX(0,MIN('06_Secuencia_Optima'!$L$42,'07_Calendario'!$H$52)-MAX('06_Secuencia_Optima'!$K$42,'07_Calendario'!$G$52))))</f>
        <v>0</v>
      </c>
      <c r="AZ27" s="111">
        <f>IF('07_Calendario'!$E$53=0,"",SUM(MAX(0,MIN('06_Secuencia_Optima'!$L$26,'07_Calendario'!$H$53)-MAX('06_Secuencia_Optima'!$K$26,'07_Calendario'!$G$53)),MAX(0,MIN('06_Secuencia_Optima'!$L$27,'07_Calendario'!$H$53)-MAX('06_Secuencia_Optima'!$K$27,'07_Calendario'!$G$53)),MAX(0,MIN('06_Secuencia_Optima'!$L$28,'07_Calendario'!$H$53)-MAX('06_Secuencia_Optima'!$K$28,'07_Calendario'!$G$53)),MAX(0,MIN('06_Secuencia_Optima'!$L$29,'07_Calendario'!$H$53)-MAX('06_Secuencia_Optima'!$K$29,'07_Calendario'!$G$53)),MAX(0,MIN('06_Secuencia_Optima'!$L$30,'07_Calendario'!$H$53)-MAX('06_Secuencia_Optima'!$K$30,'07_Calendario'!$G$53)),MAX(0,MIN('06_Secuencia_Optima'!$L$31,'07_Calendario'!$H$53)-MAX('06_Secuencia_Optima'!$K$31,'07_Calendario'!$G$53)),MAX(0,MIN('06_Secuencia_Optima'!$L$32,'07_Calendario'!$H$53)-MAX('06_Secuencia_Optima'!$K$32,'07_Calendario'!$G$53)),MAX(0,MIN('06_Secuencia_Optima'!$L$33,'07_Calendario'!$H$53)-MAX('06_Secuencia_Optima'!$K$33,'07_Calendario'!$G$53)),MAX(0,MIN('06_Secuencia_Optima'!$L$34,'07_Calendario'!$H$53)-MAX('06_Secuencia_Optima'!$K$34,'07_Calendario'!$G$53)),MAX(0,MIN('06_Secuencia_Optima'!$L$35,'07_Calendario'!$H$53)-MAX('06_Secuencia_Optima'!$K$35,'07_Calendario'!$G$53)),MAX(0,MIN('06_Secuencia_Optima'!$L$36,'07_Calendario'!$H$53)-MAX('06_Secuencia_Optima'!$K$36,'07_Calendario'!$G$53)),MAX(0,MIN('06_Secuencia_Optima'!$L$37,'07_Calendario'!$H$53)-MAX('06_Secuencia_Optima'!$K$37,'07_Calendario'!$G$53)),MAX(0,MIN('06_Secuencia_Optima'!$L$38,'07_Calendario'!$H$53)-MAX('06_Secuencia_Optima'!$K$38,'07_Calendario'!$G$53)),MAX(0,MIN('06_Secuencia_Optima'!$L$39,'07_Calendario'!$H$53)-MAX('06_Secuencia_Optima'!$K$39,'07_Calendario'!$G$53)),MAX(0,MIN('06_Secuencia_Optima'!$L$40,'07_Calendario'!$H$53)-MAX('06_Secuencia_Optima'!$K$40,'07_Calendario'!$G$53)),MAX(0,MIN('06_Secuencia_Optima'!$L$41,'07_Calendario'!$H$53)-MAX('06_Secuencia_Optima'!$K$41,'07_Calendario'!$G$53)),MAX(0,MIN('06_Secuencia_Optima'!$L$42,'07_Calendario'!$H$53)-MAX('06_Secuencia_Optima'!$K$42,'07_Calendario'!$G$53))))</f>
        <v>0</v>
      </c>
      <c r="BA27" s="111">
        <f>IF('07_Calendario'!$E$54=0,"",SUM(MAX(0,MIN('06_Secuencia_Optima'!$L$26,'07_Calendario'!$H$54)-MAX('06_Secuencia_Optima'!$K$26,'07_Calendario'!$G$54)),MAX(0,MIN('06_Secuencia_Optima'!$L$27,'07_Calendario'!$H$54)-MAX('06_Secuencia_Optima'!$K$27,'07_Calendario'!$G$54)),MAX(0,MIN('06_Secuencia_Optima'!$L$28,'07_Calendario'!$H$54)-MAX('06_Secuencia_Optima'!$K$28,'07_Calendario'!$G$54)),MAX(0,MIN('06_Secuencia_Optima'!$L$29,'07_Calendario'!$H$54)-MAX('06_Secuencia_Optima'!$K$29,'07_Calendario'!$G$54)),MAX(0,MIN('06_Secuencia_Optima'!$L$30,'07_Calendario'!$H$54)-MAX('06_Secuencia_Optima'!$K$30,'07_Calendario'!$G$54)),MAX(0,MIN('06_Secuencia_Optima'!$L$31,'07_Calendario'!$H$54)-MAX('06_Secuencia_Optima'!$K$31,'07_Calendario'!$G$54)),MAX(0,MIN('06_Secuencia_Optima'!$L$32,'07_Calendario'!$H$54)-MAX('06_Secuencia_Optima'!$K$32,'07_Calendario'!$G$54)),MAX(0,MIN('06_Secuencia_Optima'!$L$33,'07_Calendario'!$H$54)-MAX('06_Secuencia_Optima'!$K$33,'07_Calendario'!$G$54)),MAX(0,MIN('06_Secuencia_Optima'!$L$34,'07_Calendario'!$H$54)-MAX('06_Secuencia_Optima'!$K$34,'07_Calendario'!$G$54)),MAX(0,MIN('06_Secuencia_Optima'!$L$35,'07_Calendario'!$H$54)-MAX('06_Secuencia_Optima'!$K$35,'07_Calendario'!$G$54)),MAX(0,MIN('06_Secuencia_Optima'!$L$36,'07_Calendario'!$H$54)-MAX('06_Secuencia_Optima'!$K$36,'07_Calendario'!$G$54)),MAX(0,MIN('06_Secuencia_Optima'!$L$37,'07_Calendario'!$H$54)-MAX('06_Secuencia_Optima'!$K$37,'07_Calendario'!$G$54)),MAX(0,MIN('06_Secuencia_Optima'!$L$38,'07_Calendario'!$H$54)-MAX('06_Secuencia_Optima'!$K$38,'07_Calendario'!$G$54)),MAX(0,MIN('06_Secuencia_Optima'!$L$39,'07_Calendario'!$H$54)-MAX('06_Secuencia_Optima'!$K$39,'07_Calendario'!$G$54)),MAX(0,MIN('06_Secuencia_Optima'!$L$40,'07_Calendario'!$H$54)-MAX('06_Secuencia_Optima'!$K$40,'07_Calendario'!$G$54)),MAX(0,MIN('06_Secuencia_Optima'!$L$41,'07_Calendario'!$H$54)-MAX('06_Secuencia_Optima'!$K$41,'07_Calendario'!$G$54)),MAX(0,MIN('06_Secuencia_Optima'!$L$42,'07_Calendario'!$H$54)-MAX('06_Secuencia_Optima'!$K$42,'07_Calendario'!$G$54))))</f>
        <v>0</v>
      </c>
      <c r="BB27" s="111" t="str">
        <f>IF('07_Calendario'!$E$55=0,"",SUM(MAX(0,MIN('06_Secuencia_Optima'!$L$26,'07_Calendario'!$H$55)-MAX('06_Secuencia_Optima'!$K$26,'07_Calendario'!$G$55)),MAX(0,MIN('06_Secuencia_Optima'!$L$27,'07_Calendario'!$H$55)-MAX('06_Secuencia_Optima'!$K$27,'07_Calendario'!$G$55)),MAX(0,MIN('06_Secuencia_Optima'!$L$28,'07_Calendario'!$H$55)-MAX('06_Secuencia_Optima'!$K$28,'07_Calendario'!$G$55)),MAX(0,MIN('06_Secuencia_Optima'!$L$29,'07_Calendario'!$H$55)-MAX('06_Secuencia_Optima'!$K$29,'07_Calendario'!$G$55)),MAX(0,MIN('06_Secuencia_Optima'!$L$30,'07_Calendario'!$H$55)-MAX('06_Secuencia_Optima'!$K$30,'07_Calendario'!$G$55)),MAX(0,MIN('06_Secuencia_Optima'!$L$31,'07_Calendario'!$H$55)-MAX('06_Secuencia_Optima'!$K$31,'07_Calendario'!$G$55)),MAX(0,MIN('06_Secuencia_Optima'!$L$32,'07_Calendario'!$H$55)-MAX('06_Secuencia_Optima'!$K$32,'07_Calendario'!$G$55)),MAX(0,MIN('06_Secuencia_Optima'!$L$33,'07_Calendario'!$H$55)-MAX('06_Secuencia_Optima'!$K$33,'07_Calendario'!$G$55)),MAX(0,MIN('06_Secuencia_Optima'!$L$34,'07_Calendario'!$H$55)-MAX('06_Secuencia_Optima'!$K$34,'07_Calendario'!$G$55)),MAX(0,MIN('06_Secuencia_Optima'!$L$35,'07_Calendario'!$H$55)-MAX('06_Secuencia_Optima'!$K$35,'07_Calendario'!$G$55)),MAX(0,MIN('06_Secuencia_Optima'!$L$36,'07_Calendario'!$H$55)-MAX('06_Secuencia_Optima'!$K$36,'07_Calendario'!$G$55)),MAX(0,MIN('06_Secuencia_Optima'!$L$37,'07_Calendario'!$H$55)-MAX('06_Secuencia_Optima'!$K$37,'07_Calendario'!$G$55)),MAX(0,MIN('06_Secuencia_Optima'!$L$38,'07_Calendario'!$H$55)-MAX('06_Secuencia_Optima'!$K$38,'07_Calendario'!$G$55)),MAX(0,MIN('06_Secuencia_Optima'!$L$39,'07_Calendario'!$H$55)-MAX('06_Secuencia_Optima'!$K$39,'07_Calendario'!$G$55)),MAX(0,MIN('06_Secuencia_Optima'!$L$40,'07_Calendario'!$H$55)-MAX('06_Secuencia_Optima'!$K$40,'07_Calendario'!$G$55)),MAX(0,MIN('06_Secuencia_Optima'!$L$41,'07_Calendario'!$H$55)-MAX('06_Secuencia_Optima'!$K$41,'07_Calendario'!$G$55)),MAX(0,MIN('06_Secuencia_Optima'!$L$42,'07_Calendario'!$H$55)-MAX('06_Secuencia_Optima'!$K$42,'07_Calendario'!$G$55))))</f>
        <v/>
      </c>
      <c r="BC27" s="111">
        <f>IF('07_Calendario'!$E$56=0,"",SUM(MAX(0,MIN('06_Secuencia_Optima'!$L$26,'07_Calendario'!$H$56)-MAX('06_Secuencia_Optima'!$K$26,'07_Calendario'!$G$56)),MAX(0,MIN('06_Secuencia_Optima'!$L$27,'07_Calendario'!$H$56)-MAX('06_Secuencia_Optima'!$K$27,'07_Calendario'!$G$56)),MAX(0,MIN('06_Secuencia_Optima'!$L$28,'07_Calendario'!$H$56)-MAX('06_Secuencia_Optima'!$K$28,'07_Calendario'!$G$56)),MAX(0,MIN('06_Secuencia_Optima'!$L$29,'07_Calendario'!$H$56)-MAX('06_Secuencia_Optima'!$K$29,'07_Calendario'!$G$56)),MAX(0,MIN('06_Secuencia_Optima'!$L$30,'07_Calendario'!$H$56)-MAX('06_Secuencia_Optima'!$K$30,'07_Calendario'!$G$56)),MAX(0,MIN('06_Secuencia_Optima'!$L$31,'07_Calendario'!$H$56)-MAX('06_Secuencia_Optima'!$K$31,'07_Calendario'!$G$56)),MAX(0,MIN('06_Secuencia_Optima'!$L$32,'07_Calendario'!$H$56)-MAX('06_Secuencia_Optima'!$K$32,'07_Calendario'!$G$56)),MAX(0,MIN('06_Secuencia_Optima'!$L$33,'07_Calendario'!$H$56)-MAX('06_Secuencia_Optima'!$K$33,'07_Calendario'!$G$56)),MAX(0,MIN('06_Secuencia_Optima'!$L$34,'07_Calendario'!$H$56)-MAX('06_Secuencia_Optima'!$K$34,'07_Calendario'!$G$56)),MAX(0,MIN('06_Secuencia_Optima'!$L$35,'07_Calendario'!$H$56)-MAX('06_Secuencia_Optima'!$K$35,'07_Calendario'!$G$56)),MAX(0,MIN('06_Secuencia_Optima'!$L$36,'07_Calendario'!$H$56)-MAX('06_Secuencia_Optima'!$K$36,'07_Calendario'!$G$56)),MAX(0,MIN('06_Secuencia_Optima'!$L$37,'07_Calendario'!$H$56)-MAX('06_Secuencia_Optima'!$K$37,'07_Calendario'!$G$56)),MAX(0,MIN('06_Secuencia_Optima'!$L$38,'07_Calendario'!$H$56)-MAX('06_Secuencia_Optima'!$K$38,'07_Calendario'!$G$56)),MAX(0,MIN('06_Secuencia_Optima'!$L$39,'07_Calendario'!$H$56)-MAX('06_Secuencia_Optima'!$K$39,'07_Calendario'!$G$56)),MAX(0,MIN('06_Secuencia_Optima'!$L$40,'07_Calendario'!$H$56)-MAX('06_Secuencia_Optima'!$K$40,'07_Calendario'!$G$56)),MAX(0,MIN('06_Secuencia_Optima'!$L$41,'07_Calendario'!$H$56)-MAX('06_Secuencia_Optima'!$K$41,'07_Calendario'!$G$56)),MAX(0,MIN('06_Secuencia_Optima'!$L$42,'07_Calendario'!$H$56)-MAX('06_Secuencia_Optima'!$K$42,'07_Calendario'!$G$56))))</f>
        <v>0</v>
      </c>
      <c r="BD27" s="111">
        <f>IF('07_Calendario'!$E$57=0,"",SUM(MAX(0,MIN('06_Secuencia_Optima'!$L$26,'07_Calendario'!$H$57)-MAX('06_Secuencia_Optima'!$K$26,'07_Calendario'!$G$57)),MAX(0,MIN('06_Secuencia_Optima'!$L$27,'07_Calendario'!$H$57)-MAX('06_Secuencia_Optima'!$K$27,'07_Calendario'!$G$57)),MAX(0,MIN('06_Secuencia_Optima'!$L$28,'07_Calendario'!$H$57)-MAX('06_Secuencia_Optima'!$K$28,'07_Calendario'!$G$57)),MAX(0,MIN('06_Secuencia_Optima'!$L$29,'07_Calendario'!$H$57)-MAX('06_Secuencia_Optima'!$K$29,'07_Calendario'!$G$57)),MAX(0,MIN('06_Secuencia_Optima'!$L$30,'07_Calendario'!$H$57)-MAX('06_Secuencia_Optima'!$K$30,'07_Calendario'!$G$57)),MAX(0,MIN('06_Secuencia_Optima'!$L$31,'07_Calendario'!$H$57)-MAX('06_Secuencia_Optima'!$K$31,'07_Calendario'!$G$57)),MAX(0,MIN('06_Secuencia_Optima'!$L$32,'07_Calendario'!$H$57)-MAX('06_Secuencia_Optima'!$K$32,'07_Calendario'!$G$57)),MAX(0,MIN('06_Secuencia_Optima'!$L$33,'07_Calendario'!$H$57)-MAX('06_Secuencia_Optima'!$K$33,'07_Calendario'!$G$57)),MAX(0,MIN('06_Secuencia_Optima'!$L$34,'07_Calendario'!$H$57)-MAX('06_Secuencia_Optima'!$K$34,'07_Calendario'!$G$57)),MAX(0,MIN('06_Secuencia_Optima'!$L$35,'07_Calendario'!$H$57)-MAX('06_Secuencia_Optima'!$K$35,'07_Calendario'!$G$57)),MAX(0,MIN('06_Secuencia_Optima'!$L$36,'07_Calendario'!$H$57)-MAX('06_Secuencia_Optima'!$K$36,'07_Calendario'!$G$57)),MAX(0,MIN('06_Secuencia_Optima'!$L$37,'07_Calendario'!$H$57)-MAX('06_Secuencia_Optima'!$K$37,'07_Calendario'!$G$57)),MAX(0,MIN('06_Secuencia_Optima'!$L$38,'07_Calendario'!$H$57)-MAX('06_Secuencia_Optima'!$K$38,'07_Calendario'!$G$57)),MAX(0,MIN('06_Secuencia_Optima'!$L$39,'07_Calendario'!$H$57)-MAX('06_Secuencia_Optima'!$K$39,'07_Calendario'!$G$57)),MAX(0,MIN('06_Secuencia_Optima'!$L$40,'07_Calendario'!$H$57)-MAX('06_Secuencia_Optima'!$K$40,'07_Calendario'!$G$57)),MAX(0,MIN('06_Secuencia_Optima'!$L$41,'07_Calendario'!$H$57)-MAX('06_Secuencia_Optima'!$K$41,'07_Calendario'!$G$57)),MAX(0,MIN('06_Secuencia_Optima'!$L$42,'07_Calendario'!$H$57)-MAX('06_Secuencia_Optima'!$K$42,'07_Calendario'!$G$57))))</f>
        <v>0</v>
      </c>
      <c r="BE27" s="111">
        <f>IF('07_Calendario'!$E$58=0,"",SUM(MAX(0,MIN('06_Secuencia_Optima'!$L$26,'07_Calendario'!$H$58)-MAX('06_Secuencia_Optima'!$K$26,'07_Calendario'!$G$58)),MAX(0,MIN('06_Secuencia_Optima'!$L$27,'07_Calendario'!$H$58)-MAX('06_Secuencia_Optima'!$K$27,'07_Calendario'!$G$58)),MAX(0,MIN('06_Secuencia_Optima'!$L$28,'07_Calendario'!$H$58)-MAX('06_Secuencia_Optima'!$K$28,'07_Calendario'!$G$58)),MAX(0,MIN('06_Secuencia_Optima'!$L$29,'07_Calendario'!$H$58)-MAX('06_Secuencia_Optima'!$K$29,'07_Calendario'!$G$58)),MAX(0,MIN('06_Secuencia_Optima'!$L$30,'07_Calendario'!$H$58)-MAX('06_Secuencia_Optima'!$K$30,'07_Calendario'!$G$58)),MAX(0,MIN('06_Secuencia_Optima'!$L$31,'07_Calendario'!$H$58)-MAX('06_Secuencia_Optima'!$K$31,'07_Calendario'!$G$58)),MAX(0,MIN('06_Secuencia_Optima'!$L$32,'07_Calendario'!$H$58)-MAX('06_Secuencia_Optima'!$K$32,'07_Calendario'!$G$58)),MAX(0,MIN('06_Secuencia_Optima'!$L$33,'07_Calendario'!$H$58)-MAX('06_Secuencia_Optima'!$K$33,'07_Calendario'!$G$58)),MAX(0,MIN('06_Secuencia_Optima'!$L$34,'07_Calendario'!$H$58)-MAX('06_Secuencia_Optima'!$K$34,'07_Calendario'!$G$58)),MAX(0,MIN('06_Secuencia_Optima'!$L$35,'07_Calendario'!$H$58)-MAX('06_Secuencia_Optima'!$K$35,'07_Calendario'!$G$58)),MAX(0,MIN('06_Secuencia_Optima'!$L$36,'07_Calendario'!$H$58)-MAX('06_Secuencia_Optima'!$K$36,'07_Calendario'!$G$58)),MAX(0,MIN('06_Secuencia_Optima'!$L$37,'07_Calendario'!$H$58)-MAX('06_Secuencia_Optima'!$K$37,'07_Calendario'!$G$58)),MAX(0,MIN('06_Secuencia_Optima'!$L$38,'07_Calendario'!$H$58)-MAX('06_Secuencia_Optima'!$K$38,'07_Calendario'!$G$58)),MAX(0,MIN('06_Secuencia_Optima'!$L$39,'07_Calendario'!$H$58)-MAX('06_Secuencia_Optima'!$K$39,'07_Calendario'!$G$58)),MAX(0,MIN('06_Secuencia_Optima'!$L$40,'07_Calendario'!$H$58)-MAX('06_Secuencia_Optima'!$K$40,'07_Calendario'!$G$58)),MAX(0,MIN('06_Secuencia_Optima'!$L$41,'07_Calendario'!$H$58)-MAX('06_Secuencia_Optima'!$K$41,'07_Calendario'!$G$58)),MAX(0,MIN('06_Secuencia_Optima'!$L$42,'07_Calendario'!$H$58)-MAX('06_Secuencia_Optima'!$K$42,'07_Calendario'!$G$58))))</f>
        <v>0</v>
      </c>
      <c r="BF27" s="111">
        <f>IF('07_Calendario'!$E$59=0,"",SUM(MAX(0,MIN('06_Secuencia_Optima'!$L$26,'07_Calendario'!$H$59)-MAX('06_Secuencia_Optima'!$K$26,'07_Calendario'!$G$59)),MAX(0,MIN('06_Secuencia_Optima'!$L$27,'07_Calendario'!$H$59)-MAX('06_Secuencia_Optima'!$K$27,'07_Calendario'!$G$59)),MAX(0,MIN('06_Secuencia_Optima'!$L$28,'07_Calendario'!$H$59)-MAX('06_Secuencia_Optima'!$K$28,'07_Calendario'!$G$59)),MAX(0,MIN('06_Secuencia_Optima'!$L$29,'07_Calendario'!$H$59)-MAX('06_Secuencia_Optima'!$K$29,'07_Calendario'!$G$59)),MAX(0,MIN('06_Secuencia_Optima'!$L$30,'07_Calendario'!$H$59)-MAX('06_Secuencia_Optima'!$K$30,'07_Calendario'!$G$59)),MAX(0,MIN('06_Secuencia_Optima'!$L$31,'07_Calendario'!$H$59)-MAX('06_Secuencia_Optima'!$K$31,'07_Calendario'!$G$59)),MAX(0,MIN('06_Secuencia_Optima'!$L$32,'07_Calendario'!$H$59)-MAX('06_Secuencia_Optima'!$K$32,'07_Calendario'!$G$59)),MAX(0,MIN('06_Secuencia_Optima'!$L$33,'07_Calendario'!$H$59)-MAX('06_Secuencia_Optima'!$K$33,'07_Calendario'!$G$59)),MAX(0,MIN('06_Secuencia_Optima'!$L$34,'07_Calendario'!$H$59)-MAX('06_Secuencia_Optima'!$K$34,'07_Calendario'!$G$59)),MAX(0,MIN('06_Secuencia_Optima'!$L$35,'07_Calendario'!$H$59)-MAX('06_Secuencia_Optima'!$K$35,'07_Calendario'!$G$59)),MAX(0,MIN('06_Secuencia_Optima'!$L$36,'07_Calendario'!$H$59)-MAX('06_Secuencia_Optima'!$K$36,'07_Calendario'!$G$59)),MAX(0,MIN('06_Secuencia_Optima'!$L$37,'07_Calendario'!$H$59)-MAX('06_Secuencia_Optima'!$K$37,'07_Calendario'!$G$59)),MAX(0,MIN('06_Secuencia_Optima'!$L$38,'07_Calendario'!$H$59)-MAX('06_Secuencia_Optima'!$K$38,'07_Calendario'!$G$59)),MAX(0,MIN('06_Secuencia_Optima'!$L$39,'07_Calendario'!$H$59)-MAX('06_Secuencia_Optima'!$K$39,'07_Calendario'!$G$59)),MAX(0,MIN('06_Secuencia_Optima'!$L$40,'07_Calendario'!$H$59)-MAX('06_Secuencia_Optima'!$K$40,'07_Calendario'!$G$59)),MAX(0,MIN('06_Secuencia_Optima'!$L$41,'07_Calendario'!$H$59)-MAX('06_Secuencia_Optima'!$K$41,'07_Calendario'!$G$59)),MAX(0,MIN('06_Secuencia_Optima'!$L$42,'07_Calendario'!$H$59)-MAX('06_Secuencia_Optima'!$K$42,'07_Calendario'!$G$59))))</f>
        <v>0</v>
      </c>
      <c r="BG27" s="111">
        <f>IF('07_Calendario'!$E$60=0,"",SUM(MAX(0,MIN('06_Secuencia_Optima'!$L$26,'07_Calendario'!$H$60)-MAX('06_Secuencia_Optima'!$K$26,'07_Calendario'!$G$60)),MAX(0,MIN('06_Secuencia_Optima'!$L$27,'07_Calendario'!$H$60)-MAX('06_Secuencia_Optima'!$K$27,'07_Calendario'!$G$60)),MAX(0,MIN('06_Secuencia_Optima'!$L$28,'07_Calendario'!$H$60)-MAX('06_Secuencia_Optima'!$K$28,'07_Calendario'!$G$60)),MAX(0,MIN('06_Secuencia_Optima'!$L$29,'07_Calendario'!$H$60)-MAX('06_Secuencia_Optima'!$K$29,'07_Calendario'!$G$60)),MAX(0,MIN('06_Secuencia_Optima'!$L$30,'07_Calendario'!$H$60)-MAX('06_Secuencia_Optima'!$K$30,'07_Calendario'!$G$60)),MAX(0,MIN('06_Secuencia_Optima'!$L$31,'07_Calendario'!$H$60)-MAX('06_Secuencia_Optima'!$K$31,'07_Calendario'!$G$60)),MAX(0,MIN('06_Secuencia_Optima'!$L$32,'07_Calendario'!$H$60)-MAX('06_Secuencia_Optima'!$K$32,'07_Calendario'!$G$60)),MAX(0,MIN('06_Secuencia_Optima'!$L$33,'07_Calendario'!$H$60)-MAX('06_Secuencia_Optima'!$K$33,'07_Calendario'!$G$60)),MAX(0,MIN('06_Secuencia_Optima'!$L$34,'07_Calendario'!$H$60)-MAX('06_Secuencia_Optima'!$K$34,'07_Calendario'!$G$60)),MAX(0,MIN('06_Secuencia_Optima'!$L$35,'07_Calendario'!$H$60)-MAX('06_Secuencia_Optima'!$K$35,'07_Calendario'!$G$60)),MAX(0,MIN('06_Secuencia_Optima'!$L$36,'07_Calendario'!$H$60)-MAX('06_Secuencia_Optima'!$K$36,'07_Calendario'!$G$60)),MAX(0,MIN('06_Secuencia_Optima'!$L$37,'07_Calendario'!$H$60)-MAX('06_Secuencia_Optima'!$K$37,'07_Calendario'!$G$60)),MAX(0,MIN('06_Secuencia_Optima'!$L$38,'07_Calendario'!$H$60)-MAX('06_Secuencia_Optima'!$K$38,'07_Calendario'!$G$60)),MAX(0,MIN('06_Secuencia_Optima'!$L$39,'07_Calendario'!$H$60)-MAX('06_Secuencia_Optima'!$K$39,'07_Calendario'!$G$60)),MAX(0,MIN('06_Secuencia_Optima'!$L$40,'07_Calendario'!$H$60)-MAX('06_Secuencia_Optima'!$K$40,'07_Calendario'!$G$60)),MAX(0,MIN('06_Secuencia_Optima'!$L$41,'07_Calendario'!$H$60)-MAX('06_Secuencia_Optima'!$K$41,'07_Calendario'!$G$60)),MAX(0,MIN('06_Secuencia_Optima'!$L$42,'07_Calendario'!$H$60)-MAX('06_Secuencia_Optima'!$K$42,'07_Calendario'!$G$60))))</f>
        <v>0</v>
      </c>
      <c r="BH27" s="111">
        <f>IF('07_Calendario'!$E$61=0,"",SUM(MAX(0,MIN('06_Secuencia_Optima'!$L$26,'07_Calendario'!$H$61)-MAX('06_Secuencia_Optima'!$K$26,'07_Calendario'!$G$61)),MAX(0,MIN('06_Secuencia_Optima'!$L$27,'07_Calendario'!$H$61)-MAX('06_Secuencia_Optima'!$K$27,'07_Calendario'!$G$61)),MAX(0,MIN('06_Secuencia_Optima'!$L$28,'07_Calendario'!$H$61)-MAX('06_Secuencia_Optima'!$K$28,'07_Calendario'!$G$61)),MAX(0,MIN('06_Secuencia_Optima'!$L$29,'07_Calendario'!$H$61)-MAX('06_Secuencia_Optima'!$K$29,'07_Calendario'!$G$61)),MAX(0,MIN('06_Secuencia_Optima'!$L$30,'07_Calendario'!$H$61)-MAX('06_Secuencia_Optima'!$K$30,'07_Calendario'!$G$61)),MAX(0,MIN('06_Secuencia_Optima'!$L$31,'07_Calendario'!$H$61)-MAX('06_Secuencia_Optima'!$K$31,'07_Calendario'!$G$61)),MAX(0,MIN('06_Secuencia_Optima'!$L$32,'07_Calendario'!$H$61)-MAX('06_Secuencia_Optima'!$K$32,'07_Calendario'!$G$61)),MAX(0,MIN('06_Secuencia_Optima'!$L$33,'07_Calendario'!$H$61)-MAX('06_Secuencia_Optima'!$K$33,'07_Calendario'!$G$61)),MAX(0,MIN('06_Secuencia_Optima'!$L$34,'07_Calendario'!$H$61)-MAX('06_Secuencia_Optima'!$K$34,'07_Calendario'!$G$61)),MAX(0,MIN('06_Secuencia_Optima'!$L$35,'07_Calendario'!$H$61)-MAX('06_Secuencia_Optima'!$K$35,'07_Calendario'!$G$61)),MAX(0,MIN('06_Secuencia_Optima'!$L$36,'07_Calendario'!$H$61)-MAX('06_Secuencia_Optima'!$K$36,'07_Calendario'!$G$61)),MAX(0,MIN('06_Secuencia_Optima'!$L$37,'07_Calendario'!$H$61)-MAX('06_Secuencia_Optima'!$K$37,'07_Calendario'!$G$61)),MAX(0,MIN('06_Secuencia_Optima'!$L$38,'07_Calendario'!$H$61)-MAX('06_Secuencia_Optima'!$K$38,'07_Calendario'!$G$61)),MAX(0,MIN('06_Secuencia_Optima'!$L$39,'07_Calendario'!$H$61)-MAX('06_Secuencia_Optima'!$K$39,'07_Calendario'!$G$61)),MAX(0,MIN('06_Secuencia_Optima'!$L$40,'07_Calendario'!$H$61)-MAX('06_Secuencia_Optima'!$K$40,'07_Calendario'!$G$61)),MAX(0,MIN('06_Secuencia_Optima'!$L$41,'07_Calendario'!$H$61)-MAX('06_Secuencia_Optima'!$K$41,'07_Calendario'!$G$61)),MAX(0,MIN('06_Secuencia_Optima'!$L$42,'07_Calendario'!$H$61)-MAX('06_Secuencia_Optima'!$K$42,'07_Calendario'!$G$61))))</f>
        <v>0</v>
      </c>
      <c r="BI27" s="111">
        <f>IF('07_Calendario'!$E$62=0,"",SUM(MAX(0,MIN('06_Secuencia_Optima'!$L$26,'07_Calendario'!$H$62)-MAX('06_Secuencia_Optima'!$K$26,'07_Calendario'!$G$62)),MAX(0,MIN('06_Secuencia_Optima'!$L$27,'07_Calendario'!$H$62)-MAX('06_Secuencia_Optima'!$K$27,'07_Calendario'!$G$62)),MAX(0,MIN('06_Secuencia_Optima'!$L$28,'07_Calendario'!$H$62)-MAX('06_Secuencia_Optima'!$K$28,'07_Calendario'!$G$62)),MAX(0,MIN('06_Secuencia_Optima'!$L$29,'07_Calendario'!$H$62)-MAX('06_Secuencia_Optima'!$K$29,'07_Calendario'!$G$62)),MAX(0,MIN('06_Secuencia_Optima'!$L$30,'07_Calendario'!$H$62)-MAX('06_Secuencia_Optima'!$K$30,'07_Calendario'!$G$62)),MAX(0,MIN('06_Secuencia_Optima'!$L$31,'07_Calendario'!$H$62)-MAX('06_Secuencia_Optima'!$K$31,'07_Calendario'!$G$62)),MAX(0,MIN('06_Secuencia_Optima'!$L$32,'07_Calendario'!$H$62)-MAX('06_Secuencia_Optima'!$K$32,'07_Calendario'!$G$62)),MAX(0,MIN('06_Secuencia_Optima'!$L$33,'07_Calendario'!$H$62)-MAX('06_Secuencia_Optima'!$K$33,'07_Calendario'!$G$62)),MAX(0,MIN('06_Secuencia_Optima'!$L$34,'07_Calendario'!$H$62)-MAX('06_Secuencia_Optima'!$K$34,'07_Calendario'!$G$62)),MAX(0,MIN('06_Secuencia_Optima'!$L$35,'07_Calendario'!$H$62)-MAX('06_Secuencia_Optima'!$K$35,'07_Calendario'!$G$62)),MAX(0,MIN('06_Secuencia_Optima'!$L$36,'07_Calendario'!$H$62)-MAX('06_Secuencia_Optima'!$K$36,'07_Calendario'!$G$62)),MAX(0,MIN('06_Secuencia_Optima'!$L$37,'07_Calendario'!$H$62)-MAX('06_Secuencia_Optima'!$K$37,'07_Calendario'!$G$62)),MAX(0,MIN('06_Secuencia_Optima'!$L$38,'07_Calendario'!$H$62)-MAX('06_Secuencia_Optima'!$K$38,'07_Calendario'!$G$62)),MAX(0,MIN('06_Secuencia_Optima'!$L$39,'07_Calendario'!$H$62)-MAX('06_Secuencia_Optima'!$K$39,'07_Calendario'!$G$62)),MAX(0,MIN('06_Secuencia_Optima'!$L$40,'07_Calendario'!$H$62)-MAX('06_Secuencia_Optima'!$K$40,'07_Calendario'!$G$62)),MAX(0,MIN('06_Secuencia_Optima'!$L$41,'07_Calendario'!$H$62)-MAX('06_Secuencia_Optima'!$K$41,'07_Calendario'!$G$62)),MAX(0,MIN('06_Secuencia_Optima'!$L$42,'07_Calendario'!$H$62)-MAX('06_Secuencia_Optima'!$K$42,'07_Calendario'!$G$62))))</f>
        <v>0</v>
      </c>
      <c r="BJ27" s="111">
        <f>IF('07_Calendario'!$E$63=0,"",SUM(MAX(0,MIN('06_Secuencia_Optima'!$L$26,'07_Calendario'!$H$63)-MAX('06_Secuencia_Optima'!$K$26,'07_Calendario'!$G$63)),MAX(0,MIN('06_Secuencia_Optima'!$L$27,'07_Calendario'!$H$63)-MAX('06_Secuencia_Optima'!$K$27,'07_Calendario'!$G$63)),MAX(0,MIN('06_Secuencia_Optima'!$L$28,'07_Calendario'!$H$63)-MAX('06_Secuencia_Optima'!$K$28,'07_Calendario'!$G$63)),MAX(0,MIN('06_Secuencia_Optima'!$L$29,'07_Calendario'!$H$63)-MAX('06_Secuencia_Optima'!$K$29,'07_Calendario'!$G$63)),MAX(0,MIN('06_Secuencia_Optima'!$L$30,'07_Calendario'!$H$63)-MAX('06_Secuencia_Optima'!$K$30,'07_Calendario'!$G$63)),MAX(0,MIN('06_Secuencia_Optima'!$L$31,'07_Calendario'!$H$63)-MAX('06_Secuencia_Optima'!$K$31,'07_Calendario'!$G$63)),MAX(0,MIN('06_Secuencia_Optima'!$L$32,'07_Calendario'!$H$63)-MAX('06_Secuencia_Optima'!$K$32,'07_Calendario'!$G$63)),MAX(0,MIN('06_Secuencia_Optima'!$L$33,'07_Calendario'!$H$63)-MAX('06_Secuencia_Optima'!$K$33,'07_Calendario'!$G$63)),MAX(0,MIN('06_Secuencia_Optima'!$L$34,'07_Calendario'!$H$63)-MAX('06_Secuencia_Optima'!$K$34,'07_Calendario'!$G$63)),MAX(0,MIN('06_Secuencia_Optima'!$L$35,'07_Calendario'!$H$63)-MAX('06_Secuencia_Optima'!$K$35,'07_Calendario'!$G$63)),MAX(0,MIN('06_Secuencia_Optima'!$L$36,'07_Calendario'!$H$63)-MAX('06_Secuencia_Optima'!$K$36,'07_Calendario'!$G$63)),MAX(0,MIN('06_Secuencia_Optima'!$L$37,'07_Calendario'!$H$63)-MAX('06_Secuencia_Optima'!$K$37,'07_Calendario'!$G$63)),MAX(0,MIN('06_Secuencia_Optima'!$L$38,'07_Calendario'!$H$63)-MAX('06_Secuencia_Optima'!$K$38,'07_Calendario'!$G$63)),MAX(0,MIN('06_Secuencia_Optima'!$L$39,'07_Calendario'!$H$63)-MAX('06_Secuencia_Optima'!$K$39,'07_Calendario'!$G$63)),MAX(0,MIN('06_Secuencia_Optima'!$L$40,'07_Calendario'!$H$63)-MAX('06_Secuencia_Optima'!$K$40,'07_Calendario'!$G$63)),MAX(0,MIN('06_Secuencia_Optima'!$L$41,'07_Calendario'!$H$63)-MAX('06_Secuencia_Optima'!$K$41,'07_Calendario'!$G$63)),MAX(0,MIN('06_Secuencia_Optima'!$L$42,'07_Calendario'!$H$63)-MAX('06_Secuencia_Optima'!$K$42,'07_Calendario'!$G$63))))</f>
        <v>0</v>
      </c>
      <c r="BK27" s="111">
        <f>IF('07_Calendario'!$E$64=0,"",SUM(MAX(0,MIN('06_Secuencia_Optima'!$L$26,'07_Calendario'!$H$64)-MAX('06_Secuencia_Optima'!$K$26,'07_Calendario'!$G$64)),MAX(0,MIN('06_Secuencia_Optima'!$L$27,'07_Calendario'!$H$64)-MAX('06_Secuencia_Optima'!$K$27,'07_Calendario'!$G$64)),MAX(0,MIN('06_Secuencia_Optima'!$L$28,'07_Calendario'!$H$64)-MAX('06_Secuencia_Optima'!$K$28,'07_Calendario'!$G$64)),MAX(0,MIN('06_Secuencia_Optima'!$L$29,'07_Calendario'!$H$64)-MAX('06_Secuencia_Optima'!$K$29,'07_Calendario'!$G$64)),MAX(0,MIN('06_Secuencia_Optima'!$L$30,'07_Calendario'!$H$64)-MAX('06_Secuencia_Optima'!$K$30,'07_Calendario'!$G$64)),MAX(0,MIN('06_Secuencia_Optima'!$L$31,'07_Calendario'!$H$64)-MAX('06_Secuencia_Optima'!$K$31,'07_Calendario'!$G$64)),MAX(0,MIN('06_Secuencia_Optima'!$L$32,'07_Calendario'!$H$64)-MAX('06_Secuencia_Optima'!$K$32,'07_Calendario'!$G$64)),MAX(0,MIN('06_Secuencia_Optima'!$L$33,'07_Calendario'!$H$64)-MAX('06_Secuencia_Optima'!$K$33,'07_Calendario'!$G$64)),MAX(0,MIN('06_Secuencia_Optima'!$L$34,'07_Calendario'!$H$64)-MAX('06_Secuencia_Optima'!$K$34,'07_Calendario'!$G$64)),MAX(0,MIN('06_Secuencia_Optima'!$L$35,'07_Calendario'!$H$64)-MAX('06_Secuencia_Optima'!$K$35,'07_Calendario'!$G$64)),MAX(0,MIN('06_Secuencia_Optima'!$L$36,'07_Calendario'!$H$64)-MAX('06_Secuencia_Optima'!$K$36,'07_Calendario'!$G$64)),MAX(0,MIN('06_Secuencia_Optima'!$L$37,'07_Calendario'!$H$64)-MAX('06_Secuencia_Optima'!$K$37,'07_Calendario'!$G$64)),MAX(0,MIN('06_Secuencia_Optima'!$L$38,'07_Calendario'!$H$64)-MAX('06_Secuencia_Optima'!$K$38,'07_Calendario'!$G$64)),MAX(0,MIN('06_Secuencia_Optima'!$L$39,'07_Calendario'!$H$64)-MAX('06_Secuencia_Optima'!$K$39,'07_Calendario'!$G$64)),MAX(0,MIN('06_Secuencia_Optima'!$L$40,'07_Calendario'!$H$64)-MAX('06_Secuencia_Optima'!$K$40,'07_Calendario'!$G$64)),MAX(0,MIN('06_Secuencia_Optima'!$L$41,'07_Calendario'!$H$64)-MAX('06_Secuencia_Optima'!$K$41,'07_Calendario'!$G$64)),MAX(0,MIN('06_Secuencia_Optima'!$L$42,'07_Calendario'!$H$64)-MAX('06_Secuencia_Optima'!$K$42,'07_Calendario'!$G$64))))</f>
        <v>0</v>
      </c>
      <c r="BL27" s="111">
        <f>IF('07_Calendario'!$E$65=0,"",SUM(MAX(0,MIN('06_Secuencia_Optima'!$L$26,'07_Calendario'!$H$65)-MAX('06_Secuencia_Optima'!$K$26,'07_Calendario'!$G$65)),MAX(0,MIN('06_Secuencia_Optima'!$L$27,'07_Calendario'!$H$65)-MAX('06_Secuencia_Optima'!$K$27,'07_Calendario'!$G$65)),MAX(0,MIN('06_Secuencia_Optima'!$L$28,'07_Calendario'!$H$65)-MAX('06_Secuencia_Optima'!$K$28,'07_Calendario'!$G$65)),MAX(0,MIN('06_Secuencia_Optima'!$L$29,'07_Calendario'!$H$65)-MAX('06_Secuencia_Optima'!$K$29,'07_Calendario'!$G$65)),MAX(0,MIN('06_Secuencia_Optima'!$L$30,'07_Calendario'!$H$65)-MAX('06_Secuencia_Optima'!$K$30,'07_Calendario'!$G$65)),MAX(0,MIN('06_Secuencia_Optima'!$L$31,'07_Calendario'!$H$65)-MAX('06_Secuencia_Optima'!$K$31,'07_Calendario'!$G$65)),MAX(0,MIN('06_Secuencia_Optima'!$L$32,'07_Calendario'!$H$65)-MAX('06_Secuencia_Optima'!$K$32,'07_Calendario'!$G$65)),MAX(0,MIN('06_Secuencia_Optima'!$L$33,'07_Calendario'!$H$65)-MAX('06_Secuencia_Optima'!$K$33,'07_Calendario'!$G$65)),MAX(0,MIN('06_Secuencia_Optima'!$L$34,'07_Calendario'!$H$65)-MAX('06_Secuencia_Optima'!$K$34,'07_Calendario'!$G$65)),MAX(0,MIN('06_Secuencia_Optima'!$L$35,'07_Calendario'!$H$65)-MAX('06_Secuencia_Optima'!$K$35,'07_Calendario'!$G$65)),MAX(0,MIN('06_Secuencia_Optima'!$L$36,'07_Calendario'!$H$65)-MAX('06_Secuencia_Optima'!$K$36,'07_Calendario'!$G$65)),MAX(0,MIN('06_Secuencia_Optima'!$L$37,'07_Calendario'!$H$65)-MAX('06_Secuencia_Optima'!$K$37,'07_Calendario'!$G$65)),MAX(0,MIN('06_Secuencia_Optima'!$L$38,'07_Calendario'!$H$65)-MAX('06_Secuencia_Optima'!$K$38,'07_Calendario'!$G$65)),MAX(0,MIN('06_Secuencia_Optima'!$L$39,'07_Calendario'!$H$65)-MAX('06_Secuencia_Optima'!$K$39,'07_Calendario'!$G$65)),MAX(0,MIN('06_Secuencia_Optima'!$L$40,'07_Calendario'!$H$65)-MAX('06_Secuencia_Optima'!$K$40,'07_Calendario'!$G$65)),MAX(0,MIN('06_Secuencia_Optima'!$L$41,'07_Calendario'!$H$65)-MAX('06_Secuencia_Optima'!$K$41,'07_Calendario'!$G$65)),MAX(0,MIN('06_Secuencia_Optima'!$L$42,'07_Calendario'!$H$65)-MAX('06_Secuencia_Optima'!$K$42,'07_Calendario'!$G$65))))</f>
        <v>0</v>
      </c>
      <c r="BM27" s="111">
        <f>IF('07_Calendario'!$E$66=0,"",SUM(MAX(0,MIN('06_Secuencia_Optima'!$L$26,'07_Calendario'!$H$66)-MAX('06_Secuencia_Optima'!$K$26,'07_Calendario'!$G$66)),MAX(0,MIN('06_Secuencia_Optima'!$L$27,'07_Calendario'!$H$66)-MAX('06_Secuencia_Optima'!$K$27,'07_Calendario'!$G$66)),MAX(0,MIN('06_Secuencia_Optima'!$L$28,'07_Calendario'!$H$66)-MAX('06_Secuencia_Optima'!$K$28,'07_Calendario'!$G$66)),MAX(0,MIN('06_Secuencia_Optima'!$L$29,'07_Calendario'!$H$66)-MAX('06_Secuencia_Optima'!$K$29,'07_Calendario'!$G$66)),MAX(0,MIN('06_Secuencia_Optima'!$L$30,'07_Calendario'!$H$66)-MAX('06_Secuencia_Optima'!$K$30,'07_Calendario'!$G$66)),MAX(0,MIN('06_Secuencia_Optima'!$L$31,'07_Calendario'!$H$66)-MAX('06_Secuencia_Optima'!$K$31,'07_Calendario'!$G$66)),MAX(0,MIN('06_Secuencia_Optima'!$L$32,'07_Calendario'!$H$66)-MAX('06_Secuencia_Optima'!$K$32,'07_Calendario'!$G$66)),MAX(0,MIN('06_Secuencia_Optima'!$L$33,'07_Calendario'!$H$66)-MAX('06_Secuencia_Optima'!$K$33,'07_Calendario'!$G$66)),MAX(0,MIN('06_Secuencia_Optima'!$L$34,'07_Calendario'!$H$66)-MAX('06_Secuencia_Optima'!$K$34,'07_Calendario'!$G$66)),MAX(0,MIN('06_Secuencia_Optima'!$L$35,'07_Calendario'!$H$66)-MAX('06_Secuencia_Optima'!$K$35,'07_Calendario'!$G$66)),MAX(0,MIN('06_Secuencia_Optima'!$L$36,'07_Calendario'!$H$66)-MAX('06_Secuencia_Optima'!$K$36,'07_Calendario'!$G$66)),MAX(0,MIN('06_Secuencia_Optima'!$L$37,'07_Calendario'!$H$66)-MAX('06_Secuencia_Optima'!$K$37,'07_Calendario'!$G$66)),MAX(0,MIN('06_Secuencia_Optima'!$L$38,'07_Calendario'!$H$66)-MAX('06_Secuencia_Optima'!$K$38,'07_Calendario'!$G$66)),MAX(0,MIN('06_Secuencia_Optima'!$L$39,'07_Calendario'!$H$66)-MAX('06_Secuencia_Optima'!$K$39,'07_Calendario'!$G$66)),MAX(0,MIN('06_Secuencia_Optima'!$L$40,'07_Calendario'!$H$66)-MAX('06_Secuencia_Optima'!$K$40,'07_Calendario'!$G$66)),MAX(0,MIN('06_Secuencia_Optima'!$L$41,'07_Calendario'!$H$66)-MAX('06_Secuencia_Optima'!$K$41,'07_Calendario'!$G$66)),MAX(0,MIN('06_Secuencia_Optima'!$L$42,'07_Calendario'!$H$66)-MAX('06_Secuencia_Optima'!$K$42,'07_Calendario'!$G$66))))</f>
        <v>0</v>
      </c>
      <c r="BN27" s="111">
        <f>IF('07_Calendario'!$E$67=0,"",SUM(MAX(0,MIN('06_Secuencia_Optima'!$L$26,'07_Calendario'!$H$67)-MAX('06_Secuencia_Optima'!$K$26,'07_Calendario'!$G$67)),MAX(0,MIN('06_Secuencia_Optima'!$L$27,'07_Calendario'!$H$67)-MAX('06_Secuencia_Optima'!$K$27,'07_Calendario'!$G$67)),MAX(0,MIN('06_Secuencia_Optima'!$L$28,'07_Calendario'!$H$67)-MAX('06_Secuencia_Optima'!$K$28,'07_Calendario'!$G$67)),MAX(0,MIN('06_Secuencia_Optima'!$L$29,'07_Calendario'!$H$67)-MAX('06_Secuencia_Optima'!$K$29,'07_Calendario'!$G$67)),MAX(0,MIN('06_Secuencia_Optima'!$L$30,'07_Calendario'!$H$67)-MAX('06_Secuencia_Optima'!$K$30,'07_Calendario'!$G$67)),MAX(0,MIN('06_Secuencia_Optima'!$L$31,'07_Calendario'!$H$67)-MAX('06_Secuencia_Optima'!$K$31,'07_Calendario'!$G$67)),MAX(0,MIN('06_Secuencia_Optima'!$L$32,'07_Calendario'!$H$67)-MAX('06_Secuencia_Optima'!$K$32,'07_Calendario'!$G$67)),MAX(0,MIN('06_Secuencia_Optima'!$L$33,'07_Calendario'!$H$67)-MAX('06_Secuencia_Optima'!$K$33,'07_Calendario'!$G$67)),MAX(0,MIN('06_Secuencia_Optima'!$L$34,'07_Calendario'!$H$67)-MAX('06_Secuencia_Optima'!$K$34,'07_Calendario'!$G$67)),MAX(0,MIN('06_Secuencia_Optima'!$L$35,'07_Calendario'!$H$67)-MAX('06_Secuencia_Optima'!$K$35,'07_Calendario'!$G$67)),MAX(0,MIN('06_Secuencia_Optima'!$L$36,'07_Calendario'!$H$67)-MAX('06_Secuencia_Optima'!$K$36,'07_Calendario'!$G$67)),MAX(0,MIN('06_Secuencia_Optima'!$L$37,'07_Calendario'!$H$67)-MAX('06_Secuencia_Optima'!$K$37,'07_Calendario'!$G$67)),MAX(0,MIN('06_Secuencia_Optima'!$L$38,'07_Calendario'!$H$67)-MAX('06_Secuencia_Optima'!$K$38,'07_Calendario'!$G$67)),MAX(0,MIN('06_Secuencia_Optima'!$L$39,'07_Calendario'!$H$67)-MAX('06_Secuencia_Optima'!$K$39,'07_Calendario'!$G$67)),MAX(0,MIN('06_Secuencia_Optima'!$L$40,'07_Calendario'!$H$67)-MAX('06_Secuencia_Optima'!$K$40,'07_Calendario'!$G$67)),MAX(0,MIN('06_Secuencia_Optima'!$L$41,'07_Calendario'!$H$67)-MAX('06_Secuencia_Optima'!$K$41,'07_Calendario'!$G$67)),MAX(0,MIN('06_Secuencia_Optima'!$L$42,'07_Calendario'!$H$67)-MAX('06_Secuencia_Optima'!$K$42,'07_Calendario'!$G$67))))</f>
        <v>0</v>
      </c>
      <c r="BO27" s="111">
        <f>IF('07_Calendario'!$E$68=0,"",SUM(MAX(0,MIN('06_Secuencia_Optima'!$L$26,'07_Calendario'!$H$68)-MAX('06_Secuencia_Optima'!$K$26,'07_Calendario'!$G$68)),MAX(0,MIN('06_Secuencia_Optima'!$L$27,'07_Calendario'!$H$68)-MAX('06_Secuencia_Optima'!$K$27,'07_Calendario'!$G$68)),MAX(0,MIN('06_Secuencia_Optima'!$L$28,'07_Calendario'!$H$68)-MAX('06_Secuencia_Optima'!$K$28,'07_Calendario'!$G$68)),MAX(0,MIN('06_Secuencia_Optima'!$L$29,'07_Calendario'!$H$68)-MAX('06_Secuencia_Optima'!$K$29,'07_Calendario'!$G$68)),MAX(0,MIN('06_Secuencia_Optima'!$L$30,'07_Calendario'!$H$68)-MAX('06_Secuencia_Optima'!$K$30,'07_Calendario'!$G$68)),MAX(0,MIN('06_Secuencia_Optima'!$L$31,'07_Calendario'!$H$68)-MAX('06_Secuencia_Optima'!$K$31,'07_Calendario'!$G$68)),MAX(0,MIN('06_Secuencia_Optima'!$L$32,'07_Calendario'!$H$68)-MAX('06_Secuencia_Optima'!$K$32,'07_Calendario'!$G$68)),MAX(0,MIN('06_Secuencia_Optima'!$L$33,'07_Calendario'!$H$68)-MAX('06_Secuencia_Optima'!$K$33,'07_Calendario'!$G$68)),MAX(0,MIN('06_Secuencia_Optima'!$L$34,'07_Calendario'!$H$68)-MAX('06_Secuencia_Optima'!$K$34,'07_Calendario'!$G$68)),MAX(0,MIN('06_Secuencia_Optima'!$L$35,'07_Calendario'!$H$68)-MAX('06_Secuencia_Optima'!$K$35,'07_Calendario'!$G$68)),MAX(0,MIN('06_Secuencia_Optima'!$L$36,'07_Calendario'!$H$68)-MAX('06_Secuencia_Optima'!$K$36,'07_Calendario'!$G$68)),MAX(0,MIN('06_Secuencia_Optima'!$L$37,'07_Calendario'!$H$68)-MAX('06_Secuencia_Optima'!$K$37,'07_Calendario'!$G$68)),MAX(0,MIN('06_Secuencia_Optima'!$L$38,'07_Calendario'!$H$68)-MAX('06_Secuencia_Optima'!$K$38,'07_Calendario'!$G$68)),MAX(0,MIN('06_Secuencia_Optima'!$L$39,'07_Calendario'!$H$68)-MAX('06_Secuencia_Optima'!$K$39,'07_Calendario'!$G$68)),MAX(0,MIN('06_Secuencia_Optima'!$L$40,'07_Calendario'!$H$68)-MAX('06_Secuencia_Optima'!$K$40,'07_Calendario'!$G$68)),MAX(0,MIN('06_Secuencia_Optima'!$L$41,'07_Calendario'!$H$68)-MAX('06_Secuencia_Optima'!$K$41,'07_Calendario'!$G$68)),MAX(0,MIN('06_Secuencia_Optima'!$L$42,'07_Calendario'!$H$68)-MAX('06_Secuencia_Optima'!$K$42,'07_Calendario'!$G$68))))</f>
        <v>0</v>
      </c>
      <c r="BP27" s="111">
        <f>IF('07_Calendario'!$E$69=0,"",SUM(MAX(0,MIN('06_Secuencia_Optima'!$L$26,'07_Calendario'!$H$69)-MAX('06_Secuencia_Optima'!$K$26,'07_Calendario'!$G$69)),MAX(0,MIN('06_Secuencia_Optima'!$L$27,'07_Calendario'!$H$69)-MAX('06_Secuencia_Optima'!$K$27,'07_Calendario'!$G$69)),MAX(0,MIN('06_Secuencia_Optima'!$L$28,'07_Calendario'!$H$69)-MAX('06_Secuencia_Optima'!$K$28,'07_Calendario'!$G$69)),MAX(0,MIN('06_Secuencia_Optima'!$L$29,'07_Calendario'!$H$69)-MAX('06_Secuencia_Optima'!$K$29,'07_Calendario'!$G$69)),MAX(0,MIN('06_Secuencia_Optima'!$L$30,'07_Calendario'!$H$69)-MAX('06_Secuencia_Optima'!$K$30,'07_Calendario'!$G$69)),MAX(0,MIN('06_Secuencia_Optima'!$L$31,'07_Calendario'!$H$69)-MAX('06_Secuencia_Optima'!$K$31,'07_Calendario'!$G$69)),MAX(0,MIN('06_Secuencia_Optima'!$L$32,'07_Calendario'!$H$69)-MAX('06_Secuencia_Optima'!$K$32,'07_Calendario'!$G$69)),MAX(0,MIN('06_Secuencia_Optima'!$L$33,'07_Calendario'!$H$69)-MAX('06_Secuencia_Optima'!$K$33,'07_Calendario'!$G$69)),MAX(0,MIN('06_Secuencia_Optima'!$L$34,'07_Calendario'!$H$69)-MAX('06_Secuencia_Optima'!$K$34,'07_Calendario'!$G$69)),MAX(0,MIN('06_Secuencia_Optima'!$L$35,'07_Calendario'!$H$69)-MAX('06_Secuencia_Optima'!$K$35,'07_Calendario'!$G$69)),MAX(0,MIN('06_Secuencia_Optima'!$L$36,'07_Calendario'!$H$69)-MAX('06_Secuencia_Optima'!$K$36,'07_Calendario'!$G$69)),MAX(0,MIN('06_Secuencia_Optima'!$L$37,'07_Calendario'!$H$69)-MAX('06_Secuencia_Optima'!$K$37,'07_Calendario'!$G$69)),MAX(0,MIN('06_Secuencia_Optima'!$L$38,'07_Calendario'!$H$69)-MAX('06_Secuencia_Optima'!$K$38,'07_Calendario'!$G$69)),MAX(0,MIN('06_Secuencia_Optima'!$L$39,'07_Calendario'!$H$69)-MAX('06_Secuencia_Optima'!$K$39,'07_Calendario'!$G$69)),MAX(0,MIN('06_Secuencia_Optima'!$L$40,'07_Calendario'!$H$69)-MAX('06_Secuencia_Optima'!$K$40,'07_Calendario'!$G$69)),MAX(0,MIN('06_Secuencia_Optima'!$L$41,'07_Calendario'!$H$69)-MAX('06_Secuencia_Optima'!$K$41,'07_Calendario'!$G$69)),MAX(0,MIN('06_Secuencia_Optima'!$L$42,'07_Calendario'!$H$69)-MAX('06_Secuencia_Optima'!$K$42,'07_Calendario'!$G$69))))</f>
        <v>0</v>
      </c>
      <c r="BQ27" s="111">
        <f>IF('07_Calendario'!$E$70=0,"",SUM(MAX(0,MIN('06_Secuencia_Optima'!$L$26,'07_Calendario'!$H$70)-MAX('06_Secuencia_Optima'!$K$26,'07_Calendario'!$G$70)),MAX(0,MIN('06_Secuencia_Optima'!$L$27,'07_Calendario'!$H$70)-MAX('06_Secuencia_Optima'!$K$27,'07_Calendario'!$G$70)),MAX(0,MIN('06_Secuencia_Optima'!$L$28,'07_Calendario'!$H$70)-MAX('06_Secuencia_Optima'!$K$28,'07_Calendario'!$G$70)),MAX(0,MIN('06_Secuencia_Optima'!$L$29,'07_Calendario'!$H$70)-MAX('06_Secuencia_Optima'!$K$29,'07_Calendario'!$G$70)),MAX(0,MIN('06_Secuencia_Optima'!$L$30,'07_Calendario'!$H$70)-MAX('06_Secuencia_Optima'!$K$30,'07_Calendario'!$G$70)),MAX(0,MIN('06_Secuencia_Optima'!$L$31,'07_Calendario'!$H$70)-MAX('06_Secuencia_Optima'!$K$31,'07_Calendario'!$G$70)),MAX(0,MIN('06_Secuencia_Optima'!$L$32,'07_Calendario'!$H$70)-MAX('06_Secuencia_Optima'!$K$32,'07_Calendario'!$G$70)),MAX(0,MIN('06_Secuencia_Optima'!$L$33,'07_Calendario'!$H$70)-MAX('06_Secuencia_Optima'!$K$33,'07_Calendario'!$G$70)),MAX(0,MIN('06_Secuencia_Optima'!$L$34,'07_Calendario'!$H$70)-MAX('06_Secuencia_Optima'!$K$34,'07_Calendario'!$G$70)),MAX(0,MIN('06_Secuencia_Optima'!$L$35,'07_Calendario'!$H$70)-MAX('06_Secuencia_Optima'!$K$35,'07_Calendario'!$G$70)),MAX(0,MIN('06_Secuencia_Optima'!$L$36,'07_Calendario'!$H$70)-MAX('06_Secuencia_Optima'!$K$36,'07_Calendario'!$G$70)),MAX(0,MIN('06_Secuencia_Optima'!$L$37,'07_Calendario'!$H$70)-MAX('06_Secuencia_Optima'!$K$37,'07_Calendario'!$G$70)),MAX(0,MIN('06_Secuencia_Optima'!$L$38,'07_Calendario'!$H$70)-MAX('06_Secuencia_Optima'!$K$38,'07_Calendario'!$G$70)),MAX(0,MIN('06_Secuencia_Optima'!$L$39,'07_Calendario'!$H$70)-MAX('06_Secuencia_Optima'!$K$39,'07_Calendario'!$G$70)),MAX(0,MIN('06_Secuencia_Optima'!$L$40,'07_Calendario'!$H$70)-MAX('06_Secuencia_Optima'!$K$40,'07_Calendario'!$G$70)),MAX(0,MIN('06_Secuencia_Optima'!$L$41,'07_Calendario'!$H$70)-MAX('06_Secuencia_Optima'!$K$41,'07_Calendario'!$G$70)),MAX(0,MIN('06_Secuencia_Optima'!$L$42,'07_Calendario'!$H$70)-MAX('06_Secuencia_Optima'!$K$42,'07_Calendario'!$G$70))))</f>
        <v>0</v>
      </c>
      <c r="BR27" s="111">
        <f>IF('07_Calendario'!$E$71=0,"",SUM(MAX(0,MIN('06_Secuencia_Optima'!$L$26,'07_Calendario'!$H$71)-MAX('06_Secuencia_Optima'!$K$26,'07_Calendario'!$G$71)),MAX(0,MIN('06_Secuencia_Optima'!$L$27,'07_Calendario'!$H$71)-MAX('06_Secuencia_Optima'!$K$27,'07_Calendario'!$G$71)),MAX(0,MIN('06_Secuencia_Optima'!$L$28,'07_Calendario'!$H$71)-MAX('06_Secuencia_Optima'!$K$28,'07_Calendario'!$G$71)),MAX(0,MIN('06_Secuencia_Optima'!$L$29,'07_Calendario'!$H$71)-MAX('06_Secuencia_Optima'!$K$29,'07_Calendario'!$G$71)),MAX(0,MIN('06_Secuencia_Optima'!$L$30,'07_Calendario'!$H$71)-MAX('06_Secuencia_Optima'!$K$30,'07_Calendario'!$G$71)),MAX(0,MIN('06_Secuencia_Optima'!$L$31,'07_Calendario'!$H$71)-MAX('06_Secuencia_Optima'!$K$31,'07_Calendario'!$G$71)),MAX(0,MIN('06_Secuencia_Optima'!$L$32,'07_Calendario'!$H$71)-MAX('06_Secuencia_Optima'!$K$32,'07_Calendario'!$G$71)),MAX(0,MIN('06_Secuencia_Optima'!$L$33,'07_Calendario'!$H$71)-MAX('06_Secuencia_Optima'!$K$33,'07_Calendario'!$G$71)),MAX(0,MIN('06_Secuencia_Optima'!$L$34,'07_Calendario'!$H$71)-MAX('06_Secuencia_Optima'!$K$34,'07_Calendario'!$G$71)),MAX(0,MIN('06_Secuencia_Optima'!$L$35,'07_Calendario'!$H$71)-MAX('06_Secuencia_Optima'!$K$35,'07_Calendario'!$G$71)),MAX(0,MIN('06_Secuencia_Optima'!$L$36,'07_Calendario'!$H$71)-MAX('06_Secuencia_Optima'!$K$36,'07_Calendario'!$G$71)),MAX(0,MIN('06_Secuencia_Optima'!$L$37,'07_Calendario'!$H$71)-MAX('06_Secuencia_Optima'!$K$37,'07_Calendario'!$G$71)),MAX(0,MIN('06_Secuencia_Optima'!$L$38,'07_Calendario'!$H$71)-MAX('06_Secuencia_Optima'!$K$38,'07_Calendario'!$G$71)),MAX(0,MIN('06_Secuencia_Optima'!$L$39,'07_Calendario'!$H$71)-MAX('06_Secuencia_Optima'!$K$39,'07_Calendario'!$G$71)),MAX(0,MIN('06_Secuencia_Optima'!$L$40,'07_Calendario'!$H$71)-MAX('06_Secuencia_Optima'!$K$40,'07_Calendario'!$G$71)),MAX(0,MIN('06_Secuencia_Optima'!$L$41,'07_Calendario'!$H$71)-MAX('06_Secuencia_Optima'!$K$41,'07_Calendario'!$G$71)),MAX(0,MIN('06_Secuencia_Optima'!$L$42,'07_Calendario'!$H$71)-MAX('06_Secuencia_Optima'!$K$42,'07_Calendario'!$G$71))))</f>
        <v>0</v>
      </c>
      <c r="BS27" s="111">
        <f>IF('07_Calendario'!$E$72=0,"",SUM(MAX(0,MIN('06_Secuencia_Optima'!$L$26,'07_Calendario'!$H$72)-MAX('06_Secuencia_Optima'!$K$26,'07_Calendario'!$G$72)),MAX(0,MIN('06_Secuencia_Optima'!$L$27,'07_Calendario'!$H$72)-MAX('06_Secuencia_Optima'!$K$27,'07_Calendario'!$G$72)),MAX(0,MIN('06_Secuencia_Optima'!$L$28,'07_Calendario'!$H$72)-MAX('06_Secuencia_Optima'!$K$28,'07_Calendario'!$G$72)),MAX(0,MIN('06_Secuencia_Optima'!$L$29,'07_Calendario'!$H$72)-MAX('06_Secuencia_Optima'!$K$29,'07_Calendario'!$G$72)),MAX(0,MIN('06_Secuencia_Optima'!$L$30,'07_Calendario'!$H$72)-MAX('06_Secuencia_Optima'!$K$30,'07_Calendario'!$G$72)),MAX(0,MIN('06_Secuencia_Optima'!$L$31,'07_Calendario'!$H$72)-MAX('06_Secuencia_Optima'!$K$31,'07_Calendario'!$G$72)),MAX(0,MIN('06_Secuencia_Optima'!$L$32,'07_Calendario'!$H$72)-MAX('06_Secuencia_Optima'!$K$32,'07_Calendario'!$G$72)),MAX(0,MIN('06_Secuencia_Optima'!$L$33,'07_Calendario'!$H$72)-MAX('06_Secuencia_Optima'!$K$33,'07_Calendario'!$G$72)),MAX(0,MIN('06_Secuencia_Optima'!$L$34,'07_Calendario'!$H$72)-MAX('06_Secuencia_Optima'!$K$34,'07_Calendario'!$G$72)),MAX(0,MIN('06_Secuencia_Optima'!$L$35,'07_Calendario'!$H$72)-MAX('06_Secuencia_Optima'!$K$35,'07_Calendario'!$G$72)),MAX(0,MIN('06_Secuencia_Optima'!$L$36,'07_Calendario'!$H$72)-MAX('06_Secuencia_Optima'!$K$36,'07_Calendario'!$G$72)),MAX(0,MIN('06_Secuencia_Optima'!$L$37,'07_Calendario'!$H$72)-MAX('06_Secuencia_Optima'!$K$37,'07_Calendario'!$G$72)),MAX(0,MIN('06_Secuencia_Optima'!$L$38,'07_Calendario'!$H$72)-MAX('06_Secuencia_Optima'!$K$38,'07_Calendario'!$G$72)),MAX(0,MIN('06_Secuencia_Optima'!$L$39,'07_Calendario'!$H$72)-MAX('06_Secuencia_Optima'!$K$39,'07_Calendario'!$G$72)),MAX(0,MIN('06_Secuencia_Optima'!$L$40,'07_Calendario'!$H$72)-MAX('06_Secuencia_Optima'!$K$40,'07_Calendario'!$G$72)),MAX(0,MIN('06_Secuencia_Optima'!$L$41,'07_Calendario'!$H$72)-MAX('06_Secuencia_Optima'!$K$41,'07_Calendario'!$G$72)),MAX(0,MIN('06_Secuencia_Optima'!$L$42,'07_Calendario'!$H$72)-MAX('06_Secuencia_Optima'!$K$42,'07_Calendario'!$G$72))))</f>
        <v>0</v>
      </c>
      <c r="BT27" s="111" t="str">
        <f>IF('07_Calendario'!$E$73=0,"",SUM(MAX(0,MIN('06_Secuencia_Optima'!$L$26,'07_Calendario'!$H$73)-MAX('06_Secuencia_Optima'!$K$26,'07_Calendario'!$G$73)),MAX(0,MIN('06_Secuencia_Optima'!$L$27,'07_Calendario'!$H$73)-MAX('06_Secuencia_Optima'!$K$27,'07_Calendario'!$G$73)),MAX(0,MIN('06_Secuencia_Optima'!$L$28,'07_Calendario'!$H$73)-MAX('06_Secuencia_Optima'!$K$28,'07_Calendario'!$G$73)),MAX(0,MIN('06_Secuencia_Optima'!$L$29,'07_Calendario'!$H$73)-MAX('06_Secuencia_Optima'!$K$29,'07_Calendario'!$G$73)),MAX(0,MIN('06_Secuencia_Optima'!$L$30,'07_Calendario'!$H$73)-MAX('06_Secuencia_Optima'!$K$30,'07_Calendario'!$G$73)),MAX(0,MIN('06_Secuencia_Optima'!$L$31,'07_Calendario'!$H$73)-MAX('06_Secuencia_Optima'!$K$31,'07_Calendario'!$G$73)),MAX(0,MIN('06_Secuencia_Optima'!$L$32,'07_Calendario'!$H$73)-MAX('06_Secuencia_Optima'!$K$32,'07_Calendario'!$G$73)),MAX(0,MIN('06_Secuencia_Optima'!$L$33,'07_Calendario'!$H$73)-MAX('06_Secuencia_Optima'!$K$33,'07_Calendario'!$G$73)),MAX(0,MIN('06_Secuencia_Optima'!$L$34,'07_Calendario'!$H$73)-MAX('06_Secuencia_Optima'!$K$34,'07_Calendario'!$G$73)),MAX(0,MIN('06_Secuencia_Optima'!$L$35,'07_Calendario'!$H$73)-MAX('06_Secuencia_Optima'!$K$35,'07_Calendario'!$G$73)),MAX(0,MIN('06_Secuencia_Optima'!$L$36,'07_Calendario'!$H$73)-MAX('06_Secuencia_Optima'!$K$36,'07_Calendario'!$G$73)),MAX(0,MIN('06_Secuencia_Optima'!$L$37,'07_Calendario'!$H$73)-MAX('06_Secuencia_Optima'!$K$37,'07_Calendario'!$G$73)),MAX(0,MIN('06_Secuencia_Optima'!$L$38,'07_Calendario'!$H$73)-MAX('06_Secuencia_Optima'!$K$38,'07_Calendario'!$G$73)),MAX(0,MIN('06_Secuencia_Optima'!$L$39,'07_Calendario'!$H$73)-MAX('06_Secuencia_Optima'!$K$39,'07_Calendario'!$G$73)),MAX(0,MIN('06_Secuencia_Optima'!$L$40,'07_Calendario'!$H$73)-MAX('06_Secuencia_Optima'!$K$40,'07_Calendario'!$G$73)),MAX(0,MIN('06_Secuencia_Optima'!$L$41,'07_Calendario'!$H$73)-MAX('06_Secuencia_Optima'!$K$41,'07_Calendario'!$G$73)),MAX(0,MIN('06_Secuencia_Optima'!$L$42,'07_Calendario'!$H$73)-MAX('06_Secuencia_Optima'!$K$42,'07_Calendario'!$G$73))))</f>
        <v/>
      </c>
      <c r="BU27" s="111">
        <f>IF('07_Calendario'!$E$74=0,"",SUM(MAX(0,MIN('06_Secuencia_Optima'!$L$26,'07_Calendario'!$H$74)-MAX('06_Secuencia_Optima'!$K$26,'07_Calendario'!$G$74)),MAX(0,MIN('06_Secuencia_Optima'!$L$27,'07_Calendario'!$H$74)-MAX('06_Secuencia_Optima'!$K$27,'07_Calendario'!$G$74)),MAX(0,MIN('06_Secuencia_Optima'!$L$28,'07_Calendario'!$H$74)-MAX('06_Secuencia_Optima'!$K$28,'07_Calendario'!$G$74)),MAX(0,MIN('06_Secuencia_Optima'!$L$29,'07_Calendario'!$H$74)-MAX('06_Secuencia_Optima'!$K$29,'07_Calendario'!$G$74)),MAX(0,MIN('06_Secuencia_Optima'!$L$30,'07_Calendario'!$H$74)-MAX('06_Secuencia_Optima'!$K$30,'07_Calendario'!$G$74)),MAX(0,MIN('06_Secuencia_Optima'!$L$31,'07_Calendario'!$H$74)-MAX('06_Secuencia_Optima'!$K$31,'07_Calendario'!$G$74)),MAX(0,MIN('06_Secuencia_Optima'!$L$32,'07_Calendario'!$H$74)-MAX('06_Secuencia_Optima'!$K$32,'07_Calendario'!$G$74)),MAX(0,MIN('06_Secuencia_Optima'!$L$33,'07_Calendario'!$H$74)-MAX('06_Secuencia_Optima'!$K$33,'07_Calendario'!$G$74)),MAX(0,MIN('06_Secuencia_Optima'!$L$34,'07_Calendario'!$H$74)-MAX('06_Secuencia_Optima'!$K$34,'07_Calendario'!$G$74)),MAX(0,MIN('06_Secuencia_Optima'!$L$35,'07_Calendario'!$H$74)-MAX('06_Secuencia_Optima'!$K$35,'07_Calendario'!$G$74)),MAX(0,MIN('06_Secuencia_Optima'!$L$36,'07_Calendario'!$H$74)-MAX('06_Secuencia_Optima'!$K$36,'07_Calendario'!$G$74)),MAX(0,MIN('06_Secuencia_Optima'!$L$37,'07_Calendario'!$H$74)-MAX('06_Secuencia_Optima'!$K$37,'07_Calendario'!$G$74)),MAX(0,MIN('06_Secuencia_Optima'!$L$38,'07_Calendario'!$H$74)-MAX('06_Secuencia_Optima'!$K$38,'07_Calendario'!$G$74)),MAX(0,MIN('06_Secuencia_Optima'!$L$39,'07_Calendario'!$H$74)-MAX('06_Secuencia_Optima'!$K$39,'07_Calendario'!$G$74)),MAX(0,MIN('06_Secuencia_Optima'!$L$40,'07_Calendario'!$H$74)-MAX('06_Secuencia_Optima'!$K$40,'07_Calendario'!$G$74)),MAX(0,MIN('06_Secuencia_Optima'!$L$41,'07_Calendario'!$H$74)-MAX('06_Secuencia_Optima'!$K$41,'07_Calendario'!$G$74)),MAX(0,MIN('06_Secuencia_Optima'!$L$42,'07_Calendario'!$H$74)-MAX('06_Secuencia_Optima'!$K$42,'07_Calendario'!$G$74))))</f>
        <v>0</v>
      </c>
      <c r="BV27" s="111">
        <f>IF('07_Calendario'!$E$75=0,"",SUM(MAX(0,MIN('06_Secuencia_Optima'!$L$26,'07_Calendario'!$H$75)-MAX('06_Secuencia_Optima'!$K$26,'07_Calendario'!$G$75)),MAX(0,MIN('06_Secuencia_Optima'!$L$27,'07_Calendario'!$H$75)-MAX('06_Secuencia_Optima'!$K$27,'07_Calendario'!$G$75)),MAX(0,MIN('06_Secuencia_Optima'!$L$28,'07_Calendario'!$H$75)-MAX('06_Secuencia_Optima'!$K$28,'07_Calendario'!$G$75)),MAX(0,MIN('06_Secuencia_Optima'!$L$29,'07_Calendario'!$H$75)-MAX('06_Secuencia_Optima'!$K$29,'07_Calendario'!$G$75)),MAX(0,MIN('06_Secuencia_Optima'!$L$30,'07_Calendario'!$H$75)-MAX('06_Secuencia_Optima'!$K$30,'07_Calendario'!$G$75)),MAX(0,MIN('06_Secuencia_Optima'!$L$31,'07_Calendario'!$H$75)-MAX('06_Secuencia_Optima'!$K$31,'07_Calendario'!$G$75)),MAX(0,MIN('06_Secuencia_Optima'!$L$32,'07_Calendario'!$H$75)-MAX('06_Secuencia_Optima'!$K$32,'07_Calendario'!$G$75)),MAX(0,MIN('06_Secuencia_Optima'!$L$33,'07_Calendario'!$H$75)-MAX('06_Secuencia_Optima'!$K$33,'07_Calendario'!$G$75)),MAX(0,MIN('06_Secuencia_Optima'!$L$34,'07_Calendario'!$H$75)-MAX('06_Secuencia_Optima'!$K$34,'07_Calendario'!$G$75)),MAX(0,MIN('06_Secuencia_Optima'!$L$35,'07_Calendario'!$H$75)-MAX('06_Secuencia_Optima'!$K$35,'07_Calendario'!$G$75)),MAX(0,MIN('06_Secuencia_Optima'!$L$36,'07_Calendario'!$H$75)-MAX('06_Secuencia_Optima'!$K$36,'07_Calendario'!$G$75)),MAX(0,MIN('06_Secuencia_Optima'!$L$37,'07_Calendario'!$H$75)-MAX('06_Secuencia_Optima'!$K$37,'07_Calendario'!$G$75)),MAX(0,MIN('06_Secuencia_Optima'!$L$38,'07_Calendario'!$H$75)-MAX('06_Secuencia_Optima'!$K$38,'07_Calendario'!$G$75)),MAX(0,MIN('06_Secuencia_Optima'!$L$39,'07_Calendario'!$H$75)-MAX('06_Secuencia_Optima'!$K$39,'07_Calendario'!$G$75)),MAX(0,MIN('06_Secuencia_Optima'!$L$40,'07_Calendario'!$H$75)-MAX('06_Secuencia_Optima'!$K$40,'07_Calendario'!$G$75)),MAX(0,MIN('06_Secuencia_Optima'!$L$41,'07_Calendario'!$H$75)-MAX('06_Secuencia_Optima'!$K$41,'07_Calendario'!$G$75)),MAX(0,MIN('06_Secuencia_Optima'!$L$42,'07_Calendario'!$H$75)-MAX('06_Secuencia_Optima'!$K$42,'07_Calendario'!$G$75))))</f>
        <v>0</v>
      </c>
      <c r="BW27" s="111">
        <f>IF('07_Calendario'!$E$76=0,"",SUM(MAX(0,MIN('06_Secuencia_Optima'!$L$26,'07_Calendario'!$H$76)-MAX('06_Secuencia_Optima'!$K$26,'07_Calendario'!$G$76)),MAX(0,MIN('06_Secuencia_Optima'!$L$27,'07_Calendario'!$H$76)-MAX('06_Secuencia_Optima'!$K$27,'07_Calendario'!$G$76)),MAX(0,MIN('06_Secuencia_Optima'!$L$28,'07_Calendario'!$H$76)-MAX('06_Secuencia_Optima'!$K$28,'07_Calendario'!$G$76)),MAX(0,MIN('06_Secuencia_Optima'!$L$29,'07_Calendario'!$H$76)-MAX('06_Secuencia_Optima'!$K$29,'07_Calendario'!$G$76)),MAX(0,MIN('06_Secuencia_Optima'!$L$30,'07_Calendario'!$H$76)-MAX('06_Secuencia_Optima'!$K$30,'07_Calendario'!$G$76)),MAX(0,MIN('06_Secuencia_Optima'!$L$31,'07_Calendario'!$H$76)-MAX('06_Secuencia_Optima'!$K$31,'07_Calendario'!$G$76)),MAX(0,MIN('06_Secuencia_Optima'!$L$32,'07_Calendario'!$H$76)-MAX('06_Secuencia_Optima'!$K$32,'07_Calendario'!$G$76)),MAX(0,MIN('06_Secuencia_Optima'!$L$33,'07_Calendario'!$H$76)-MAX('06_Secuencia_Optima'!$K$33,'07_Calendario'!$G$76)),MAX(0,MIN('06_Secuencia_Optima'!$L$34,'07_Calendario'!$H$76)-MAX('06_Secuencia_Optima'!$K$34,'07_Calendario'!$G$76)),MAX(0,MIN('06_Secuencia_Optima'!$L$35,'07_Calendario'!$H$76)-MAX('06_Secuencia_Optima'!$K$35,'07_Calendario'!$G$76)),MAX(0,MIN('06_Secuencia_Optima'!$L$36,'07_Calendario'!$H$76)-MAX('06_Secuencia_Optima'!$K$36,'07_Calendario'!$G$76)),MAX(0,MIN('06_Secuencia_Optima'!$L$37,'07_Calendario'!$H$76)-MAX('06_Secuencia_Optima'!$K$37,'07_Calendario'!$G$76)),MAX(0,MIN('06_Secuencia_Optima'!$L$38,'07_Calendario'!$H$76)-MAX('06_Secuencia_Optima'!$K$38,'07_Calendario'!$G$76)),MAX(0,MIN('06_Secuencia_Optima'!$L$39,'07_Calendario'!$H$76)-MAX('06_Secuencia_Optima'!$K$39,'07_Calendario'!$G$76)),MAX(0,MIN('06_Secuencia_Optima'!$L$40,'07_Calendario'!$H$76)-MAX('06_Secuencia_Optima'!$K$40,'07_Calendario'!$G$76)),MAX(0,MIN('06_Secuencia_Optima'!$L$41,'07_Calendario'!$H$76)-MAX('06_Secuencia_Optima'!$K$41,'07_Calendario'!$G$76)),MAX(0,MIN('06_Secuencia_Optima'!$L$42,'07_Calendario'!$H$76)-MAX('06_Secuencia_Optima'!$K$42,'07_Calendario'!$G$76))))</f>
        <v>0</v>
      </c>
      <c r="BX27" s="111">
        <f>IF('07_Calendario'!$E$77=0,"",SUM(MAX(0,MIN('06_Secuencia_Optima'!$L$26,'07_Calendario'!$H$77)-MAX('06_Secuencia_Optima'!$K$26,'07_Calendario'!$G$77)),MAX(0,MIN('06_Secuencia_Optima'!$L$27,'07_Calendario'!$H$77)-MAX('06_Secuencia_Optima'!$K$27,'07_Calendario'!$G$77)),MAX(0,MIN('06_Secuencia_Optima'!$L$28,'07_Calendario'!$H$77)-MAX('06_Secuencia_Optima'!$K$28,'07_Calendario'!$G$77)),MAX(0,MIN('06_Secuencia_Optima'!$L$29,'07_Calendario'!$H$77)-MAX('06_Secuencia_Optima'!$K$29,'07_Calendario'!$G$77)),MAX(0,MIN('06_Secuencia_Optima'!$L$30,'07_Calendario'!$H$77)-MAX('06_Secuencia_Optima'!$K$30,'07_Calendario'!$G$77)),MAX(0,MIN('06_Secuencia_Optima'!$L$31,'07_Calendario'!$H$77)-MAX('06_Secuencia_Optima'!$K$31,'07_Calendario'!$G$77)),MAX(0,MIN('06_Secuencia_Optima'!$L$32,'07_Calendario'!$H$77)-MAX('06_Secuencia_Optima'!$K$32,'07_Calendario'!$G$77)),MAX(0,MIN('06_Secuencia_Optima'!$L$33,'07_Calendario'!$H$77)-MAX('06_Secuencia_Optima'!$K$33,'07_Calendario'!$G$77)),MAX(0,MIN('06_Secuencia_Optima'!$L$34,'07_Calendario'!$H$77)-MAX('06_Secuencia_Optima'!$K$34,'07_Calendario'!$G$77)),MAX(0,MIN('06_Secuencia_Optima'!$L$35,'07_Calendario'!$H$77)-MAX('06_Secuencia_Optima'!$K$35,'07_Calendario'!$G$77)),MAX(0,MIN('06_Secuencia_Optima'!$L$36,'07_Calendario'!$H$77)-MAX('06_Secuencia_Optima'!$K$36,'07_Calendario'!$G$77)),MAX(0,MIN('06_Secuencia_Optima'!$L$37,'07_Calendario'!$H$77)-MAX('06_Secuencia_Optima'!$K$37,'07_Calendario'!$G$77)),MAX(0,MIN('06_Secuencia_Optima'!$L$38,'07_Calendario'!$H$77)-MAX('06_Secuencia_Optima'!$K$38,'07_Calendario'!$G$77)),MAX(0,MIN('06_Secuencia_Optima'!$L$39,'07_Calendario'!$H$77)-MAX('06_Secuencia_Optima'!$K$39,'07_Calendario'!$G$77)),MAX(0,MIN('06_Secuencia_Optima'!$L$40,'07_Calendario'!$H$77)-MAX('06_Secuencia_Optima'!$K$40,'07_Calendario'!$G$77)),MAX(0,MIN('06_Secuencia_Optima'!$L$41,'07_Calendario'!$H$77)-MAX('06_Secuencia_Optima'!$K$41,'07_Calendario'!$G$77)),MAX(0,MIN('06_Secuencia_Optima'!$L$42,'07_Calendario'!$H$77)-MAX('06_Secuencia_Optima'!$K$42,'07_Calendario'!$G$77))))</f>
        <v>0</v>
      </c>
      <c r="BY27" s="111">
        <f>IF('07_Calendario'!$E$78=0,"",SUM(MAX(0,MIN('06_Secuencia_Optima'!$L$26,'07_Calendario'!$H$78)-MAX('06_Secuencia_Optima'!$K$26,'07_Calendario'!$G$78)),MAX(0,MIN('06_Secuencia_Optima'!$L$27,'07_Calendario'!$H$78)-MAX('06_Secuencia_Optima'!$K$27,'07_Calendario'!$G$78)),MAX(0,MIN('06_Secuencia_Optima'!$L$28,'07_Calendario'!$H$78)-MAX('06_Secuencia_Optima'!$K$28,'07_Calendario'!$G$78)),MAX(0,MIN('06_Secuencia_Optima'!$L$29,'07_Calendario'!$H$78)-MAX('06_Secuencia_Optima'!$K$29,'07_Calendario'!$G$78)),MAX(0,MIN('06_Secuencia_Optima'!$L$30,'07_Calendario'!$H$78)-MAX('06_Secuencia_Optima'!$K$30,'07_Calendario'!$G$78)),MAX(0,MIN('06_Secuencia_Optima'!$L$31,'07_Calendario'!$H$78)-MAX('06_Secuencia_Optima'!$K$31,'07_Calendario'!$G$78)),MAX(0,MIN('06_Secuencia_Optima'!$L$32,'07_Calendario'!$H$78)-MAX('06_Secuencia_Optima'!$K$32,'07_Calendario'!$G$78)),MAX(0,MIN('06_Secuencia_Optima'!$L$33,'07_Calendario'!$H$78)-MAX('06_Secuencia_Optima'!$K$33,'07_Calendario'!$G$78)),MAX(0,MIN('06_Secuencia_Optima'!$L$34,'07_Calendario'!$H$78)-MAX('06_Secuencia_Optima'!$K$34,'07_Calendario'!$G$78)),MAX(0,MIN('06_Secuencia_Optima'!$L$35,'07_Calendario'!$H$78)-MAX('06_Secuencia_Optima'!$K$35,'07_Calendario'!$G$78)),MAX(0,MIN('06_Secuencia_Optima'!$L$36,'07_Calendario'!$H$78)-MAX('06_Secuencia_Optima'!$K$36,'07_Calendario'!$G$78)),MAX(0,MIN('06_Secuencia_Optima'!$L$37,'07_Calendario'!$H$78)-MAX('06_Secuencia_Optima'!$K$37,'07_Calendario'!$G$78)),MAX(0,MIN('06_Secuencia_Optima'!$L$38,'07_Calendario'!$H$78)-MAX('06_Secuencia_Optima'!$K$38,'07_Calendario'!$G$78)),MAX(0,MIN('06_Secuencia_Optima'!$L$39,'07_Calendario'!$H$78)-MAX('06_Secuencia_Optima'!$K$39,'07_Calendario'!$G$78)),MAX(0,MIN('06_Secuencia_Optima'!$L$40,'07_Calendario'!$H$78)-MAX('06_Secuencia_Optima'!$K$40,'07_Calendario'!$G$78)),MAX(0,MIN('06_Secuencia_Optima'!$L$41,'07_Calendario'!$H$78)-MAX('06_Secuencia_Optima'!$K$41,'07_Calendario'!$G$78)),MAX(0,MIN('06_Secuencia_Optima'!$L$42,'07_Calendario'!$H$78)-MAX('06_Secuencia_Optima'!$K$42,'07_Calendario'!$G$78))))</f>
        <v>0</v>
      </c>
      <c r="BZ27" s="111">
        <f>IF('07_Calendario'!$E$79=0,"",SUM(MAX(0,MIN('06_Secuencia_Optima'!$L$26,'07_Calendario'!$H$79)-MAX('06_Secuencia_Optima'!$K$26,'07_Calendario'!$G$79)),MAX(0,MIN('06_Secuencia_Optima'!$L$27,'07_Calendario'!$H$79)-MAX('06_Secuencia_Optima'!$K$27,'07_Calendario'!$G$79)),MAX(0,MIN('06_Secuencia_Optima'!$L$28,'07_Calendario'!$H$79)-MAX('06_Secuencia_Optima'!$K$28,'07_Calendario'!$G$79)),MAX(0,MIN('06_Secuencia_Optima'!$L$29,'07_Calendario'!$H$79)-MAX('06_Secuencia_Optima'!$K$29,'07_Calendario'!$G$79)),MAX(0,MIN('06_Secuencia_Optima'!$L$30,'07_Calendario'!$H$79)-MAX('06_Secuencia_Optima'!$K$30,'07_Calendario'!$G$79)),MAX(0,MIN('06_Secuencia_Optima'!$L$31,'07_Calendario'!$H$79)-MAX('06_Secuencia_Optima'!$K$31,'07_Calendario'!$G$79)),MAX(0,MIN('06_Secuencia_Optima'!$L$32,'07_Calendario'!$H$79)-MAX('06_Secuencia_Optima'!$K$32,'07_Calendario'!$G$79)),MAX(0,MIN('06_Secuencia_Optima'!$L$33,'07_Calendario'!$H$79)-MAX('06_Secuencia_Optima'!$K$33,'07_Calendario'!$G$79)),MAX(0,MIN('06_Secuencia_Optima'!$L$34,'07_Calendario'!$H$79)-MAX('06_Secuencia_Optima'!$K$34,'07_Calendario'!$G$79)),MAX(0,MIN('06_Secuencia_Optima'!$L$35,'07_Calendario'!$H$79)-MAX('06_Secuencia_Optima'!$K$35,'07_Calendario'!$G$79)),MAX(0,MIN('06_Secuencia_Optima'!$L$36,'07_Calendario'!$H$79)-MAX('06_Secuencia_Optima'!$K$36,'07_Calendario'!$G$79)),MAX(0,MIN('06_Secuencia_Optima'!$L$37,'07_Calendario'!$H$79)-MAX('06_Secuencia_Optima'!$K$37,'07_Calendario'!$G$79)),MAX(0,MIN('06_Secuencia_Optima'!$L$38,'07_Calendario'!$H$79)-MAX('06_Secuencia_Optima'!$K$38,'07_Calendario'!$G$79)),MAX(0,MIN('06_Secuencia_Optima'!$L$39,'07_Calendario'!$H$79)-MAX('06_Secuencia_Optima'!$K$39,'07_Calendario'!$G$79)),MAX(0,MIN('06_Secuencia_Optima'!$L$40,'07_Calendario'!$H$79)-MAX('06_Secuencia_Optima'!$K$40,'07_Calendario'!$G$79)),MAX(0,MIN('06_Secuencia_Optima'!$L$41,'07_Calendario'!$H$79)-MAX('06_Secuencia_Optima'!$K$41,'07_Calendario'!$G$79)),MAX(0,MIN('06_Secuencia_Optima'!$L$42,'07_Calendario'!$H$79)-MAX('06_Secuencia_Optima'!$K$42,'07_Calendario'!$G$79))))</f>
        <v>0</v>
      </c>
      <c r="CA27" s="111">
        <f>IF('07_Calendario'!$E$80=0,"",SUM(MAX(0,MIN('06_Secuencia_Optima'!$L$26,'07_Calendario'!$H$80)-MAX('06_Secuencia_Optima'!$K$26,'07_Calendario'!$G$80)),MAX(0,MIN('06_Secuencia_Optima'!$L$27,'07_Calendario'!$H$80)-MAX('06_Secuencia_Optima'!$K$27,'07_Calendario'!$G$80)),MAX(0,MIN('06_Secuencia_Optima'!$L$28,'07_Calendario'!$H$80)-MAX('06_Secuencia_Optima'!$K$28,'07_Calendario'!$G$80)),MAX(0,MIN('06_Secuencia_Optima'!$L$29,'07_Calendario'!$H$80)-MAX('06_Secuencia_Optima'!$K$29,'07_Calendario'!$G$80)),MAX(0,MIN('06_Secuencia_Optima'!$L$30,'07_Calendario'!$H$80)-MAX('06_Secuencia_Optima'!$K$30,'07_Calendario'!$G$80)),MAX(0,MIN('06_Secuencia_Optima'!$L$31,'07_Calendario'!$H$80)-MAX('06_Secuencia_Optima'!$K$31,'07_Calendario'!$G$80)),MAX(0,MIN('06_Secuencia_Optima'!$L$32,'07_Calendario'!$H$80)-MAX('06_Secuencia_Optima'!$K$32,'07_Calendario'!$G$80)),MAX(0,MIN('06_Secuencia_Optima'!$L$33,'07_Calendario'!$H$80)-MAX('06_Secuencia_Optima'!$K$33,'07_Calendario'!$G$80)),MAX(0,MIN('06_Secuencia_Optima'!$L$34,'07_Calendario'!$H$80)-MAX('06_Secuencia_Optima'!$K$34,'07_Calendario'!$G$80)),MAX(0,MIN('06_Secuencia_Optima'!$L$35,'07_Calendario'!$H$80)-MAX('06_Secuencia_Optima'!$K$35,'07_Calendario'!$G$80)),MAX(0,MIN('06_Secuencia_Optima'!$L$36,'07_Calendario'!$H$80)-MAX('06_Secuencia_Optima'!$K$36,'07_Calendario'!$G$80)),MAX(0,MIN('06_Secuencia_Optima'!$L$37,'07_Calendario'!$H$80)-MAX('06_Secuencia_Optima'!$K$37,'07_Calendario'!$G$80)),MAX(0,MIN('06_Secuencia_Optima'!$L$38,'07_Calendario'!$H$80)-MAX('06_Secuencia_Optima'!$K$38,'07_Calendario'!$G$80)),MAX(0,MIN('06_Secuencia_Optima'!$L$39,'07_Calendario'!$H$80)-MAX('06_Secuencia_Optima'!$K$39,'07_Calendario'!$G$80)),MAX(0,MIN('06_Secuencia_Optima'!$L$40,'07_Calendario'!$H$80)-MAX('06_Secuencia_Optima'!$K$40,'07_Calendario'!$G$80)),MAX(0,MIN('06_Secuencia_Optima'!$L$41,'07_Calendario'!$H$80)-MAX('06_Secuencia_Optima'!$K$41,'07_Calendario'!$G$80)),MAX(0,MIN('06_Secuencia_Optima'!$L$42,'07_Calendario'!$H$80)-MAX('06_Secuencia_Optima'!$K$42,'07_Calendario'!$G$80))))</f>
        <v>0</v>
      </c>
      <c r="CB27" s="111">
        <f>IF('07_Calendario'!$E$81=0,"",SUM(MAX(0,MIN('06_Secuencia_Optima'!$L$26,'07_Calendario'!$H$81)-MAX('06_Secuencia_Optima'!$K$26,'07_Calendario'!$G$81)),MAX(0,MIN('06_Secuencia_Optima'!$L$27,'07_Calendario'!$H$81)-MAX('06_Secuencia_Optima'!$K$27,'07_Calendario'!$G$81)),MAX(0,MIN('06_Secuencia_Optima'!$L$28,'07_Calendario'!$H$81)-MAX('06_Secuencia_Optima'!$K$28,'07_Calendario'!$G$81)),MAX(0,MIN('06_Secuencia_Optima'!$L$29,'07_Calendario'!$H$81)-MAX('06_Secuencia_Optima'!$K$29,'07_Calendario'!$G$81)),MAX(0,MIN('06_Secuencia_Optima'!$L$30,'07_Calendario'!$H$81)-MAX('06_Secuencia_Optima'!$K$30,'07_Calendario'!$G$81)),MAX(0,MIN('06_Secuencia_Optima'!$L$31,'07_Calendario'!$H$81)-MAX('06_Secuencia_Optima'!$K$31,'07_Calendario'!$G$81)),MAX(0,MIN('06_Secuencia_Optima'!$L$32,'07_Calendario'!$H$81)-MAX('06_Secuencia_Optima'!$K$32,'07_Calendario'!$G$81)),MAX(0,MIN('06_Secuencia_Optima'!$L$33,'07_Calendario'!$H$81)-MAX('06_Secuencia_Optima'!$K$33,'07_Calendario'!$G$81)),MAX(0,MIN('06_Secuencia_Optima'!$L$34,'07_Calendario'!$H$81)-MAX('06_Secuencia_Optima'!$K$34,'07_Calendario'!$G$81)),MAX(0,MIN('06_Secuencia_Optima'!$L$35,'07_Calendario'!$H$81)-MAX('06_Secuencia_Optima'!$K$35,'07_Calendario'!$G$81)),MAX(0,MIN('06_Secuencia_Optima'!$L$36,'07_Calendario'!$H$81)-MAX('06_Secuencia_Optima'!$K$36,'07_Calendario'!$G$81)),MAX(0,MIN('06_Secuencia_Optima'!$L$37,'07_Calendario'!$H$81)-MAX('06_Secuencia_Optima'!$K$37,'07_Calendario'!$G$81)),MAX(0,MIN('06_Secuencia_Optima'!$L$38,'07_Calendario'!$H$81)-MAX('06_Secuencia_Optima'!$K$38,'07_Calendario'!$G$81)),MAX(0,MIN('06_Secuencia_Optima'!$L$39,'07_Calendario'!$H$81)-MAX('06_Secuencia_Optima'!$K$39,'07_Calendario'!$G$81)),MAX(0,MIN('06_Secuencia_Optima'!$L$40,'07_Calendario'!$H$81)-MAX('06_Secuencia_Optima'!$K$40,'07_Calendario'!$G$81)),MAX(0,MIN('06_Secuencia_Optima'!$L$41,'07_Calendario'!$H$81)-MAX('06_Secuencia_Optima'!$K$41,'07_Calendario'!$G$81)),MAX(0,MIN('06_Secuencia_Optima'!$L$42,'07_Calendario'!$H$81)-MAX('06_Secuencia_Optima'!$K$42,'07_Calendario'!$G$81))))</f>
        <v>0</v>
      </c>
      <c r="CC27" s="111">
        <f>IF('07_Calendario'!$E$82=0,"",SUM(MAX(0,MIN('06_Secuencia_Optima'!$L$26,'07_Calendario'!$H$82)-MAX('06_Secuencia_Optima'!$K$26,'07_Calendario'!$G$82)),MAX(0,MIN('06_Secuencia_Optima'!$L$27,'07_Calendario'!$H$82)-MAX('06_Secuencia_Optima'!$K$27,'07_Calendario'!$G$82)),MAX(0,MIN('06_Secuencia_Optima'!$L$28,'07_Calendario'!$H$82)-MAX('06_Secuencia_Optima'!$K$28,'07_Calendario'!$G$82)),MAX(0,MIN('06_Secuencia_Optima'!$L$29,'07_Calendario'!$H$82)-MAX('06_Secuencia_Optima'!$K$29,'07_Calendario'!$G$82)),MAX(0,MIN('06_Secuencia_Optima'!$L$30,'07_Calendario'!$H$82)-MAX('06_Secuencia_Optima'!$K$30,'07_Calendario'!$G$82)),MAX(0,MIN('06_Secuencia_Optima'!$L$31,'07_Calendario'!$H$82)-MAX('06_Secuencia_Optima'!$K$31,'07_Calendario'!$G$82)),MAX(0,MIN('06_Secuencia_Optima'!$L$32,'07_Calendario'!$H$82)-MAX('06_Secuencia_Optima'!$K$32,'07_Calendario'!$G$82)),MAX(0,MIN('06_Secuencia_Optima'!$L$33,'07_Calendario'!$H$82)-MAX('06_Secuencia_Optima'!$K$33,'07_Calendario'!$G$82)),MAX(0,MIN('06_Secuencia_Optima'!$L$34,'07_Calendario'!$H$82)-MAX('06_Secuencia_Optima'!$K$34,'07_Calendario'!$G$82)),MAX(0,MIN('06_Secuencia_Optima'!$L$35,'07_Calendario'!$H$82)-MAX('06_Secuencia_Optima'!$K$35,'07_Calendario'!$G$82)),MAX(0,MIN('06_Secuencia_Optima'!$L$36,'07_Calendario'!$H$82)-MAX('06_Secuencia_Optima'!$K$36,'07_Calendario'!$G$82)),MAX(0,MIN('06_Secuencia_Optima'!$L$37,'07_Calendario'!$H$82)-MAX('06_Secuencia_Optima'!$K$37,'07_Calendario'!$G$82)),MAX(0,MIN('06_Secuencia_Optima'!$L$38,'07_Calendario'!$H$82)-MAX('06_Secuencia_Optima'!$K$38,'07_Calendario'!$G$82)),MAX(0,MIN('06_Secuencia_Optima'!$L$39,'07_Calendario'!$H$82)-MAX('06_Secuencia_Optima'!$K$39,'07_Calendario'!$G$82)),MAX(0,MIN('06_Secuencia_Optima'!$L$40,'07_Calendario'!$H$82)-MAX('06_Secuencia_Optima'!$K$40,'07_Calendario'!$G$82)),MAX(0,MIN('06_Secuencia_Optima'!$L$41,'07_Calendario'!$H$82)-MAX('06_Secuencia_Optima'!$K$41,'07_Calendario'!$G$82)),MAX(0,MIN('06_Secuencia_Optima'!$L$42,'07_Calendario'!$H$82)-MAX('06_Secuencia_Optima'!$K$42,'07_Calendario'!$G$82))))</f>
        <v>0</v>
      </c>
      <c r="CD27" s="18">
        <f>SUM($D27:$CC27)</f>
        <v>840</v>
      </c>
    </row>
    <row r="28" spans="1:84" x14ac:dyDescent="0.2">
      <c r="A28" s="134" t="s">
        <v>266</v>
      </c>
      <c r="B28" s="135"/>
      <c r="C28" s="135"/>
      <c r="D28" s="111">
        <f>IF('07_Calendario'!$E$5=0,"",ROUND(D26+D27,8))</f>
        <v>7405.7721331000002</v>
      </c>
      <c r="E28" s="111">
        <f>IF('07_Calendario'!$E$6=0,"",ROUND(E26+E27,8))</f>
        <v>4818.30370623</v>
      </c>
      <c r="F28" s="111">
        <f>IF('07_Calendario'!$E$7=0,"",ROUND(F26+F27,8))</f>
        <v>3002.4126530499998</v>
      </c>
      <c r="G28" s="111">
        <f>IF('07_Calendario'!$E$8=0,"",ROUND(G26+G27,8))</f>
        <v>1775.0847002200001</v>
      </c>
      <c r="H28" s="111">
        <f>IF('07_Calendario'!$E$9=0,"",ROUND(H26+H27,8))</f>
        <v>1440</v>
      </c>
      <c r="I28" s="111">
        <f>IF('07_Calendario'!$E$10=0,"",ROUND(I26+I27,8))</f>
        <v>1440</v>
      </c>
      <c r="J28" s="111">
        <f>IF('07_Calendario'!$E$11=0,"",ROUND(J26+J27,8))</f>
        <v>1100.9790209800001</v>
      </c>
      <c r="K28" s="111">
        <f>IF('07_Calendario'!$E$12=0,"",ROUND(K26+K27,8))</f>
        <v>960</v>
      </c>
      <c r="L28" s="111">
        <f>IF('07_Calendario'!$E$13=0,"",ROUND(L26+L27,8))</f>
        <v>960</v>
      </c>
      <c r="M28" s="111">
        <f>IF('07_Calendario'!$E$14=0,"",ROUND(M26+M27,8))</f>
        <v>960</v>
      </c>
      <c r="N28" s="111">
        <f>IF('07_Calendario'!$E$15=0,"",ROUND(N26+N27,8))</f>
        <v>960</v>
      </c>
      <c r="O28" s="111">
        <f>IF('07_Calendario'!$E$16=0,"",ROUND(O26+O27,8))</f>
        <v>960</v>
      </c>
      <c r="P28" s="111">
        <f>IF('07_Calendario'!$E$17=0,"",ROUND(P26+P27,8))</f>
        <v>960</v>
      </c>
      <c r="Q28" s="111">
        <f>IF('07_Calendario'!$E$18=0,"",ROUND(Q26+Q27,8))</f>
        <v>957.07317073000002</v>
      </c>
      <c r="R28" s="111" t="str">
        <f>IF('07_Calendario'!$E$19=0,"",ROUND(R26+R27,8))</f>
        <v/>
      </c>
      <c r="S28" s="111">
        <f>IF('07_Calendario'!$E$20=0,"",ROUND(S26+S27,8))</f>
        <v>480</v>
      </c>
      <c r="T28" s="111">
        <f>IF('07_Calendario'!$E$21=0,"",ROUND(T26+T27,8))</f>
        <v>480</v>
      </c>
      <c r="U28" s="111">
        <f>IF('07_Calendario'!$E$22=0,"",ROUND(U26+U27,8))</f>
        <v>0</v>
      </c>
      <c r="V28" s="111">
        <f>IF('07_Calendario'!$E$23=0,"",ROUND(V26+V27,8))</f>
        <v>0</v>
      </c>
      <c r="W28" s="111">
        <f>IF('07_Calendario'!$E$24=0,"",ROUND(W26+W27,8))</f>
        <v>0</v>
      </c>
      <c r="X28" s="111">
        <f>IF('07_Calendario'!$E$25=0,"",ROUND(X26+X27,8))</f>
        <v>0</v>
      </c>
      <c r="Y28" s="111">
        <f>IF('07_Calendario'!$E$26=0,"",ROUND(Y26+Y27,8))</f>
        <v>0</v>
      </c>
      <c r="Z28" s="111">
        <f>IF('07_Calendario'!$E$27=0,"",ROUND(Z26+Z27,8))</f>
        <v>0</v>
      </c>
      <c r="AA28" s="111">
        <f>IF('07_Calendario'!$E$28=0,"",ROUND(AA26+AA27,8))</f>
        <v>0</v>
      </c>
      <c r="AB28" s="111">
        <f>IF('07_Calendario'!$E$29=0,"",ROUND(AB26+AB27,8))</f>
        <v>0</v>
      </c>
      <c r="AC28" s="111">
        <f>IF('07_Calendario'!$E$30=0,"",ROUND(AC26+AC27,8))</f>
        <v>0</v>
      </c>
      <c r="AD28" s="111">
        <f>IF('07_Calendario'!$E$31=0,"",ROUND(AD26+AD27,8))</f>
        <v>0</v>
      </c>
      <c r="AE28" s="111">
        <f>IF('07_Calendario'!$E$32=0,"",ROUND(AE26+AE27,8))</f>
        <v>0</v>
      </c>
      <c r="AF28" s="111">
        <f>IF('07_Calendario'!$E$33=0,"",ROUND(AF26+AF27,8))</f>
        <v>0</v>
      </c>
      <c r="AG28" s="111">
        <f>IF('07_Calendario'!$E$34=0,"",ROUND(AG26+AG27,8))</f>
        <v>0</v>
      </c>
      <c r="AH28" s="111">
        <f>IF('07_Calendario'!$E$35=0,"",ROUND(AH26+AH27,8))</f>
        <v>0</v>
      </c>
      <c r="AI28" s="111">
        <f>IF('07_Calendario'!$E$36=0,"",ROUND(AI26+AI27,8))</f>
        <v>0</v>
      </c>
      <c r="AJ28" s="111" t="str">
        <f>IF('07_Calendario'!$E$37=0,"",ROUND(AJ26+AJ27,8))</f>
        <v/>
      </c>
      <c r="AK28" s="111">
        <f>IF('07_Calendario'!$E$38=0,"",ROUND(AK26+AK27,8))</f>
        <v>0</v>
      </c>
      <c r="AL28" s="111">
        <f>IF('07_Calendario'!$E$39=0,"",ROUND(AL26+AL27,8))</f>
        <v>0</v>
      </c>
      <c r="AM28" s="111">
        <f>IF('07_Calendario'!$E$40=0,"",ROUND(AM26+AM27,8))</f>
        <v>0</v>
      </c>
      <c r="AN28" s="111">
        <f>IF('07_Calendario'!$E$41=0,"",ROUND(AN26+AN27,8))</f>
        <v>0</v>
      </c>
      <c r="AO28" s="111">
        <f>IF('07_Calendario'!$E$42=0,"",ROUND(AO26+AO27,8))</f>
        <v>0</v>
      </c>
      <c r="AP28" s="111">
        <f>IF('07_Calendario'!$E$43=0,"",ROUND(AP26+AP27,8))</f>
        <v>0</v>
      </c>
      <c r="AQ28" s="111">
        <f>IF('07_Calendario'!$E$44=0,"",ROUND(AQ26+AQ27,8))</f>
        <v>0</v>
      </c>
      <c r="AR28" s="111">
        <f>IF('07_Calendario'!$E$45=0,"",ROUND(AR26+AR27,8))</f>
        <v>0</v>
      </c>
      <c r="AS28" s="111">
        <f>IF('07_Calendario'!$E$46=0,"",ROUND(AS26+AS27,8))</f>
        <v>0</v>
      </c>
      <c r="AT28" s="111">
        <f>IF('07_Calendario'!$E$47=0,"",ROUND(AT26+AT27,8))</f>
        <v>0</v>
      </c>
      <c r="AU28" s="111">
        <f>IF('07_Calendario'!$E$48=0,"",ROUND(AU26+AU27,8))</f>
        <v>0</v>
      </c>
      <c r="AV28" s="111">
        <f>IF('07_Calendario'!$E$49=0,"",ROUND(AV26+AV27,8))</f>
        <v>0</v>
      </c>
      <c r="AW28" s="111">
        <f>IF('07_Calendario'!$E$50=0,"",ROUND(AW26+AW27,8))</f>
        <v>0</v>
      </c>
      <c r="AX28" s="111">
        <f>IF('07_Calendario'!$E$51=0,"",ROUND(AX26+AX27,8))</f>
        <v>0</v>
      </c>
      <c r="AY28" s="111">
        <f>IF('07_Calendario'!$E$52=0,"",ROUND(AY26+AY27,8))</f>
        <v>0</v>
      </c>
      <c r="AZ28" s="111">
        <f>IF('07_Calendario'!$E$53=0,"",ROUND(AZ26+AZ27,8))</f>
        <v>0</v>
      </c>
      <c r="BA28" s="111">
        <f>IF('07_Calendario'!$E$54=0,"",ROUND(BA26+BA27,8))</f>
        <v>0</v>
      </c>
      <c r="BB28" s="111" t="str">
        <f>IF('07_Calendario'!$E$55=0,"",ROUND(BB26+BB27,8))</f>
        <v/>
      </c>
      <c r="BC28" s="111">
        <f>IF('07_Calendario'!$E$56=0,"",ROUND(BC26+BC27,8))</f>
        <v>0</v>
      </c>
      <c r="BD28" s="111">
        <f>IF('07_Calendario'!$E$57=0,"",ROUND(BD26+BD27,8))</f>
        <v>0</v>
      </c>
      <c r="BE28" s="111">
        <f>IF('07_Calendario'!$E$58=0,"",ROUND(BE26+BE27,8))</f>
        <v>0</v>
      </c>
      <c r="BF28" s="111">
        <f>IF('07_Calendario'!$E$59=0,"",ROUND(BF26+BF27,8))</f>
        <v>0</v>
      </c>
      <c r="BG28" s="111">
        <f>IF('07_Calendario'!$E$60=0,"",ROUND(BG26+BG27,8))</f>
        <v>0</v>
      </c>
      <c r="BH28" s="111">
        <f>IF('07_Calendario'!$E$61=0,"",ROUND(BH26+BH27,8))</f>
        <v>0</v>
      </c>
      <c r="BI28" s="111">
        <f>IF('07_Calendario'!$E$62=0,"",ROUND(BI26+BI27,8))</f>
        <v>0</v>
      </c>
      <c r="BJ28" s="111">
        <f>IF('07_Calendario'!$E$63=0,"",ROUND(BJ26+BJ27,8))</f>
        <v>0</v>
      </c>
      <c r="BK28" s="111">
        <f>IF('07_Calendario'!$E$64=0,"",ROUND(BK26+BK27,8))</f>
        <v>0</v>
      </c>
      <c r="BL28" s="111">
        <f>IF('07_Calendario'!$E$65=0,"",ROUND(BL26+BL27,8))</f>
        <v>0</v>
      </c>
      <c r="BM28" s="111">
        <f>IF('07_Calendario'!$E$66=0,"",ROUND(BM26+BM27,8))</f>
        <v>0</v>
      </c>
      <c r="BN28" s="111">
        <f>IF('07_Calendario'!$E$67=0,"",ROUND(BN26+BN27,8))</f>
        <v>0</v>
      </c>
      <c r="BO28" s="111">
        <f>IF('07_Calendario'!$E$68=0,"",ROUND(BO26+BO27,8))</f>
        <v>0</v>
      </c>
      <c r="BP28" s="111">
        <f>IF('07_Calendario'!$E$69=0,"",ROUND(BP26+BP27,8))</f>
        <v>0</v>
      </c>
      <c r="BQ28" s="111">
        <f>IF('07_Calendario'!$E$70=0,"",ROUND(BQ26+BQ27,8))</f>
        <v>0</v>
      </c>
      <c r="BR28" s="111">
        <f>IF('07_Calendario'!$E$71=0,"",ROUND(BR26+BR27,8))</f>
        <v>0</v>
      </c>
      <c r="BS28" s="111">
        <f>IF('07_Calendario'!$E$72=0,"",ROUND(BS26+BS27,8))</f>
        <v>0</v>
      </c>
      <c r="BT28" s="111" t="str">
        <f>IF('07_Calendario'!$E$73=0,"",ROUND(BT26+BT27,8))</f>
        <v/>
      </c>
      <c r="BU28" s="111">
        <f>IF('07_Calendario'!$E$74=0,"",ROUND(BU26+BU27,8))</f>
        <v>0</v>
      </c>
      <c r="BV28" s="111">
        <f>IF('07_Calendario'!$E$75=0,"",ROUND(BV26+BV27,8))</f>
        <v>0</v>
      </c>
      <c r="BW28" s="111">
        <f>IF('07_Calendario'!$E$76=0,"",ROUND(BW26+BW27,8))</f>
        <v>0</v>
      </c>
      <c r="BX28" s="111">
        <f>IF('07_Calendario'!$E$77=0,"",ROUND(BX26+BX27,8))</f>
        <v>0</v>
      </c>
      <c r="BY28" s="111">
        <f>IF('07_Calendario'!$E$78=0,"",ROUND(BY26+BY27,8))</f>
        <v>0</v>
      </c>
      <c r="BZ28" s="111">
        <f>IF('07_Calendario'!$E$79=0,"",ROUND(BZ26+BZ27,8))</f>
        <v>0</v>
      </c>
      <c r="CA28" s="111">
        <f>IF('07_Calendario'!$E$80=0,"",ROUND(CA26+CA27,8))</f>
        <v>0</v>
      </c>
      <c r="CB28" s="111">
        <f>IF('07_Calendario'!$E$81=0,"",ROUND(CB26+CB27,8))</f>
        <v>0</v>
      </c>
      <c r="CC28" s="111">
        <f>IF('07_Calendario'!$E$82=0,"",ROUND(CC26+CC27,8))</f>
        <v>0</v>
      </c>
      <c r="CD28" s="18">
        <f>SUM($D28:$CC28)</f>
        <v>28659.625384310002</v>
      </c>
    </row>
    <row r="29" spans="1:84" x14ac:dyDescent="0.2">
      <c r="A29" s="134" t="s">
        <v>267</v>
      </c>
      <c r="B29" s="135"/>
      <c r="C29" s="135"/>
      <c r="D29" s="111">
        <f>IF('07_Calendario'!$E$5=0,"",480-D28)</f>
        <v>-6925.7721331000002</v>
      </c>
      <c r="E29" s="111">
        <f>IF('07_Calendario'!$E$6=0,"",480-E28)</f>
        <v>-4338.30370623</v>
      </c>
      <c r="F29" s="111">
        <f>IF('07_Calendario'!$E$7=0,"",480-F28)</f>
        <v>-2522.4126530499998</v>
      </c>
      <c r="G29" s="111">
        <f>IF('07_Calendario'!$E$8=0,"",480-G28)</f>
        <v>-1295.0847002200001</v>
      </c>
      <c r="H29" s="111">
        <f>IF('07_Calendario'!$E$9=0,"",480-H28)</f>
        <v>-960</v>
      </c>
      <c r="I29" s="111">
        <f>IF('07_Calendario'!$E$10=0,"",480-I28)</f>
        <v>-960</v>
      </c>
      <c r="J29" s="111">
        <f>IF('07_Calendario'!$E$11=0,"",480-J28)</f>
        <v>-620.97902098000009</v>
      </c>
      <c r="K29" s="111">
        <f>IF('07_Calendario'!$E$12=0,"",480-K28)</f>
        <v>-480</v>
      </c>
      <c r="L29" s="111">
        <f>IF('07_Calendario'!$E$13=0,"",480-L28)</f>
        <v>-480</v>
      </c>
      <c r="M29" s="111">
        <f>IF('07_Calendario'!$E$14=0,"",480-M28)</f>
        <v>-480</v>
      </c>
      <c r="N29" s="111">
        <f>IF('07_Calendario'!$E$15=0,"",480-N28)</f>
        <v>-480</v>
      </c>
      <c r="O29" s="111">
        <f>IF('07_Calendario'!$E$16=0,"",480-O28)</f>
        <v>-480</v>
      </c>
      <c r="P29" s="111">
        <f>IF('07_Calendario'!$E$17=0,"",480-P28)</f>
        <v>-480</v>
      </c>
      <c r="Q29" s="111">
        <f>IF('07_Calendario'!$E$18=0,"",480-Q28)</f>
        <v>-477.07317073000002</v>
      </c>
      <c r="R29" s="111" t="str">
        <f>IF('07_Calendario'!$E$19=0,"",480-R28)</f>
        <v/>
      </c>
      <c r="S29" s="111">
        <f>IF('07_Calendario'!$E$20=0,"",480-S28)</f>
        <v>0</v>
      </c>
      <c r="T29" s="111">
        <f>IF('07_Calendario'!$E$21=0,"",480-T28)</f>
        <v>0</v>
      </c>
      <c r="U29" s="111">
        <f>IF('07_Calendario'!$E$22=0,"",480-U28)</f>
        <v>480</v>
      </c>
      <c r="V29" s="111">
        <f>IF('07_Calendario'!$E$23=0,"",480-V28)</f>
        <v>480</v>
      </c>
      <c r="W29" s="111">
        <f>IF('07_Calendario'!$E$24=0,"",480-W28)</f>
        <v>480</v>
      </c>
      <c r="X29" s="111">
        <f>IF('07_Calendario'!$E$25=0,"",480-X28)</f>
        <v>480</v>
      </c>
      <c r="Y29" s="111">
        <f>IF('07_Calendario'!$E$26=0,"",480-Y28)</f>
        <v>480</v>
      </c>
      <c r="Z29" s="111">
        <f>IF('07_Calendario'!$E$27=0,"",480-Z28)</f>
        <v>480</v>
      </c>
      <c r="AA29" s="111">
        <f>IF('07_Calendario'!$E$28=0,"",480-AA28)</f>
        <v>480</v>
      </c>
      <c r="AB29" s="111">
        <f>IF('07_Calendario'!$E$29=0,"",480-AB28)</f>
        <v>480</v>
      </c>
      <c r="AC29" s="111">
        <f>IF('07_Calendario'!$E$30=0,"",480-AC28)</f>
        <v>480</v>
      </c>
      <c r="AD29" s="111">
        <f>IF('07_Calendario'!$E$31=0,"",480-AD28)</f>
        <v>480</v>
      </c>
      <c r="AE29" s="111">
        <f>IF('07_Calendario'!$E$32=0,"",480-AE28)</f>
        <v>480</v>
      </c>
      <c r="AF29" s="111">
        <f>IF('07_Calendario'!$E$33=0,"",480-AF28)</f>
        <v>480</v>
      </c>
      <c r="AG29" s="111">
        <f>IF('07_Calendario'!$E$34=0,"",480-AG28)</f>
        <v>480</v>
      </c>
      <c r="AH29" s="111">
        <f>IF('07_Calendario'!$E$35=0,"",480-AH28)</f>
        <v>480</v>
      </c>
      <c r="AI29" s="111">
        <f>IF('07_Calendario'!$E$36=0,"",480-AI28)</f>
        <v>480</v>
      </c>
      <c r="AJ29" s="111" t="str">
        <f>IF('07_Calendario'!$E$37=0,"",480-AJ28)</f>
        <v/>
      </c>
      <c r="AK29" s="111">
        <f>IF('07_Calendario'!$E$38=0,"",480-AK28)</f>
        <v>480</v>
      </c>
      <c r="AL29" s="111">
        <f>IF('07_Calendario'!$E$39=0,"",480-AL28)</f>
        <v>480</v>
      </c>
      <c r="AM29" s="111">
        <f>IF('07_Calendario'!$E$40=0,"",480-AM28)</f>
        <v>480</v>
      </c>
      <c r="AN29" s="111">
        <f>IF('07_Calendario'!$E$41=0,"",480-AN28)</f>
        <v>480</v>
      </c>
      <c r="AO29" s="111">
        <f>IF('07_Calendario'!$E$42=0,"",480-AO28)</f>
        <v>480</v>
      </c>
      <c r="AP29" s="111">
        <f>IF('07_Calendario'!$E$43=0,"",480-AP28)</f>
        <v>480</v>
      </c>
      <c r="AQ29" s="111">
        <f>IF('07_Calendario'!$E$44=0,"",480-AQ28)</f>
        <v>480</v>
      </c>
      <c r="AR29" s="111">
        <f>IF('07_Calendario'!$E$45=0,"",480-AR28)</f>
        <v>480</v>
      </c>
      <c r="AS29" s="111">
        <f>IF('07_Calendario'!$E$46=0,"",480-AS28)</f>
        <v>480</v>
      </c>
      <c r="AT29" s="111">
        <f>IF('07_Calendario'!$E$47=0,"",480-AT28)</f>
        <v>480</v>
      </c>
      <c r="AU29" s="111">
        <f>IF('07_Calendario'!$E$48=0,"",480-AU28)</f>
        <v>480</v>
      </c>
      <c r="AV29" s="111">
        <f>IF('07_Calendario'!$E$49=0,"",480-AV28)</f>
        <v>480</v>
      </c>
      <c r="AW29" s="111">
        <f>IF('07_Calendario'!$E$50=0,"",480-AW28)</f>
        <v>480</v>
      </c>
      <c r="AX29" s="111">
        <f>IF('07_Calendario'!$E$51=0,"",480-AX28)</f>
        <v>480</v>
      </c>
      <c r="AY29" s="111">
        <f>IF('07_Calendario'!$E$52=0,"",480-AY28)</f>
        <v>480</v>
      </c>
      <c r="AZ29" s="111">
        <f>IF('07_Calendario'!$E$53=0,"",480-AZ28)</f>
        <v>480</v>
      </c>
      <c r="BA29" s="111">
        <f>IF('07_Calendario'!$E$54=0,"",480-BA28)</f>
        <v>480</v>
      </c>
      <c r="BB29" s="111" t="str">
        <f>IF('07_Calendario'!$E$55=0,"",480-BB28)</f>
        <v/>
      </c>
      <c r="BC29" s="111">
        <f>IF('07_Calendario'!$E$56=0,"",480-BC28)</f>
        <v>480</v>
      </c>
      <c r="BD29" s="111">
        <f>IF('07_Calendario'!$E$57=0,"",480-BD28)</f>
        <v>480</v>
      </c>
      <c r="BE29" s="111">
        <f>IF('07_Calendario'!$E$58=0,"",480-BE28)</f>
        <v>480</v>
      </c>
      <c r="BF29" s="111">
        <f>IF('07_Calendario'!$E$59=0,"",480-BF28)</f>
        <v>480</v>
      </c>
      <c r="BG29" s="111">
        <f>IF('07_Calendario'!$E$60=0,"",480-BG28)</f>
        <v>480</v>
      </c>
      <c r="BH29" s="111">
        <f>IF('07_Calendario'!$E$61=0,"",480-BH28)</f>
        <v>480</v>
      </c>
      <c r="BI29" s="111">
        <f>IF('07_Calendario'!$E$62=0,"",480-BI28)</f>
        <v>480</v>
      </c>
      <c r="BJ29" s="111">
        <f>IF('07_Calendario'!$E$63=0,"",480-BJ28)</f>
        <v>480</v>
      </c>
      <c r="BK29" s="111">
        <f>IF('07_Calendario'!$E$64=0,"",480-BK28)</f>
        <v>480</v>
      </c>
      <c r="BL29" s="111">
        <f>IF('07_Calendario'!$E$65=0,"",480-BL28)</f>
        <v>480</v>
      </c>
      <c r="BM29" s="111">
        <f>IF('07_Calendario'!$E$66=0,"",480-BM28)</f>
        <v>480</v>
      </c>
      <c r="BN29" s="111">
        <f>IF('07_Calendario'!$E$67=0,"",480-BN28)</f>
        <v>480</v>
      </c>
      <c r="BO29" s="111">
        <f>IF('07_Calendario'!$E$68=0,"",480-BO28)</f>
        <v>480</v>
      </c>
      <c r="BP29" s="111">
        <f>IF('07_Calendario'!$E$69=0,"",480-BP28)</f>
        <v>480</v>
      </c>
      <c r="BQ29" s="111">
        <f>IF('07_Calendario'!$E$70=0,"",480-BQ28)</f>
        <v>480</v>
      </c>
      <c r="BR29" s="111">
        <f>IF('07_Calendario'!$E$71=0,"",480-BR28)</f>
        <v>480</v>
      </c>
      <c r="BS29" s="111">
        <f>IF('07_Calendario'!$E$72=0,"",480-BS28)</f>
        <v>480</v>
      </c>
      <c r="BT29" s="111" t="str">
        <f>IF('07_Calendario'!$E$73=0,"",480-BT28)</f>
        <v/>
      </c>
      <c r="BU29" s="111">
        <f>IF('07_Calendario'!$E$74=0,"",480-BU28)</f>
        <v>480</v>
      </c>
      <c r="BV29" s="111">
        <f>IF('07_Calendario'!$E$75=0,"",480-BV28)</f>
        <v>480</v>
      </c>
      <c r="BW29" s="111">
        <f>IF('07_Calendario'!$E$76=0,"",480-BW28)</f>
        <v>480</v>
      </c>
      <c r="BX29" s="111">
        <f>IF('07_Calendario'!$E$77=0,"",480-BX28)</f>
        <v>480</v>
      </c>
      <c r="BY29" s="111">
        <f>IF('07_Calendario'!$E$78=0,"",480-BY28)</f>
        <v>480</v>
      </c>
      <c r="BZ29" s="111">
        <f>IF('07_Calendario'!$E$79=0,"",480-BZ28)</f>
        <v>480</v>
      </c>
      <c r="CA29" s="111">
        <f>IF('07_Calendario'!$E$80=0,"",480-CA28)</f>
        <v>480</v>
      </c>
      <c r="CB29" s="111">
        <f>IF('07_Calendario'!$E$81=0,"",480-CB28)</f>
        <v>480</v>
      </c>
      <c r="CC29" s="111">
        <f>IF('07_Calendario'!$E$82=0,"",480-CC28)</f>
        <v>480</v>
      </c>
      <c r="CD29" s="18">
        <f>SUM($D29:$CC29)</f>
        <v>6860.3746156899979</v>
      </c>
    </row>
    <row r="30" spans="1:84" x14ac:dyDescent="0.2">
      <c r="A30" s="134" t="s">
        <v>268</v>
      </c>
      <c r="B30" s="135"/>
      <c r="C30" s="135"/>
      <c r="D30" s="52">
        <f>IF('07_Calendario'!$E$5=0,"",D28/480)</f>
        <v>15.428691943958334</v>
      </c>
      <c r="E30" s="52">
        <f>IF('07_Calendario'!$E$6=0,"",E28/480)</f>
        <v>10.0381327213125</v>
      </c>
      <c r="F30" s="52">
        <f>IF('07_Calendario'!$E$7=0,"",F28/480)</f>
        <v>6.2550263605208327</v>
      </c>
      <c r="G30" s="52">
        <f>IF('07_Calendario'!$E$8=0,"",G28/480)</f>
        <v>3.6980931254583336</v>
      </c>
      <c r="H30" s="52">
        <f>IF('07_Calendario'!$E$9=0,"",H28/480)</f>
        <v>3</v>
      </c>
      <c r="I30" s="52">
        <f>IF('07_Calendario'!$E$10=0,"",I28/480)</f>
        <v>3</v>
      </c>
      <c r="J30" s="52">
        <f>IF('07_Calendario'!$E$11=0,"",J28/480)</f>
        <v>2.2937062937083335</v>
      </c>
      <c r="K30" s="52">
        <f>IF('07_Calendario'!$E$12=0,"",K28/480)</f>
        <v>2</v>
      </c>
      <c r="L30" s="52">
        <f>IF('07_Calendario'!$E$13=0,"",L28/480)</f>
        <v>2</v>
      </c>
      <c r="M30" s="52">
        <f>IF('07_Calendario'!$E$14=0,"",M28/480)</f>
        <v>2</v>
      </c>
      <c r="N30" s="52">
        <f>IF('07_Calendario'!$E$15=0,"",N28/480)</f>
        <v>2</v>
      </c>
      <c r="O30" s="52">
        <f>IF('07_Calendario'!$E$16=0,"",O28/480)</f>
        <v>2</v>
      </c>
      <c r="P30" s="52">
        <f>IF('07_Calendario'!$E$17=0,"",P28/480)</f>
        <v>2</v>
      </c>
      <c r="Q30" s="52">
        <f>IF('07_Calendario'!$E$18=0,"",Q28/480)</f>
        <v>1.9939024390208333</v>
      </c>
      <c r="R30" s="52" t="str">
        <f>IF('07_Calendario'!$E$19=0,"",R28/480)</f>
        <v/>
      </c>
      <c r="S30" s="52">
        <f>IF('07_Calendario'!$E$20=0,"",S28/480)</f>
        <v>1</v>
      </c>
      <c r="T30" s="52">
        <f>IF('07_Calendario'!$E$21=0,"",T28/480)</f>
        <v>1</v>
      </c>
      <c r="U30" s="52">
        <f>IF('07_Calendario'!$E$22=0,"",U28/480)</f>
        <v>0</v>
      </c>
      <c r="V30" s="52">
        <f>IF('07_Calendario'!$E$23=0,"",V28/480)</f>
        <v>0</v>
      </c>
      <c r="W30" s="52">
        <f>IF('07_Calendario'!$E$24=0,"",W28/480)</f>
        <v>0</v>
      </c>
      <c r="X30" s="52">
        <f>IF('07_Calendario'!$E$25=0,"",X28/480)</f>
        <v>0</v>
      </c>
      <c r="Y30" s="52">
        <f>IF('07_Calendario'!$E$26=0,"",Y28/480)</f>
        <v>0</v>
      </c>
      <c r="Z30" s="52">
        <f>IF('07_Calendario'!$E$27=0,"",Z28/480)</f>
        <v>0</v>
      </c>
      <c r="AA30" s="52">
        <f>IF('07_Calendario'!$E$28=0,"",AA28/480)</f>
        <v>0</v>
      </c>
      <c r="AB30" s="52">
        <f>IF('07_Calendario'!$E$29=0,"",AB28/480)</f>
        <v>0</v>
      </c>
      <c r="AC30" s="52">
        <f>IF('07_Calendario'!$E$30=0,"",AC28/480)</f>
        <v>0</v>
      </c>
      <c r="AD30" s="52">
        <f>IF('07_Calendario'!$E$31=0,"",AD28/480)</f>
        <v>0</v>
      </c>
      <c r="AE30" s="52">
        <f>IF('07_Calendario'!$E$32=0,"",AE28/480)</f>
        <v>0</v>
      </c>
      <c r="AF30" s="52">
        <f>IF('07_Calendario'!$E$33=0,"",AF28/480)</f>
        <v>0</v>
      </c>
      <c r="AG30" s="52">
        <f>IF('07_Calendario'!$E$34=0,"",AG28/480)</f>
        <v>0</v>
      </c>
      <c r="AH30" s="52">
        <f>IF('07_Calendario'!$E$35=0,"",AH28/480)</f>
        <v>0</v>
      </c>
      <c r="AI30" s="52">
        <f>IF('07_Calendario'!$E$36=0,"",AI28/480)</f>
        <v>0</v>
      </c>
      <c r="AJ30" s="52" t="str">
        <f>IF('07_Calendario'!$E$37=0,"",AJ28/480)</f>
        <v/>
      </c>
      <c r="AK30" s="52">
        <f>IF('07_Calendario'!$E$38=0,"",AK28/480)</f>
        <v>0</v>
      </c>
      <c r="AL30" s="52">
        <f>IF('07_Calendario'!$E$39=0,"",AL28/480)</f>
        <v>0</v>
      </c>
      <c r="AM30" s="52">
        <f>IF('07_Calendario'!$E$40=0,"",AM28/480)</f>
        <v>0</v>
      </c>
      <c r="AN30" s="52">
        <f>IF('07_Calendario'!$E$41=0,"",AN28/480)</f>
        <v>0</v>
      </c>
      <c r="AO30" s="52">
        <f>IF('07_Calendario'!$E$42=0,"",AO28/480)</f>
        <v>0</v>
      </c>
      <c r="AP30" s="52">
        <f>IF('07_Calendario'!$E$43=0,"",AP28/480)</f>
        <v>0</v>
      </c>
      <c r="AQ30" s="52">
        <f>IF('07_Calendario'!$E$44=0,"",AQ28/480)</f>
        <v>0</v>
      </c>
      <c r="AR30" s="52">
        <f>IF('07_Calendario'!$E$45=0,"",AR28/480)</f>
        <v>0</v>
      </c>
      <c r="AS30" s="52">
        <f>IF('07_Calendario'!$E$46=0,"",AS28/480)</f>
        <v>0</v>
      </c>
      <c r="AT30" s="52">
        <f>IF('07_Calendario'!$E$47=0,"",AT28/480)</f>
        <v>0</v>
      </c>
      <c r="AU30" s="52">
        <f>IF('07_Calendario'!$E$48=0,"",AU28/480)</f>
        <v>0</v>
      </c>
      <c r="AV30" s="52">
        <f>IF('07_Calendario'!$E$49=0,"",AV28/480)</f>
        <v>0</v>
      </c>
      <c r="AW30" s="52">
        <f>IF('07_Calendario'!$E$50=0,"",AW28/480)</f>
        <v>0</v>
      </c>
      <c r="AX30" s="52">
        <f>IF('07_Calendario'!$E$51=0,"",AX28/480)</f>
        <v>0</v>
      </c>
      <c r="AY30" s="52">
        <f>IF('07_Calendario'!$E$52=0,"",AY28/480)</f>
        <v>0</v>
      </c>
      <c r="AZ30" s="52">
        <f>IF('07_Calendario'!$E$53=0,"",AZ28/480)</f>
        <v>0</v>
      </c>
      <c r="BA30" s="52">
        <f>IF('07_Calendario'!$E$54=0,"",BA28/480)</f>
        <v>0</v>
      </c>
      <c r="BB30" s="52" t="str">
        <f>IF('07_Calendario'!$E$55=0,"",BB28/480)</f>
        <v/>
      </c>
      <c r="BC30" s="52">
        <f>IF('07_Calendario'!$E$56=0,"",BC28/480)</f>
        <v>0</v>
      </c>
      <c r="BD30" s="52">
        <f>IF('07_Calendario'!$E$57=0,"",BD28/480)</f>
        <v>0</v>
      </c>
      <c r="BE30" s="52">
        <f>IF('07_Calendario'!$E$58=0,"",BE28/480)</f>
        <v>0</v>
      </c>
      <c r="BF30" s="52">
        <f>IF('07_Calendario'!$E$59=0,"",BF28/480)</f>
        <v>0</v>
      </c>
      <c r="BG30" s="52">
        <f>IF('07_Calendario'!$E$60=0,"",BG28/480)</f>
        <v>0</v>
      </c>
      <c r="BH30" s="52">
        <f>IF('07_Calendario'!$E$61=0,"",BH28/480)</f>
        <v>0</v>
      </c>
      <c r="BI30" s="52">
        <f>IF('07_Calendario'!$E$62=0,"",BI28/480)</f>
        <v>0</v>
      </c>
      <c r="BJ30" s="52">
        <f>IF('07_Calendario'!$E$63=0,"",BJ28/480)</f>
        <v>0</v>
      </c>
      <c r="BK30" s="52">
        <f>IF('07_Calendario'!$E$64=0,"",BK28/480)</f>
        <v>0</v>
      </c>
      <c r="BL30" s="52">
        <f>IF('07_Calendario'!$E$65=0,"",BL28/480)</f>
        <v>0</v>
      </c>
      <c r="BM30" s="52">
        <f>IF('07_Calendario'!$E$66=0,"",BM28/480)</f>
        <v>0</v>
      </c>
      <c r="BN30" s="52">
        <f>IF('07_Calendario'!$E$67=0,"",BN28/480)</f>
        <v>0</v>
      </c>
      <c r="BO30" s="52">
        <f>IF('07_Calendario'!$E$68=0,"",BO28/480)</f>
        <v>0</v>
      </c>
      <c r="BP30" s="52">
        <f>IF('07_Calendario'!$E$69=0,"",BP28/480)</f>
        <v>0</v>
      </c>
      <c r="BQ30" s="52">
        <f>IF('07_Calendario'!$E$70=0,"",BQ28/480)</f>
        <v>0</v>
      </c>
      <c r="BR30" s="52">
        <f>IF('07_Calendario'!$E$71=0,"",BR28/480)</f>
        <v>0</v>
      </c>
      <c r="BS30" s="52">
        <f>IF('07_Calendario'!$E$72=0,"",BS28/480)</f>
        <v>0</v>
      </c>
      <c r="BT30" s="52" t="str">
        <f>IF('07_Calendario'!$E$73=0,"",BT28/480)</f>
        <v/>
      </c>
      <c r="BU30" s="52">
        <f>IF('07_Calendario'!$E$74=0,"",BU28/480)</f>
        <v>0</v>
      </c>
      <c r="BV30" s="52">
        <f>IF('07_Calendario'!$E$75=0,"",BV28/480)</f>
        <v>0</v>
      </c>
      <c r="BW30" s="52">
        <f>IF('07_Calendario'!$E$76=0,"",BW28/480)</f>
        <v>0</v>
      </c>
      <c r="BX30" s="52">
        <f>IF('07_Calendario'!$E$77=0,"",BX28/480)</f>
        <v>0</v>
      </c>
      <c r="BY30" s="52">
        <f>IF('07_Calendario'!$E$78=0,"",BY28/480)</f>
        <v>0</v>
      </c>
      <c r="BZ30" s="52">
        <f>IF('07_Calendario'!$E$79=0,"",BZ28/480)</f>
        <v>0</v>
      </c>
      <c r="CA30" s="52">
        <f>IF('07_Calendario'!$E$80=0,"",CA28/480)</f>
        <v>0</v>
      </c>
      <c r="CB30" s="52">
        <f>IF('07_Calendario'!$E$81=0,"",CB28/480)</f>
        <v>0</v>
      </c>
      <c r="CC30" s="52">
        <f>IF('07_Calendario'!$E$82=0,"",CC28/480)</f>
        <v>0</v>
      </c>
      <c r="CD30" s="53">
        <f>IFERROR(CD28/'07_Calendario'!$D$86,0)</f>
        <v>0.80685882275647525</v>
      </c>
    </row>
  </sheetData>
  <mergeCells count="61">
    <mergeCell ref="A27:C27"/>
    <mergeCell ref="AW5:AY5"/>
    <mergeCell ref="J4:L4"/>
    <mergeCell ref="AT4:AV4"/>
    <mergeCell ref="AZ4:BB4"/>
    <mergeCell ref="A25:C25"/>
    <mergeCell ref="Y5:AA5"/>
    <mergeCell ref="AT5:AV5"/>
    <mergeCell ref="AZ5:BB5"/>
    <mergeCell ref="C4:C5"/>
    <mergeCell ref="AK5:AM5"/>
    <mergeCell ref="A26:C26"/>
    <mergeCell ref="BF4:BH4"/>
    <mergeCell ref="AQ5:AS5"/>
    <mergeCell ref="G5:I5"/>
    <mergeCell ref="D4:F4"/>
    <mergeCell ref="BC5:BE5"/>
    <mergeCell ref="A29:C29"/>
    <mergeCell ref="BC4:BE4"/>
    <mergeCell ref="A28:C28"/>
    <mergeCell ref="BU4:BW4"/>
    <mergeCell ref="S5:U5"/>
    <mergeCell ref="AE5:AG5"/>
    <mergeCell ref="D5:F5"/>
    <mergeCell ref="P5:R5"/>
    <mergeCell ref="A4:A5"/>
    <mergeCell ref="M4:O4"/>
    <mergeCell ref="S4:U4"/>
    <mergeCell ref="BF5:BH5"/>
    <mergeCell ref="BU5:BW5"/>
    <mergeCell ref="G4:I4"/>
    <mergeCell ref="BR4:BT4"/>
    <mergeCell ref="AQ4:AS4"/>
    <mergeCell ref="CA5:CC5"/>
    <mergeCell ref="BL5:BN5"/>
    <mergeCell ref="Y4:AA4"/>
    <mergeCell ref="AE4:AG4"/>
    <mergeCell ref="BR5:BT5"/>
    <mergeCell ref="AH4:AJ4"/>
    <mergeCell ref="AN4:AP4"/>
    <mergeCell ref="BX4:BZ4"/>
    <mergeCell ref="BI4:BK4"/>
    <mergeCell ref="BO5:BQ5"/>
    <mergeCell ref="BL4:BN4"/>
    <mergeCell ref="BI5:BK5"/>
    <mergeCell ref="A30:C30"/>
    <mergeCell ref="P4:R4"/>
    <mergeCell ref="BO4:BQ4"/>
    <mergeCell ref="CA4:CC4"/>
    <mergeCell ref="J5:L5"/>
    <mergeCell ref="AB5:AD5"/>
    <mergeCell ref="B4:B5"/>
    <mergeCell ref="V5:X5"/>
    <mergeCell ref="AH5:AJ5"/>
    <mergeCell ref="AN5:AP5"/>
    <mergeCell ref="M5:O5"/>
    <mergeCell ref="BX5:BZ5"/>
    <mergeCell ref="AK4:AM4"/>
    <mergeCell ref="V4:X4"/>
    <mergeCell ref="AB4:AD4"/>
    <mergeCell ref="AW4:AY4"/>
  </mergeCells>
  <conditionalFormatting sqref="D7:CC23">
    <cfRule type="cellIs" dxfId="11" priority="1" operator="greaterThan">
      <formula>0</formula>
    </cfRule>
  </conditionalFormatting>
  <conditionalFormatting sqref="D7:CC30">
    <cfRule type="expression" priority="5">
      <formula>D$6=3</formula>
    </cfRule>
    <cfRule type="expression" priority="6">
      <formula>WEEKDAY(D$5,2)=6</formula>
    </cfRule>
  </conditionalFormatting>
  <conditionalFormatting sqref="D30:CC30">
    <cfRule type="colorScale" priority="4">
      <colorScale>
        <cfvo type="num" val="0"/>
        <cfvo type="num" val="1"/>
        <color rgb="FFFFFFFF"/>
        <color rgb="FF1E7B4F"/>
      </colorScale>
    </cfRule>
  </conditionalFormatting>
  <conditionalFormatting sqref="CF7:CF23">
    <cfRule type="cellIs" dxfId="10" priority="2" operator="equal">
      <formula>"OK"</formula>
    </cfRule>
    <cfRule type="cellIs" dxfId="9" priority="3" operator="equal">
      <formula>"DIF"</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A9DB"/>
  </sheetPr>
  <dimension ref="A1:N82"/>
  <sheetViews>
    <sheetView showGridLines="0" workbookViewId="0">
      <pane ySplit="4" topLeftCell="A5" activePane="bottomLeft" state="frozen"/>
      <selection pane="bottomLeft" activeCell="G29" sqref="G29"/>
    </sheetView>
  </sheetViews>
  <sheetFormatPr baseColWidth="10" defaultColWidth="8.83203125" defaultRowHeight="15" x14ac:dyDescent="0.2"/>
  <cols>
    <col min="1" max="1" width="8" customWidth="1"/>
    <col min="2" max="3" width="12" customWidth="1"/>
    <col min="4" max="4" width="8" customWidth="1"/>
    <col min="5" max="5" width="15" customWidth="1"/>
    <col min="6" max="6" width="10" customWidth="1"/>
    <col min="7" max="7" width="36" customWidth="1"/>
    <col min="8" max="8" width="8" customWidth="1"/>
    <col min="9" max="13" width="12" customWidth="1"/>
    <col min="14" max="14" width="11" customWidth="1"/>
  </cols>
  <sheetData>
    <row r="1" spans="1:14" ht="26" customHeight="1" x14ac:dyDescent="0.3">
      <c r="A1" s="1" t="s">
        <v>269</v>
      </c>
    </row>
    <row r="2" spans="1:14" x14ac:dyDescent="0.2">
      <c r="A2" s="143" t="s">
        <v>438</v>
      </c>
    </row>
    <row r="4" spans="1:14" ht="32" customHeight="1" x14ac:dyDescent="0.2">
      <c r="A4" s="9" t="s">
        <v>270</v>
      </c>
      <c r="B4" s="9" t="s">
        <v>249</v>
      </c>
      <c r="C4" s="9" t="s">
        <v>250</v>
      </c>
      <c r="D4" s="9" t="s">
        <v>271</v>
      </c>
      <c r="E4" s="9" t="s">
        <v>272</v>
      </c>
      <c r="F4" s="9" t="s">
        <v>273</v>
      </c>
      <c r="G4" s="9" t="s">
        <v>71</v>
      </c>
      <c r="H4" s="9" t="s">
        <v>274</v>
      </c>
      <c r="I4" s="9" t="s">
        <v>275</v>
      </c>
      <c r="J4" s="9" t="s">
        <v>276</v>
      </c>
      <c r="K4" s="9" t="s">
        <v>277</v>
      </c>
      <c r="L4" s="9" t="s">
        <v>278</v>
      </c>
      <c r="M4" s="9" t="s">
        <v>279</v>
      </c>
      <c r="N4" s="9" t="s">
        <v>280</v>
      </c>
    </row>
    <row r="5" spans="1:14" x14ac:dyDescent="0.2">
      <c r="A5" s="46">
        <f>'07_Calendario'!$F$5</f>
        <v>1</v>
      </c>
      <c r="B5" s="54">
        <f>'07_Calendario'!$B$5</f>
        <v>46266</v>
      </c>
      <c r="C5" s="46" t="str">
        <f>'07_Calendario'!$C$5</f>
        <v>Martes</v>
      </c>
      <c r="D5" s="46">
        <f>'07_Calendario'!$D$5</f>
        <v>1</v>
      </c>
      <c r="E5" s="46" t="str">
        <f>IF('07_Calendario'!$E$5=0,"No operativo",IF(H5&gt;0,"Producción",IF(K5&gt;0,"Cambio","Libre")))</f>
        <v>Producción</v>
      </c>
      <c r="F5" s="46">
        <f>IF(H5=0,"—",INDEX('08_PLAN_MAESTRO'!$A$7:$A$23,MATCH(MAX('08_PLAN_MAESTRO'!D$7:D$23),'08_PLAN_MAESTRO'!D$7:D$23,0)))</f>
        <v>6639</v>
      </c>
      <c r="G5" s="55" t="str">
        <f>IFERROR(INDEX('02_Datos_Maestros'!$B$5:$B$21,MATCH($F5,'02_Datos_Maestros'!$A$5:$A$21,0)),"—")</f>
        <v>SALSA BARBECUE (12DP/1/400g)</v>
      </c>
      <c r="H5" s="46">
        <f>COUNTIF('08_PLAN_MAESTRO'!D$7:D$23,"&gt;0")</f>
        <v>17</v>
      </c>
      <c r="I5" s="56">
        <f>IFERROR('08_PLAN_MAESTRO'!D$25,0)</f>
        <v>24494</v>
      </c>
      <c r="J5" s="56">
        <f>IFERROR('08_PLAN_MAESTRO'!D$26,0)</f>
        <v>6565.7721330977083</v>
      </c>
      <c r="K5" s="56">
        <f>IFERROR('08_PLAN_MAESTRO'!D$27,0)</f>
        <v>840</v>
      </c>
      <c r="L5" s="56">
        <f>IFERROR('08_PLAN_MAESTRO'!D$28,0)</f>
        <v>7405.7721331000002</v>
      </c>
      <c r="M5" s="56">
        <f>IFERROR('08_PLAN_MAESTRO'!D$29,0)</f>
        <v>-6925.7721331000002</v>
      </c>
      <c r="N5" s="57">
        <f>IFERROR('08_PLAN_MAESTRO'!D$30,0)</f>
        <v>15.428691943958334</v>
      </c>
    </row>
    <row r="6" spans="1:14" x14ac:dyDescent="0.2">
      <c r="A6" s="46">
        <f>'07_Calendario'!$F$6</f>
        <v>2</v>
      </c>
      <c r="B6" s="54">
        <f>'07_Calendario'!$B$6</f>
        <v>46266</v>
      </c>
      <c r="C6" s="46" t="str">
        <f>'07_Calendario'!$C$6</f>
        <v>Martes</v>
      </c>
      <c r="D6" s="46">
        <f>'07_Calendario'!$D$6</f>
        <v>2</v>
      </c>
      <c r="E6" s="46" t="str">
        <f>IF('07_Calendario'!$E$6=0,"No operativo",IF(H6&gt;0,"Producción",IF(K6&gt;0,"Cambio","Libre")))</f>
        <v>Producción</v>
      </c>
      <c r="F6" s="46">
        <f>IF(H6=0,"—",INDEX('08_PLAN_MAESTRO'!$A$7:$A$23,MATCH(MAX('08_PLAN_MAESTRO'!E$7:E$23),'08_PLAN_MAESTRO'!E$7:E$23,0)))</f>
        <v>3278</v>
      </c>
      <c r="G6" s="55" t="str">
        <f>IFERROR(INDEX('02_Datos_Maestros'!$B$5:$B$21,MATCH($F6,'02_Datos_Maestros'!$A$5:$A$21,0)),"—")</f>
        <v>SALSA MAYONESA (12DP/1/380g)</v>
      </c>
      <c r="H6" s="46">
        <f>COUNTIF('08_PLAN_MAESTRO'!E$7:E$23,"&gt;0")</f>
        <v>12</v>
      </c>
      <c r="I6" s="56">
        <f>IFERROR('08_PLAN_MAESTRO'!E$25,0)</f>
        <v>16483</v>
      </c>
      <c r="J6" s="56">
        <f>IFERROR('08_PLAN_MAESTRO'!E$26,0)</f>
        <v>4818.3037062307831</v>
      </c>
      <c r="K6" s="56">
        <f>IFERROR('08_PLAN_MAESTRO'!E$27,0)</f>
        <v>0</v>
      </c>
      <c r="L6" s="56">
        <f>IFERROR('08_PLAN_MAESTRO'!E$28,0)</f>
        <v>4818.30370623</v>
      </c>
      <c r="M6" s="56">
        <f>IFERROR('08_PLAN_MAESTRO'!E$29,0)</f>
        <v>-4338.30370623</v>
      </c>
      <c r="N6" s="57">
        <f>IFERROR('08_PLAN_MAESTRO'!E$30,0)</f>
        <v>10.0381327213125</v>
      </c>
    </row>
    <row r="7" spans="1:14" x14ac:dyDescent="0.2">
      <c r="A7" s="46">
        <f>'07_Calendario'!$F$7</f>
        <v>3</v>
      </c>
      <c r="B7" s="54">
        <f>'07_Calendario'!$B$7</f>
        <v>46266</v>
      </c>
      <c r="C7" s="46" t="str">
        <f>'07_Calendario'!$C$7</f>
        <v>Martes</v>
      </c>
      <c r="D7" s="46">
        <f>'07_Calendario'!$D$7</f>
        <v>3</v>
      </c>
      <c r="E7" s="46" t="str">
        <f>IF('07_Calendario'!$E$7=0,"No operativo",IF(H7&gt;0,"Producción",IF(K7&gt;0,"Cambio","Libre")))</f>
        <v>Producción</v>
      </c>
      <c r="F7" s="46">
        <f>IF(H7=0,"—",INDEX('08_PLAN_MAESTRO'!$A$7:$A$23,MATCH(MAX('08_PLAN_MAESTRO'!F$7:F$23),'08_PLAN_MAESTRO'!F$7:F$23,0)))</f>
        <v>3278</v>
      </c>
      <c r="G7" s="55" t="str">
        <f>IFERROR(INDEX('02_Datos_Maestros'!$B$5:$B$21,MATCH($F7,'02_Datos_Maestros'!$A$5:$A$21,0)),"—")</f>
        <v>SALSA MAYONESA (12DP/1/380g)</v>
      </c>
      <c r="H7" s="46">
        <f>COUNTIF('08_PLAN_MAESTRO'!F$7:F$23,"&gt;0")</f>
        <v>8</v>
      </c>
      <c r="I7" s="56">
        <f>IFERROR('08_PLAN_MAESTRO'!F$25,0)</f>
        <v>8910</v>
      </c>
      <c r="J7" s="56">
        <f>IFERROR('08_PLAN_MAESTRO'!F$26,0)</f>
        <v>3002.4126530479689</v>
      </c>
      <c r="K7" s="56">
        <f>IFERROR('08_PLAN_MAESTRO'!F$27,0)</f>
        <v>0</v>
      </c>
      <c r="L7" s="56">
        <f>IFERROR('08_PLAN_MAESTRO'!F$28,0)</f>
        <v>3002.4126530499998</v>
      </c>
      <c r="M7" s="56">
        <f>IFERROR('08_PLAN_MAESTRO'!F$29,0)</f>
        <v>-2522.4126530499998</v>
      </c>
      <c r="N7" s="57">
        <f>IFERROR('08_PLAN_MAESTRO'!F$30,0)</f>
        <v>6.2550263605208327</v>
      </c>
    </row>
    <row r="8" spans="1:14" x14ac:dyDescent="0.2">
      <c r="A8" s="46">
        <f>'07_Calendario'!$F$8</f>
        <v>4</v>
      </c>
      <c r="B8" s="54">
        <f>'07_Calendario'!$B$8</f>
        <v>46267</v>
      </c>
      <c r="C8" s="46" t="str">
        <f>'07_Calendario'!$C$8</f>
        <v>Miércoles</v>
      </c>
      <c r="D8" s="46">
        <f>'07_Calendario'!$D$8</f>
        <v>1</v>
      </c>
      <c r="E8" s="46" t="str">
        <f>IF('07_Calendario'!$E$8=0,"No operativo",IF(H8&gt;0,"Producción",IF(K8&gt;0,"Cambio","Libre")))</f>
        <v>Producción</v>
      </c>
      <c r="F8" s="46">
        <f>IF(H8=0,"—",INDEX('08_PLAN_MAESTRO'!$A$7:$A$23,MATCH(MAX('08_PLAN_MAESTRO'!G$7:G$23),'08_PLAN_MAESTRO'!G$7:G$23,0)))</f>
        <v>5998</v>
      </c>
      <c r="G8" s="55" t="str">
        <f>IFERROR(INDEX('02_Datos_Maestros'!$B$5:$B$21,MATCH($F8,'02_Datos_Maestros'!$A$5:$A$21,0)),"—")</f>
        <v>SALSA DE TOMATE ZEV (20DP/1/500g)</v>
      </c>
      <c r="H8" s="46">
        <f>COUNTIF('08_PLAN_MAESTRO'!G$7:G$23,"&gt;0")</f>
        <v>5</v>
      </c>
      <c r="I8" s="56">
        <f>IFERROR('08_PLAN_MAESTRO'!G$25,0)</f>
        <v>4669</v>
      </c>
      <c r="J8" s="56">
        <f>IFERROR('08_PLAN_MAESTRO'!G$26,0)</f>
        <v>1775.0847002165585</v>
      </c>
      <c r="K8" s="56">
        <f>IFERROR('08_PLAN_MAESTRO'!G$27,0)</f>
        <v>0</v>
      </c>
      <c r="L8" s="56">
        <f>IFERROR('08_PLAN_MAESTRO'!G$28,0)</f>
        <v>1775.0847002200001</v>
      </c>
      <c r="M8" s="56">
        <f>IFERROR('08_PLAN_MAESTRO'!G$29,0)</f>
        <v>-1295.0847002200001</v>
      </c>
      <c r="N8" s="57">
        <f>IFERROR('08_PLAN_MAESTRO'!G$30,0)</f>
        <v>3.6980931254583336</v>
      </c>
    </row>
    <row r="9" spans="1:14" x14ac:dyDescent="0.2">
      <c r="A9" s="46">
        <f>'07_Calendario'!$F$9</f>
        <v>5</v>
      </c>
      <c r="B9" s="54">
        <f>'07_Calendario'!$B$9</f>
        <v>46267</v>
      </c>
      <c r="C9" s="46" t="str">
        <f>'07_Calendario'!$C$9</f>
        <v>Miércoles</v>
      </c>
      <c r="D9" s="46">
        <f>'07_Calendario'!$D$9</f>
        <v>2</v>
      </c>
      <c r="E9" s="46" t="str">
        <f>IF('07_Calendario'!$E$9=0,"No operativo",IF(H9&gt;0,"Producción",IF(K9&gt;0,"Cambio","Libre")))</f>
        <v>Producción</v>
      </c>
      <c r="F9" s="46">
        <f>IF(H9=0,"—",INDEX('08_PLAN_MAESTRO'!$A$7:$A$23,MATCH(MAX('08_PLAN_MAESTRO'!H$7:H$23),'08_PLAN_MAESTRO'!H$7:H$23,0)))</f>
        <v>5998</v>
      </c>
      <c r="G9" s="55" t="str">
        <f>IFERROR(INDEX('02_Datos_Maestros'!$B$5:$B$21,MATCH($F9,'02_Datos_Maestros'!$A$5:$A$21,0)),"—")</f>
        <v>SALSA DE TOMATE ZEV (20DP/1/500g)</v>
      </c>
      <c r="H9" s="46">
        <f>COUNTIF('08_PLAN_MAESTRO'!H$7:H$23,"&gt;0")</f>
        <v>3</v>
      </c>
      <c r="I9" s="56">
        <f>IFERROR('08_PLAN_MAESTRO'!H$25,0)</f>
        <v>3820</v>
      </c>
      <c r="J9" s="56">
        <f>IFERROR('08_PLAN_MAESTRO'!H$26,0)</f>
        <v>1440</v>
      </c>
      <c r="K9" s="56">
        <f>IFERROR('08_PLAN_MAESTRO'!H$27,0)</f>
        <v>0</v>
      </c>
      <c r="L9" s="56">
        <f>IFERROR('08_PLAN_MAESTRO'!H$28,0)</f>
        <v>1440</v>
      </c>
      <c r="M9" s="56">
        <f>IFERROR('08_PLAN_MAESTRO'!H$29,0)</f>
        <v>-960</v>
      </c>
      <c r="N9" s="57">
        <f>IFERROR('08_PLAN_MAESTRO'!H$30,0)</f>
        <v>3</v>
      </c>
    </row>
    <row r="10" spans="1:14" x14ac:dyDescent="0.2">
      <c r="A10" s="46">
        <f>'07_Calendario'!$F$10</f>
        <v>6</v>
      </c>
      <c r="B10" s="54">
        <f>'07_Calendario'!$B$10</f>
        <v>46267</v>
      </c>
      <c r="C10" s="46" t="str">
        <f>'07_Calendario'!$C$10</f>
        <v>Miércoles</v>
      </c>
      <c r="D10" s="46">
        <f>'07_Calendario'!$D$10</f>
        <v>3</v>
      </c>
      <c r="E10" s="46" t="str">
        <f>IF('07_Calendario'!$E$10=0,"No operativo",IF(H10&gt;0,"Producción",IF(K10&gt;0,"Cambio","Libre")))</f>
        <v>Producción</v>
      </c>
      <c r="F10" s="46">
        <f>IF(H10=0,"—",INDEX('08_PLAN_MAESTRO'!$A$7:$A$23,MATCH(MAX('08_PLAN_MAESTRO'!I$7:I$23),'08_PLAN_MAESTRO'!I$7:I$23,0)))</f>
        <v>5998</v>
      </c>
      <c r="G10" s="55" t="str">
        <f>IFERROR(INDEX('02_Datos_Maestros'!$B$5:$B$21,MATCH($F10,'02_Datos_Maestros'!$A$5:$A$21,0)),"—")</f>
        <v>SALSA DE TOMATE ZEV (20DP/1/500g)</v>
      </c>
      <c r="H10" s="46">
        <f>COUNTIF('08_PLAN_MAESTRO'!I$7:I$23,"&gt;0")</f>
        <v>3</v>
      </c>
      <c r="I10" s="56">
        <f>IFERROR('08_PLAN_MAESTRO'!I$25,0)</f>
        <v>3820</v>
      </c>
      <c r="J10" s="56">
        <f>IFERROR('08_PLAN_MAESTRO'!I$26,0)</f>
        <v>1440</v>
      </c>
      <c r="K10" s="56">
        <f>IFERROR('08_PLAN_MAESTRO'!I$27,0)</f>
        <v>0</v>
      </c>
      <c r="L10" s="56">
        <f>IFERROR('08_PLAN_MAESTRO'!I$28,0)</f>
        <v>1440</v>
      </c>
      <c r="M10" s="56">
        <f>IFERROR('08_PLAN_MAESTRO'!I$29,0)</f>
        <v>-960</v>
      </c>
      <c r="N10" s="57">
        <f>IFERROR('08_PLAN_MAESTRO'!I$30,0)</f>
        <v>3</v>
      </c>
    </row>
    <row r="11" spans="1:14" x14ac:dyDescent="0.2">
      <c r="A11" s="46">
        <f>'07_Calendario'!$F$11</f>
        <v>7</v>
      </c>
      <c r="B11" s="54">
        <f>'07_Calendario'!$B$11</f>
        <v>46268</v>
      </c>
      <c r="C11" s="46" t="str">
        <f>'07_Calendario'!$C$11</f>
        <v>Jueves</v>
      </c>
      <c r="D11" s="46">
        <f>'07_Calendario'!$D$11</f>
        <v>1</v>
      </c>
      <c r="E11" s="46" t="str">
        <f>IF('07_Calendario'!$E$11=0,"No operativo",IF(H11&gt;0,"Producción",IF(K11&gt;0,"Cambio","Libre")))</f>
        <v>Producción</v>
      </c>
      <c r="F11" s="46">
        <f>IF(H11=0,"—",INDEX('08_PLAN_MAESTRO'!$A$7:$A$23,MATCH(MAX('08_PLAN_MAESTRO'!J$7:J$23),'08_PLAN_MAESTRO'!J$7:J$23,0)))</f>
        <v>5998</v>
      </c>
      <c r="G11" s="55" t="str">
        <f>IFERROR(INDEX('02_Datos_Maestros'!$B$5:$B$21,MATCH($F11,'02_Datos_Maestros'!$A$5:$A$21,0)),"—")</f>
        <v>SALSA DE TOMATE ZEV (20DP/1/500g)</v>
      </c>
      <c r="H11" s="46">
        <f>COUNTIF('08_PLAN_MAESTRO'!J$7:J$23,"&gt;0")</f>
        <v>3</v>
      </c>
      <c r="I11" s="56">
        <f>IFERROR('08_PLAN_MAESTRO'!J$25,0)</f>
        <v>3012</v>
      </c>
      <c r="J11" s="56">
        <f>IFERROR('08_PLAN_MAESTRO'!J$26,0)</f>
        <v>1100.979020979021</v>
      </c>
      <c r="K11" s="56">
        <f>IFERROR('08_PLAN_MAESTRO'!J$27,0)</f>
        <v>0</v>
      </c>
      <c r="L11" s="56">
        <f>IFERROR('08_PLAN_MAESTRO'!J$28,0)</f>
        <v>1100.9790209800001</v>
      </c>
      <c r="M11" s="56">
        <f>IFERROR('08_PLAN_MAESTRO'!J$29,0)</f>
        <v>-620.97902098000009</v>
      </c>
      <c r="N11" s="57">
        <f>IFERROR('08_PLAN_MAESTRO'!J$30,0)</f>
        <v>2.2937062937083335</v>
      </c>
    </row>
    <row r="12" spans="1:14" x14ac:dyDescent="0.2">
      <c r="A12" s="46">
        <f>'07_Calendario'!$F$12</f>
        <v>8</v>
      </c>
      <c r="B12" s="54">
        <f>'07_Calendario'!$B$12</f>
        <v>46268</v>
      </c>
      <c r="C12" s="46" t="str">
        <f>'07_Calendario'!$C$12</f>
        <v>Jueves</v>
      </c>
      <c r="D12" s="46">
        <f>'07_Calendario'!$D$12</f>
        <v>2</v>
      </c>
      <c r="E12" s="46" t="str">
        <f>IF('07_Calendario'!$E$12=0,"No operativo",IF(H12&gt;0,"Producción",IF(K12&gt;0,"Cambio","Libre")))</f>
        <v>Producción</v>
      </c>
      <c r="F12" s="46">
        <f>IF(H12=0,"—",INDEX('08_PLAN_MAESTRO'!$A$7:$A$23,MATCH(MAX('08_PLAN_MAESTRO'!K$7:K$23),'08_PLAN_MAESTRO'!K$7:K$23,0)))</f>
        <v>5998</v>
      </c>
      <c r="G12" s="55" t="str">
        <f>IFERROR(INDEX('02_Datos_Maestros'!$B$5:$B$21,MATCH($F12,'02_Datos_Maestros'!$A$5:$A$21,0)),"—")</f>
        <v>SALSA DE TOMATE ZEV (20DP/1/500g)</v>
      </c>
      <c r="H12" s="46">
        <f>COUNTIF('08_PLAN_MAESTRO'!K$7:K$23,"&gt;0")</f>
        <v>2</v>
      </c>
      <c r="I12" s="56">
        <f>IFERROR('08_PLAN_MAESTRO'!K$25,0)</f>
        <v>2676</v>
      </c>
      <c r="J12" s="56">
        <f>IFERROR('08_PLAN_MAESTRO'!K$26,0)</f>
        <v>960</v>
      </c>
      <c r="K12" s="56">
        <f>IFERROR('08_PLAN_MAESTRO'!K$27,0)</f>
        <v>0</v>
      </c>
      <c r="L12" s="56">
        <f>IFERROR('08_PLAN_MAESTRO'!K$28,0)</f>
        <v>960</v>
      </c>
      <c r="M12" s="56">
        <f>IFERROR('08_PLAN_MAESTRO'!K$29,0)</f>
        <v>-480</v>
      </c>
      <c r="N12" s="57">
        <f>IFERROR('08_PLAN_MAESTRO'!K$30,0)</f>
        <v>2</v>
      </c>
    </row>
    <row r="13" spans="1:14" x14ac:dyDescent="0.2">
      <c r="A13" s="46">
        <f>'07_Calendario'!$F$13</f>
        <v>9</v>
      </c>
      <c r="B13" s="54">
        <f>'07_Calendario'!$B$13</f>
        <v>46268</v>
      </c>
      <c r="C13" s="46" t="str">
        <f>'07_Calendario'!$C$13</f>
        <v>Jueves</v>
      </c>
      <c r="D13" s="46">
        <f>'07_Calendario'!$D$13</f>
        <v>3</v>
      </c>
      <c r="E13" s="46" t="str">
        <f>IF('07_Calendario'!$E$13=0,"No operativo",IF(H13&gt;0,"Producción",IF(K13&gt;0,"Cambio","Libre")))</f>
        <v>Producción</v>
      </c>
      <c r="F13" s="46">
        <f>IF(H13=0,"—",INDEX('08_PLAN_MAESTRO'!$A$7:$A$23,MATCH(MAX('08_PLAN_MAESTRO'!L$7:L$23),'08_PLAN_MAESTRO'!L$7:L$23,0)))</f>
        <v>5998</v>
      </c>
      <c r="G13" s="55" t="str">
        <f>IFERROR(INDEX('02_Datos_Maestros'!$B$5:$B$21,MATCH($F13,'02_Datos_Maestros'!$A$5:$A$21,0)),"—")</f>
        <v>SALSA DE TOMATE ZEV (20DP/1/500g)</v>
      </c>
      <c r="H13" s="46">
        <f>COUNTIF('08_PLAN_MAESTRO'!L$7:L$23,"&gt;0")</f>
        <v>2</v>
      </c>
      <c r="I13" s="56">
        <f>IFERROR('08_PLAN_MAESTRO'!L$25,0)</f>
        <v>2676</v>
      </c>
      <c r="J13" s="56">
        <f>IFERROR('08_PLAN_MAESTRO'!L$26,0)</f>
        <v>960</v>
      </c>
      <c r="K13" s="56">
        <f>IFERROR('08_PLAN_MAESTRO'!L$27,0)</f>
        <v>0</v>
      </c>
      <c r="L13" s="56">
        <f>IFERROR('08_PLAN_MAESTRO'!L$28,0)</f>
        <v>960</v>
      </c>
      <c r="M13" s="56">
        <f>IFERROR('08_PLAN_MAESTRO'!L$29,0)</f>
        <v>-480</v>
      </c>
      <c r="N13" s="57">
        <f>IFERROR('08_PLAN_MAESTRO'!L$30,0)</f>
        <v>2</v>
      </c>
    </row>
    <row r="14" spans="1:14" x14ac:dyDescent="0.2">
      <c r="A14" s="46">
        <f>'07_Calendario'!$F$14</f>
        <v>10</v>
      </c>
      <c r="B14" s="54">
        <f>'07_Calendario'!$B$14</f>
        <v>46269</v>
      </c>
      <c r="C14" s="46" t="str">
        <f>'07_Calendario'!$C$14</f>
        <v>Viernes</v>
      </c>
      <c r="D14" s="46">
        <f>'07_Calendario'!$D$14</f>
        <v>1</v>
      </c>
      <c r="E14" s="46" t="str">
        <f>IF('07_Calendario'!$E$14=0,"No operativo",IF(H14&gt;0,"Producción",IF(K14&gt;0,"Cambio","Libre")))</f>
        <v>Producción</v>
      </c>
      <c r="F14" s="46">
        <f>IF(H14=0,"—",INDEX('08_PLAN_MAESTRO'!$A$7:$A$23,MATCH(MAX('08_PLAN_MAESTRO'!M$7:M$23),'08_PLAN_MAESTRO'!M$7:M$23,0)))</f>
        <v>5998</v>
      </c>
      <c r="G14" s="55" t="str">
        <f>IFERROR(INDEX('02_Datos_Maestros'!$B$5:$B$21,MATCH($F14,'02_Datos_Maestros'!$A$5:$A$21,0)),"—")</f>
        <v>SALSA DE TOMATE ZEV (20DP/1/500g)</v>
      </c>
      <c r="H14" s="46">
        <f>COUNTIF('08_PLAN_MAESTRO'!M$7:M$23,"&gt;0")</f>
        <v>2</v>
      </c>
      <c r="I14" s="56">
        <f>IFERROR('08_PLAN_MAESTRO'!M$25,0)</f>
        <v>2676</v>
      </c>
      <c r="J14" s="56">
        <f>IFERROR('08_PLAN_MAESTRO'!M$26,0)</f>
        <v>960</v>
      </c>
      <c r="K14" s="56">
        <f>IFERROR('08_PLAN_MAESTRO'!M$27,0)</f>
        <v>0</v>
      </c>
      <c r="L14" s="56">
        <f>IFERROR('08_PLAN_MAESTRO'!M$28,0)</f>
        <v>960</v>
      </c>
      <c r="M14" s="56">
        <f>IFERROR('08_PLAN_MAESTRO'!M$29,0)</f>
        <v>-480</v>
      </c>
      <c r="N14" s="57">
        <f>IFERROR('08_PLAN_MAESTRO'!M$30,0)</f>
        <v>2</v>
      </c>
    </row>
    <row r="15" spans="1:14" x14ac:dyDescent="0.2">
      <c r="A15" s="46">
        <f>'07_Calendario'!$F$15</f>
        <v>11</v>
      </c>
      <c r="B15" s="54">
        <f>'07_Calendario'!$B$15</f>
        <v>46269</v>
      </c>
      <c r="C15" s="46" t="str">
        <f>'07_Calendario'!$C$15</f>
        <v>Viernes</v>
      </c>
      <c r="D15" s="46">
        <f>'07_Calendario'!$D$15</f>
        <v>2</v>
      </c>
      <c r="E15" s="46" t="str">
        <f>IF('07_Calendario'!$E$15=0,"No operativo",IF(H15&gt;0,"Producción",IF(K15&gt;0,"Cambio","Libre")))</f>
        <v>Producción</v>
      </c>
      <c r="F15" s="46">
        <f>IF(H15=0,"—",INDEX('08_PLAN_MAESTRO'!$A$7:$A$23,MATCH(MAX('08_PLAN_MAESTRO'!N$7:N$23),'08_PLAN_MAESTRO'!N$7:N$23,0)))</f>
        <v>5998</v>
      </c>
      <c r="G15" s="55" t="str">
        <f>IFERROR(INDEX('02_Datos_Maestros'!$B$5:$B$21,MATCH($F15,'02_Datos_Maestros'!$A$5:$A$21,0)),"—")</f>
        <v>SALSA DE TOMATE ZEV (20DP/1/500g)</v>
      </c>
      <c r="H15" s="46">
        <f>COUNTIF('08_PLAN_MAESTRO'!N$7:N$23,"&gt;0")</f>
        <v>2</v>
      </c>
      <c r="I15" s="56">
        <f>IFERROR('08_PLAN_MAESTRO'!N$25,0)</f>
        <v>2676</v>
      </c>
      <c r="J15" s="56">
        <f>IFERROR('08_PLAN_MAESTRO'!N$26,0)</f>
        <v>960</v>
      </c>
      <c r="K15" s="56">
        <f>IFERROR('08_PLAN_MAESTRO'!N$27,0)</f>
        <v>0</v>
      </c>
      <c r="L15" s="56">
        <f>IFERROR('08_PLAN_MAESTRO'!N$28,0)</f>
        <v>960</v>
      </c>
      <c r="M15" s="56">
        <f>IFERROR('08_PLAN_MAESTRO'!N$29,0)</f>
        <v>-480</v>
      </c>
      <c r="N15" s="57">
        <f>IFERROR('08_PLAN_MAESTRO'!N$30,0)</f>
        <v>2</v>
      </c>
    </row>
    <row r="16" spans="1:14" x14ac:dyDescent="0.2">
      <c r="A16" s="46">
        <f>'07_Calendario'!$F$16</f>
        <v>12</v>
      </c>
      <c r="B16" s="54">
        <f>'07_Calendario'!$B$16</f>
        <v>46269</v>
      </c>
      <c r="C16" s="46" t="str">
        <f>'07_Calendario'!$C$16</f>
        <v>Viernes</v>
      </c>
      <c r="D16" s="46">
        <f>'07_Calendario'!$D$16</f>
        <v>3</v>
      </c>
      <c r="E16" s="46" t="str">
        <f>IF('07_Calendario'!$E$16=0,"No operativo",IF(H16&gt;0,"Producción",IF(K16&gt;0,"Cambio","Libre")))</f>
        <v>Producción</v>
      </c>
      <c r="F16" s="46">
        <f>IF(H16=0,"—",INDEX('08_PLAN_MAESTRO'!$A$7:$A$23,MATCH(MAX('08_PLAN_MAESTRO'!O$7:O$23),'08_PLAN_MAESTRO'!O$7:O$23,0)))</f>
        <v>5998</v>
      </c>
      <c r="G16" s="55" t="str">
        <f>IFERROR(INDEX('02_Datos_Maestros'!$B$5:$B$21,MATCH($F16,'02_Datos_Maestros'!$A$5:$A$21,0)),"—")</f>
        <v>SALSA DE TOMATE ZEV (20DP/1/500g)</v>
      </c>
      <c r="H16" s="46">
        <f>COUNTIF('08_PLAN_MAESTRO'!O$7:O$23,"&gt;0")</f>
        <v>2</v>
      </c>
      <c r="I16" s="56">
        <f>IFERROR('08_PLAN_MAESTRO'!O$25,0)</f>
        <v>2676</v>
      </c>
      <c r="J16" s="56">
        <f>IFERROR('08_PLAN_MAESTRO'!O$26,0)</f>
        <v>960</v>
      </c>
      <c r="K16" s="56">
        <f>IFERROR('08_PLAN_MAESTRO'!O$27,0)</f>
        <v>0</v>
      </c>
      <c r="L16" s="56">
        <f>IFERROR('08_PLAN_MAESTRO'!O$28,0)</f>
        <v>960</v>
      </c>
      <c r="M16" s="56">
        <f>IFERROR('08_PLAN_MAESTRO'!O$29,0)</f>
        <v>-480</v>
      </c>
      <c r="N16" s="57">
        <f>IFERROR('08_PLAN_MAESTRO'!O$30,0)</f>
        <v>2</v>
      </c>
    </row>
    <row r="17" spans="1:14" x14ac:dyDescent="0.2">
      <c r="A17" s="46">
        <f>'07_Calendario'!$F$17</f>
        <v>13</v>
      </c>
      <c r="B17" s="54">
        <f>'07_Calendario'!$B$17</f>
        <v>46270</v>
      </c>
      <c r="C17" s="46" t="str">
        <f>'07_Calendario'!$C$17</f>
        <v>Sábado</v>
      </c>
      <c r="D17" s="46">
        <f>'07_Calendario'!$D$17</f>
        <v>1</v>
      </c>
      <c r="E17" s="46" t="str">
        <f>IF('07_Calendario'!$E$17=0,"No operativo",IF(H17&gt;0,"Producción",IF(K17&gt;0,"Cambio","Libre")))</f>
        <v>Producción</v>
      </c>
      <c r="F17" s="46">
        <f>IF(H17=0,"—",INDEX('08_PLAN_MAESTRO'!$A$7:$A$23,MATCH(MAX('08_PLAN_MAESTRO'!P$7:P$23),'08_PLAN_MAESTRO'!P$7:P$23,0)))</f>
        <v>5998</v>
      </c>
      <c r="G17" s="55" t="str">
        <f>IFERROR(INDEX('02_Datos_Maestros'!$B$5:$B$21,MATCH($F17,'02_Datos_Maestros'!$A$5:$A$21,0)),"—")</f>
        <v>SALSA DE TOMATE ZEV (20DP/1/500g)</v>
      </c>
      <c r="H17" s="46">
        <f>COUNTIF('08_PLAN_MAESTRO'!P$7:P$23,"&gt;0")</f>
        <v>2</v>
      </c>
      <c r="I17" s="56">
        <f>IFERROR('08_PLAN_MAESTRO'!P$25,0)</f>
        <v>2676</v>
      </c>
      <c r="J17" s="56">
        <f>IFERROR('08_PLAN_MAESTRO'!P$26,0)</f>
        <v>960</v>
      </c>
      <c r="K17" s="56">
        <f>IFERROR('08_PLAN_MAESTRO'!P$27,0)</f>
        <v>0</v>
      </c>
      <c r="L17" s="56">
        <f>IFERROR('08_PLAN_MAESTRO'!P$28,0)</f>
        <v>960</v>
      </c>
      <c r="M17" s="56">
        <f>IFERROR('08_PLAN_MAESTRO'!P$29,0)</f>
        <v>-480</v>
      </c>
      <c r="N17" s="57">
        <f>IFERROR('08_PLAN_MAESTRO'!P$30,0)</f>
        <v>2</v>
      </c>
    </row>
    <row r="18" spans="1:14" x14ac:dyDescent="0.2">
      <c r="A18" s="46">
        <f>'07_Calendario'!$F$18</f>
        <v>14</v>
      </c>
      <c r="B18" s="54">
        <f>'07_Calendario'!$B$18</f>
        <v>46270</v>
      </c>
      <c r="C18" s="46" t="str">
        <f>'07_Calendario'!$C$18</f>
        <v>Sábado</v>
      </c>
      <c r="D18" s="46">
        <f>'07_Calendario'!$D$18</f>
        <v>2</v>
      </c>
      <c r="E18" s="46" t="str">
        <f>IF('07_Calendario'!$E$18=0,"No operativo",IF(H18&gt;0,"Producción",IF(K18&gt;0,"Cambio","Libre")))</f>
        <v>Producción</v>
      </c>
      <c r="F18" s="46">
        <f>IF(H18=0,"—",INDEX('08_PLAN_MAESTRO'!$A$7:$A$23,MATCH(MAX('08_PLAN_MAESTRO'!Q$7:Q$23),'08_PLAN_MAESTRO'!Q$7:Q$23,0)))</f>
        <v>5998</v>
      </c>
      <c r="G18" s="55" t="str">
        <f>IFERROR(INDEX('02_Datos_Maestros'!$B$5:$B$21,MATCH($F18,'02_Datos_Maestros'!$A$5:$A$21,0)),"—")</f>
        <v>SALSA DE TOMATE ZEV (20DP/1/500g)</v>
      </c>
      <c r="H18" s="46">
        <f>COUNTIF('08_PLAN_MAESTRO'!Q$7:Q$23,"&gt;0")</f>
        <v>2</v>
      </c>
      <c r="I18" s="56">
        <f>IFERROR('08_PLAN_MAESTRO'!Q$25,0)</f>
        <v>2667</v>
      </c>
      <c r="J18" s="56">
        <f>IFERROR('08_PLAN_MAESTRO'!Q$26,0)</f>
        <v>957.07317073170725</v>
      </c>
      <c r="K18" s="56">
        <f>IFERROR('08_PLAN_MAESTRO'!Q$27,0)</f>
        <v>0</v>
      </c>
      <c r="L18" s="56">
        <f>IFERROR('08_PLAN_MAESTRO'!Q$28,0)</f>
        <v>957.07317073000002</v>
      </c>
      <c r="M18" s="56">
        <f>IFERROR('08_PLAN_MAESTRO'!Q$29,0)</f>
        <v>-477.07317073000002</v>
      </c>
      <c r="N18" s="57">
        <f>IFERROR('08_PLAN_MAESTRO'!Q$30,0)</f>
        <v>1.9939024390208333</v>
      </c>
    </row>
    <row r="19" spans="1:14" x14ac:dyDescent="0.2">
      <c r="A19" s="46" t="str">
        <f>'07_Calendario'!$F$19</f>
        <v/>
      </c>
      <c r="B19" s="54">
        <f>'07_Calendario'!$B$19</f>
        <v>46270</v>
      </c>
      <c r="C19" s="46" t="str">
        <f>'07_Calendario'!$C$19</f>
        <v>Sábado</v>
      </c>
      <c r="D19" s="46">
        <f>'07_Calendario'!$D$19</f>
        <v>3</v>
      </c>
      <c r="E19" s="46" t="str">
        <f>IF('07_Calendario'!$E$19=0,"No operativo",IF(H19&gt;0,"Producción",IF(K19&gt;0,"Cambio","Libre")))</f>
        <v>No operativo</v>
      </c>
      <c r="F19" s="46" t="str">
        <f>IF(H19=0,"—",INDEX('08_PLAN_MAESTRO'!$A$7:$A$23,MATCH(MAX('08_PLAN_MAESTRO'!R$7:R$23),'08_PLAN_MAESTRO'!R$7:R$23,0)))</f>
        <v>—</v>
      </c>
      <c r="G19" s="55" t="str">
        <f>IFERROR(INDEX('02_Datos_Maestros'!$B$5:$B$21,MATCH($F19,'02_Datos_Maestros'!$A$5:$A$21,0)),"—")</f>
        <v>—</v>
      </c>
      <c r="H19" s="46">
        <f>COUNTIF('08_PLAN_MAESTRO'!R$7:R$23,"&gt;0")</f>
        <v>0</v>
      </c>
      <c r="I19" s="56" t="str">
        <f>IFERROR('08_PLAN_MAESTRO'!R$25,0)</f>
        <v/>
      </c>
      <c r="J19" s="56" t="str">
        <f>IFERROR('08_PLAN_MAESTRO'!R$26,0)</f>
        <v/>
      </c>
      <c r="K19" s="56" t="str">
        <f>IFERROR('08_PLAN_MAESTRO'!R$27,0)</f>
        <v/>
      </c>
      <c r="L19" s="56" t="str">
        <f>IFERROR('08_PLAN_MAESTRO'!R$28,0)</f>
        <v/>
      </c>
      <c r="M19" s="56" t="str">
        <f>IFERROR('08_PLAN_MAESTRO'!R$29,0)</f>
        <v/>
      </c>
      <c r="N19" s="57" t="str">
        <f>IFERROR('08_PLAN_MAESTRO'!R$30,0)</f>
        <v/>
      </c>
    </row>
    <row r="20" spans="1:14" x14ac:dyDescent="0.2">
      <c r="A20" s="46">
        <f>'07_Calendario'!$F$20</f>
        <v>15</v>
      </c>
      <c r="B20" s="54">
        <f>'07_Calendario'!$B$20</f>
        <v>46272</v>
      </c>
      <c r="C20" s="46" t="str">
        <f>'07_Calendario'!$C$20</f>
        <v>Lunes</v>
      </c>
      <c r="D20" s="46">
        <f>'07_Calendario'!$D$20</f>
        <v>1</v>
      </c>
      <c r="E20" s="46" t="str">
        <f>IF('07_Calendario'!$E$20=0,"No operativo",IF(H20&gt;0,"Producción",IF(K20&gt;0,"Cambio","Libre")))</f>
        <v>Producción</v>
      </c>
      <c r="F20" s="46">
        <f>IF(H20=0,"—",INDEX('08_PLAN_MAESTRO'!$A$7:$A$23,MATCH(MAX('08_PLAN_MAESTRO'!S$7:S$23),'08_PLAN_MAESTRO'!S$7:S$23,0)))</f>
        <v>16816</v>
      </c>
      <c r="G20" s="55" t="str">
        <f>IFERROR(INDEX('02_Datos_Maestros'!$B$5:$B$21,MATCH($F20,'02_Datos_Maestros'!$A$5:$A$21,0)),"—")</f>
        <v>SALSA DE MAYONESA ZEV (24DP/1/400G)</v>
      </c>
      <c r="H20" s="46">
        <f>COUNTIF('08_PLAN_MAESTRO'!S$7:S$23,"&gt;0")</f>
        <v>1</v>
      </c>
      <c r="I20" s="56">
        <f>IFERROR('08_PLAN_MAESTRO'!S$25,0)</f>
        <v>1200</v>
      </c>
      <c r="J20" s="56">
        <f>IFERROR('08_PLAN_MAESTRO'!S$26,0)</f>
        <v>480</v>
      </c>
      <c r="K20" s="56">
        <f>IFERROR('08_PLAN_MAESTRO'!S$27,0)</f>
        <v>0</v>
      </c>
      <c r="L20" s="56">
        <f>IFERROR('08_PLAN_MAESTRO'!S$28,0)</f>
        <v>480</v>
      </c>
      <c r="M20" s="56">
        <f>IFERROR('08_PLAN_MAESTRO'!S$29,0)</f>
        <v>0</v>
      </c>
      <c r="N20" s="57">
        <f>IFERROR('08_PLAN_MAESTRO'!S$30,0)</f>
        <v>1</v>
      </c>
    </row>
    <row r="21" spans="1:14" x14ac:dyDescent="0.2">
      <c r="A21" s="46">
        <f>'07_Calendario'!$F$21</f>
        <v>16</v>
      </c>
      <c r="B21" s="54">
        <f>'07_Calendario'!$B$21</f>
        <v>46272</v>
      </c>
      <c r="C21" s="46" t="str">
        <f>'07_Calendario'!$C$21</f>
        <v>Lunes</v>
      </c>
      <c r="D21" s="46">
        <f>'07_Calendario'!$D$21</f>
        <v>2</v>
      </c>
      <c r="E21" s="46" t="str">
        <f>IF('07_Calendario'!$E$21=0,"No operativo",IF(H21&gt;0,"Producción",IF(K21&gt;0,"Cambio","Libre")))</f>
        <v>Producción</v>
      </c>
      <c r="F21" s="46">
        <f>IF(H21=0,"—",INDEX('08_PLAN_MAESTRO'!$A$7:$A$23,MATCH(MAX('08_PLAN_MAESTRO'!T$7:T$23),'08_PLAN_MAESTRO'!T$7:T$23,0)))</f>
        <v>16816</v>
      </c>
      <c r="G21" s="55" t="str">
        <f>IFERROR(INDEX('02_Datos_Maestros'!$B$5:$B$21,MATCH($F21,'02_Datos_Maestros'!$A$5:$A$21,0)),"—")</f>
        <v>SALSA DE MAYONESA ZEV (24DP/1/400G)</v>
      </c>
      <c r="H21" s="46">
        <f>COUNTIF('08_PLAN_MAESTRO'!T$7:T$23,"&gt;0")</f>
        <v>1</v>
      </c>
      <c r="I21" s="56">
        <f>IFERROR('08_PLAN_MAESTRO'!T$25,0)</f>
        <v>1200</v>
      </c>
      <c r="J21" s="56">
        <f>IFERROR('08_PLAN_MAESTRO'!T$26,0)</f>
        <v>480</v>
      </c>
      <c r="K21" s="56">
        <f>IFERROR('08_PLAN_MAESTRO'!T$27,0)</f>
        <v>0</v>
      </c>
      <c r="L21" s="56">
        <f>IFERROR('08_PLAN_MAESTRO'!T$28,0)</f>
        <v>480</v>
      </c>
      <c r="M21" s="56">
        <f>IFERROR('08_PLAN_MAESTRO'!T$29,0)</f>
        <v>0</v>
      </c>
      <c r="N21" s="57">
        <f>IFERROR('08_PLAN_MAESTRO'!T$30,0)</f>
        <v>1</v>
      </c>
    </row>
    <row r="22" spans="1:14" x14ac:dyDescent="0.2">
      <c r="A22" s="46">
        <f>'07_Calendario'!$F$22</f>
        <v>17</v>
      </c>
      <c r="B22" s="54">
        <f>'07_Calendario'!$B$22</f>
        <v>46272</v>
      </c>
      <c r="C22" s="46" t="str">
        <f>'07_Calendario'!$C$22</f>
        <v>Lunes</v>
      </c>
      <c r="D22" s="46">
        <f>'07_Calendario'!$D$22</f>
        <v>3</v>
      </c>
      <c r="E22" s="46" t="str">
        <f>IF('07_Calendario'!$E$22=0,"No operativo",IF(H22&gt;0,"Producción",IF(K22&gt;0,"Cambio","Libre")))</f>
        <v>Libre</v>
      </c>
      <c r="F22" s="46" t="str">
        <f>IF(H22=0,"—",INDEX('08_PLAN_MAESTRO'!$A$7:$A$23,MATCH(MAX('08_PLAN_MAESTRO'!U$7:U$23),'08_PLAN_MAESTRO'!U$7:U$23,0)))</f>
        <v>—</v>
      </c>
      <c r="G22" s="55" t="str">
        <f>IFERROR(INDEX('02_Datos_Maestros'!$B$5:$B$21,MATCH($F22,'02_Datos_Maestros'!$A$5:$A$21,0)),"—")</f>
        <v>—</v>
      </c>
      <c r="H22" s="46">
        <f>COUNTIF('08_PLAN_MAESTRO'!U$7:U$23,"&gt;0")</f>
        <v>0</v>
      </c>
      <c r="I22" s="56">
        <f>IFERROR('08_PLAN_MAESTRO'!U$25,0)</f>
        <v>0</v>
      </c>
      <c r="J22" s="56">
        <f>IFERROR('08_PLAN_MAESTRO'!U$26,0)</f>
        <v>0</v>
      </c>
      <c r="K22" s="56">
        <f>IFERROR('08_PLAN_MAESTRO'!U$27,0)</f>
        <v>0</v>
      </c>
      <c r="L22" s="56">
        <f>IFERROR('08_PLAN_MAESTRO'!U$28,0)</f>
        <v>0</v>
      </c>
      <c r="M22" s="56">
        <f>IFERROR('08_PLAN_MAESTRO'!U$29,0)</f>
        <v>480</v>
      </c>
      <c r="N22" s="57">
        <f>IFERROR('08_PLAN_MAESTRO'!U$30,0)</f>
        <v>0</v>
      </c>
    </row>
    <row r="23" spans="1:14" x14ac:dyDescent="0.2">
      <c r="A23" s="46">
        <f>'07_Calendario'!$F$23</f>
        <v>18</v>
      </c>
      <c r="B23" s="54">
        <f>'07_Calendario'!$B$23</f>
        <v>46273</v>
      </c>
      <c r="C23" s="46" t="str">
        <f>'07_Calendario'!$C$23</f>
        <v>Martes</v>
      </c>
      <c r="D23" s="46">
        <f>'07_Calendario'!$D$23</f>
        <v>1</v>
      </c>
      <c r="E23" s="46" t="str">
        <f>IF('07_Calendario'!$E$23=0,"No operativo",IF(H23&gt;0,"Producción",IF(K23&gt;0,"Cambio","Libre")))</f>
        <v>Libre</v>
      </c>
      <c r="F23" s="46" t="str">
        <f>IF(H23=0,"—",INDEX('08_PLAN_MAESTRO'!$A$7:$A$23,MATCH(MAX('08_PLAN_MAESTRO'!V$7:V$23),'08_PLAN_MAESTRO'!V$7:V$23,0)))</f>
        <v>—</v>
      </c>
      <c r="G23" s="55" t="str">
        <f>IFERROR(INDEX('02_Datos_Maestros'!$B$5:$B$21,MATCH($F23,'02_Datos_Maestros'!$A$5:$A$21,0)),"—")</f>
        <v>—</v>
      </c>
      <c r="H23" s="46">
        <f>COUNTIF('08_PLAN_MAESTRO'!V$7:V$23,"&gt;0")</f>
        <v>0</v>
      </c>
      <c r="I23" s="56">
        <f>IFERROR('08_PLAN_MAESTRO'!V$25,0)</f>
        <v>0</v>
      </c>
      <c r="J23" s="56">
        <f>IFERROR('08_PLAN_MAESTRO'!V$26,0)</f>
        <v>0</v>
      </c>
      <c r="K23" s="56">
        <f>IFERROR('08_PLAN_MAESTRO'!V$27,0)</f>
        <v>0</v>
      </c>
      <c r="L23" s="56">
        <f>IFERROR('08_PLAN_MAESTRO'!V$28,0)</f>
        <v>0</v>
      </c>
      <c r="M23" s="56">
        <f>IFERROR('08_PLAN_MAESTRO'!V$29,0)</f>
        <v>480</v>
      </c>
      <c r="N23" s="57">
        <f>IFERROR('08_PLAN_MAESTRO'!V$30,0)</f>
        <v>0</v>
      </c>
    </row>
    <row r="24" spans="1:14" x14ac:dyDescent="0.2">
      <c r="A24" s="46">
        <f>'07_Calendario'!$F$24</f>
        <v>19</v>
      </c>
      <c r="B24" s="54">
        <f>'07_Calendario'!$B$24</f>
        <v>46273</v>
      </c>
      <c r="C24" s="46" t="str">
        <f>'07_Calendario'!$C$24</f>
        <v>Martes</v>
      </c>
      <c r="D24" s="46">
        <f>'07_Calendario'!$D$24</f>
        <v>2</v>
      </c>
      <c r="E24" s="46" t="str">
        <f>IF('07_Calendario'!$E$24=0,"No operativo",IF(H24&gt;0,"Producción",IF(K24&gt;0,"Cambio","Libre")))</f>
        <v>Libre</v>
      </c>
      <c r="F24" s="46" t="str">
        <f>IF(H24=0,"—",INDEX('08_PLAN_MAESTRO'!$A$7:$A$23,MATCH(MAX('08_PLAN_MAESTRO'!W$7:W$23),'08_PLAN_MAESTRO'!W$7:W$23,0)))</f>
        <v>—</v>
      </c>
      <c r="G24" s="55" t="str">
        <f>IFERROR(INDEX('02_Datos_Maestros'!$B$5:$B$21,MATCH($F24,'02_Datos_Maestros'!$A$5:$A$21,0)),"—")</f>
        <v>—</v>
      </c>
      <c r="H24" s="46">
        <f>COUNTIF('08_PLAN_MAESTRO'!W$7:W$23,"&gt;0")</f>
        <v>0</v>
      </c>
      <c r="I24" s="56">
        <f>IFERROR('08_PLAN_MAESTRO'!W$25,0)</f>
        <v>0</v>
      </c>
      <c r="J24" s="56">
        <f>IFERROR('08_PLAN_MAESTRO'!W$26,0)</f>
        <v>0</v>
      </c>
      <c r="K24" s="56">
        <f>IFERROR('08_PLAN_MAESTRO'!W$27,0)</f>
        <v>0</v>
      </c>
      <c r="L24" s="56">
        <f>IFERROR('08_PLAN_MAESTRO'!W$28,0)</f>
        <v>0</v>
      </c>
      <c r="M24" s="56">
        <f>IFERROR('08_PLAN_MAESTRO'!W$29,0)</f>
        <v>480</v>
      </c>
      <c r="N24" s="57">
        <f>IFERROR('08_PLAN_MAESTRO'!W$30,0)</f>
        <v>0</v>
      </c>
    </row>
    <row r="25" spans="1:14" x14ac:dyDescent="0.2">
      <c r="A25" s="46">
        <f>'07_Calendario'!$F$25</f>
        <v>20</v>
      </c>
      <c r="B25" s="54">
        <f>'07_Calendario'!$B$25</f>
        <v>46273</v>
      </c>
      <c r="C25" s="46" t="str">
        <f>'07_Calendario'!$C$25</f>
        <v>Martes</v>
      </c>
      <c r="D25" s="46">
        <f>'07_Calendario'!$D$25</f>
        <v>3</v>
      </c>
      <c r="E25" s="46" t="str">
        <f>IF('07_Calendario'!$E$25=0,"No operativo",IF(H25&gt;0,"Producción",IF(K25&gt;0,"Cambio","Libre")))</f>
        <v>Libre</v>
      </c>
      <c r="F25" s="46" t="str">
        <f>IF(H25=0,"—",INDEX('08_PLAN_MAESTRO'!$A$7:$A$23,MATCH(MAX('08_PLAN_MAESTRO'!X$7:X$23),'08_PLAN_MAESTRO'!X$7:X$23,0)))</f>
        <v>—</v>
      </c>
      <c r="G25" s="55" t="str">
        <f>IFERROR(INDEX('02_Datos_Maestros'!$B$5:$B$21,MATCH($F25,'02_Datos_Maestros'!$A$5:$A$21,0)),"—")</f>
        <v>—</v>
      </c>
      <c r="H25" s="46">
        <f>COUNTIF('08_PLAN_MAESTRO'!X$7:X$23,"&gt;0")</f>
        <v>0</v>
      </c>
      <c r="I25" s="56">
        <f>IFERROR('08_PLAN_MAESTRO'!X$25,0)</f>
        <v>0</v>
      </c>
      <c r="J25" s="56">
        <f>IFERROR('08_PLAN_MAESTRO'!X$26,0)</f>
        <v>0</v>
      </c>
      <c r="K25" s="56">
        <f>IFERROR('08_PLAN_MAESTRO'!X$27,0)</f>
        <v>0</v>
      </c>
      <c r="L25" s="56">
        <f>IFERROR('08_PLAN_MAESTRO'!X$28,0)</f>
        <v>0</v>
      </c>
      <c r="M25" s="56">
        <f>IFERROR('08_PLAN_MAESTRO'!X$29,0)</f>
        <v>480</v>
      </c>
      <c r="N25" s="57">
        <f>IFERROR('08_PLAN_MAESTRO'!X$30,0)</f>
        <v>0</v>
      </c>
    </row>
    <row r="26" spans="1:14" x14ac:dyDescent="0.2">
      <c r="A26" s="46">
        <f>'07_Calendario'!$F$26</f>
        <v>21</v>
      </c>
      <c r="B26" s="54">
        <f>'07_Calendario'!$B$26</f>
        <v>46274</v>
      </c>
      <c r="C26" s="46" t="str">
        <f>'07_Calendario'!$C$26</f>
        <v>Miércoles</v>
      </c>
      <c r="D26" s="46">
        <f>'07_Calendario'!$D$26</f>
        <v>1</v>
      </c>
      <c r="E26" s="46" t="str">
        <f>IF('07_Calendario'!$E$26=0,"No operativo",IF(H26&gt;0,"Producción",IF(K26&gt;0,"Cambio","Libre")))</f>
        <v>Libre</v>
      </c>
      <c r="F26" s="46" t="str">
        <f>IF(H26=0,"—",INDEX('08_PLAN_MAESTRO'!$A$7:$A$23,MATCH(MAX('08_PLAN_MAESTRO'!Y$7:Y$23),'08_PLAN_MAESTRO'!Y$7:Y$23,0)))</f>
        <v>—</v>
      </c>
      <c r="G26" s="55" t="str">
        <f>IFERROR(INDEX('02_Datos_Maestros'!$B$5:$B$21,MATCH($F26,'02_Datos_Maestros'!$A$5:$A$21,0)),"—")</f>
        <v>—</v>
      </c>
      <c r="H26" s="46">
        <f>COUNTIF('08_PLAN_MAESTRO'!Y$7:Y$23,"&gt;0")</f>
        <v>0</v>
      </c>
      <c r="I26" s="56">
        <f>IFERROR('08_PLAN_MAESTRO'!Y$25,0)</f>
        <v>0</v>
      </c>
      <c r="J26" s="56">
        <f>IFERROR('08_PLAN_MAESTRO'!Y$26,0)</f>
        <v>0</v>
      </c>
      <c r="K26" s="56">
        <f>IFERROR('08_PLAN_MAESTRO'!Y$27,0)</f>
        <v>0</v>
      </c>
      <c r="L26" s="56">
        <f>IFERROR('08_PLAN_MAESTRO'!Y$28,0)</f>
        <v>0</v>
      </c>
      <c r="M26" s="56">
        <f>IFERROR('08_PLAN_MAESTRO'!Y$29,0)</f>
        <v>480</v>
      </c>
      <c r="N26" s="57">
        <f>IFERROR('08_PLAN_MAESTRO'!Y$30,0)</f>
        <v>0</v>
      </c>
    </row>
    <row r="27" spans="1:14" x14ac:dyDescent="0.2">
      <c r="A27" s="46">
        <f>'07_Calendario'!$F$27</f>
        <v>22</v>
      </c>
      <c r="B27" s="54">
        <f>'07_Calendario'!$B$27</f>
        <v>46274</v>
      </c>
      <c r="C27" s="46" t="str">
        <f>'07_Calendario'!$C$27</f>
        <v>Miércoles</v>
      </c>
      <c r="D27" s="46">
        <f>'07_Calendario'!$D$27</f>
        <v>2</v>
      </c>
      <c r="E27" s="46" t="str">
        <f>IF('07_Calendario'!$E$27=0,"No operativo",IF(H27&gt;0,"Producción",IF(K27&gt;0,"Cambio","Libre")))</f>
        <v>Libre</v>
      </c>
      <c r="F27" s="46" t="str">
        <f>IF(H27=0,"—",INDEX('08_PLAN_MAESTRO'!$A$7:$A$23,MATCH(MAX('08_PLAN_MAESTRO'!Z$7:Z$23),'08_PLAN_MAESTRO'!Z$7:Z$23,0)))</f>
        <v>—</v>
      </c>
      <c r="G27" s="55" t="str">
        <f>IFERROR(INDEX('02_Datos_Maestros'!$B$5:$B$21,MATCH($F27,'02_Datos_Maestros'!$A$5:$A$21,0)),"—")</f>
        <v>—</v>
      </c>
      <c r="H27" s="46">
        <f>COUNTIF('08_PLAN_MAESTRO'!Z$7:Z$23,"&gt;0")</f>
        <v>0</v>
      </c>
      <c r="I27" s="56">
        <f>IFERROR('08_PLAN_MAESTRO'!Z$25,0)</f>
        <v>0</v>
      </c>
      <c r="J27" s="56">
        <f>IFERROR('08_PLAN_MAESTRO'!Z$26,0)</f>
        <v>0</v>
      </c>
      <c r="K27" s="56">
        <f>IFERROR('08_PLAN_MAESTRO'!Z$27,0)</f>
        <v>0</v>
      </c>
      <c r="L27" s="56">
        <f>IFERROR('08_PLAN_MAESTRO'!Z$28,0)</f>
        <v>0</v>
      </c>
      <c r="M27" s="56">
        <f>IFERROR('08_PLAN_MAESTRO'!Z$29,0)</f>
        <v>480</v>
      </c>
      <c r="N27" s="57">
        <f>IFERROR('08_PLAN_MAESTRO'!Z$30,0)</f>
        <v>0</v>
      </c>
    </row>
    <row r="28" spans="1:14" x14ac:dyDescent="0.2">
      <c r="A28" s="46">
        <f>'07_Calendario'!$F$28</f>
        <v>23</v>
      </c>
      <c r="B28" s="54">
        <f>'07_Calendario'!$B$28</f>
        <v>46274</v>
      </c>
      <c r="C28" s="46" t="str">
        <f>'07_Calendario'!$C$28</f>
        <v>Miércoles</v>
      </c>
      <c r="D28" s="46">
        <f>'07_Calendario'!$D$28</f>
        <v>3</v>
      </c>
      <c r="E28" s="46" t="str">
        <f>IF('07_Calendario'!$E$28=0,"No operativo",IF(H28&gt;0,"Producción",IF(K28&gt;0,"Cambio","Libre")))</f>
        <v>Libre</v>
      </c>
      <c r="F28" s="46" t="str">
        <f>IF(H28=0,"—",INDEX('08_PLAN_MAESTRO'!$A$7:$A$23,MATCH(MAX('08_PLAN_MAESTRO'!AA$7:AA$23),'08_PLAN_MAESTRO'!AA$7:AA$23,0)))</f>
        <v>—</v>
      </c>
      <c r="G28" s="55" t="str">
        <f>IFERROR(INDEX('02_Datos_Maestros'!$B$5:$B$21,MATCH($F28,'02_Datos_Maestros'!$A$5:$A$21,0)),"—")</f>
        <v>—</v>
      </c>
      <c r="H28" s="46">
        <f>COUNTIF('08_PLAN_MAESTRO'!AA$7:AA$23,"&gt;0")</f>
        <v>0</v>
      </c>
      <c r="I28" s="56">
        <f>IFERROR('08_PLAN_MAESTRO'!AA$25,0)</f>
        <v>0</v>
      </c>
      <c r="J28" s="56">
        <f>IFERROR('08_PLAN_MAESTRO'!AA$26,0)</f>
        <v>0</v>
      </c>
      <c r="K28" s="56">
        <f>IFERROR('08_PLAN_MAESTRO'!AA$27,0)</f>
        <v>0</v>
      </c>
      <c r="L28" s="56">
        <f>IFERROR('08_PLAN_MAESTRO'!AA$28,0)</f>
        <v>0</v>
      </c>
      <c r="M28" s="56">
        <f>IFERROR('08_PLAN_MAESTRO'!AA$29,0)</f>
        <v>480</v>
      </c>
      <c r="N28" s="57">
        <f>IFERROR('08_PLAN_MAESTRO'!AA$30,0)</f>
        <v>0</v>
      </c>
    </row>
    <row r="29" spans="1:14" x14ac:dyDescent="0.2">
      <c r="A29" s="46">
        <f>'07_Calendario'!$F$29</f>
        <v>24</v>
      </c>
      <c r="B29" s="54">
        <f>'07_Calendario'!$B$29</f>
        <v>46275</v>
      </c>
      <c r="C29" s="46" t="str">
        <f>'07_Calendario'!$C$29</f>
        <v>Jueves</v>
      </c>
      <c r="D29" s="46">
        <f>'07_Calendario'!$D$29</f>
        <v>1</v>
      </c>
      <c r="E29" s="46" t="str">
        <f>IF('07_Calendario'!$E$29=0,"No operativo",IF(H29&gt;0,"Producción",IF(K29&gt;0,"Cambio","Libre")))</f>
        <v>Libre</v>
      </c>
      <c r="F29" s="46" t="str">
        <f>IF(H29=0,"—",INDEX('08_PLAN_MAESTRO'!$A$7:$A$23,MATCH(MAX('08_PLAN_MAESTRO'!AB$7:AB$23),'08_PLAN_MAESTRO'!AB$7:AB$23,0)))</f>
        <v>—</v>
      </c>
      <c r="G29" s="55" t="str">
        <f>IFERROR(INDEX('02_Datos_Maestros'!$B$5:$B$21,MATCH($F29,'02_Datos_Maestros'!$A$5:$A$21,0)),"—")</f>
        <v>—</v>
      </c>
      <c r="H29" s="46">
        <f>COUNTIF('08_PLAN_MAESTRO'!AB$7:AB$23,"&gt;0")</f>
        <v>0</v>
      </c>
      <c r="I29" s="56">
        <f>IFERROR('08_PLAN_MAESTRO'!AB$25,0)</f>
        <v>0</v>
      </c>
      <c r="J29" s="56">
        <f>IFERROR('08_PLAN_MAESTRO'!AB$26,0)</f>
        <v>0</v>
      </c>
      <c r="K29" s="56">
        <f>IFERROR('08_PLAN_MAESTRO'!AB$27,0)</f>
        <v>0</v>
      </c>
      <c r="L29" s="56">
        <f>IFERROR('08_PLAN_MAESTRO'!AB$28,0)</f>
        <v>0</v>
      </c>
      <c r="M29" s="56">
        <f>IFERROR('08_PLAN_MAESTRO'!AB$29,0)</f>
        <v>480</v>
      </c>
      <c r="N29" s="57">
        <f>IFERROR('08_PLAN_MAESTRO'!AB$30,0)</f>
        <v>0</v>
      </c>
    </row>
    <row r="30" spans="1:14" x14ac:dyDescent="0.2">
      <c r="A30" s="46">
        <f>'07_Calendario'!$F$30</f>
        <v>25</v>
      </c>
      <c r="B30" s="54">
        <f>'07_Calendario'!$B$30</f>
        <v>46275</v>
      </c>
      <c r="C30" s="46" t="str">
        <f>'07_Calendario'!$C$30</f>
        <v>Jueves</v>
      </c>
      <c r="D30" s="46">
        <f>'07_Calendario'!$D$30</f>
        <v>2</v>
      </c>
      <c r="E30" s="46" t="str">
        <f>IF('07_Calendario'!$E$30=0,"No operativo",IF(H30&gt;0,"Producción",IF(K30&gt;0,"Cambio","Libre")))</f>
        <v>Libre</v>
      </c>
      <c r="F30" s="46" t="str">
        <f>IF(H30=0,"—",INDEX('08_PLAN_MAESTRO'!$A$7:$A$23,MATCH(MAX('08_PLAN_MAESTRO'!AC$7:AC$23),'08_PLAN_MAESTRO'!AC$7:AC$23,0)))</f>
        <v>—</v>
      </c>
      <c r="G30" s="55" t="str">
        <f>IFERROR(INDEX('02_Datos_Maestros'!$B$5:$B$21,MATCH($F30,'02_Datos_Maestros'!$A$5:$A$21,0)),"—")</f>
        <v>—</v>
      </c>
      <c r="H30" s="46">
        <f>COUNTIF('08_PLAN_MAESTRO'!AC$7:AC$23,"&gt;0")</f>
        <v>0</v>
      </c>
      <c r="I30" s="56">
        <f>IFERROR('08_PLAN_MAESTRO'!AC$25,0)</f>
        <v>0</v>
      </c>
      <c r="J30" s="56">
        <f>IFERROR('08_PLAN_MAESTRO'!AC$26,0)</f>
        <v>0</v>
      </c>
      <c r="K30" s="56">
        <f>IFERROR('08_PLAN_MAESTRO'!AC$27,0)</f>
        <v>0</v>
      </c>
      <c r="L30" s="56">
        <f>IFERROR('08_PLAN_MAESTRO'!AC$28,0)</f>
        <v>0</v>
      </c>
      <c r="M30" s="56">
        <f>IFERROR('08_PLAN_MAESTRO'!AC$29,0)</f>
        <v>480</v>
      </c>
      <c r="N30" s="57">
        <f>IFERROR('08_PLAN_MAESTRO'!AC$30,0)</f>
        <v>0</v>
      </c>
    </row>
    <row r="31" spans="1:14" x14ac:dyDescent="0.2">
      <c r="A31" s="46">
        <f>'07_Calendario'!$F$31</f>
        <v>26</v>
      </c>
      <c r="B31" s="54">
        <f>'07_Calendario'!$B$31</f>
        <v>46275</v>
      </c>
      <c r="C31" s="46" t="str">
        <f>'07_Calendario'!$C$31</f>
        <v>Jueves</v>
      </c>
      <c r="D31" s="46">
        <f>'07_Calendario'!$D$31</f>
        <v>3</v>
      </c>
      <c r="E31" s="46" t="str">
        <f>IF('07_Calendario'!$E$31=0,"No operativo",IF(H31&gt;0,"Producción",IF(K31&gt;0,"Cambio","Libre")))</f>
        <v>Libre</v>
      </c>
      <c r="F31" s="46" t="str">
        <f>IF(H31=0,"—",INDEX('08_PLAN_MAESTRO'!$A$7:$A$23,MATCH(MAX('08_PLAN_MAESTRO'!AD$7:AD$23),'08_PLAN_MAESTRO'!AD$7:AD$23,0)))</f>
        <v>—</v>
      </c>
      <c r="G31" s="55" t="str">
        <f>IFERROR(INDEX('02_Datos_Maestros'!$B$5:$B$21,MATCH($F31,'02_Datos_Maestros'!$A$5:$A$21,0)),"—")</f>
        <v>—</v>
      </c>
      <c r="H31" s="46">
        <f>COUNTIF('08_PLAN_MAESTRO'!AD$7:AD$23,"&gt;0")</f>
        <v>0</v>
      </c>
      <c r="I31" s="56">
        <f>IFERROR('08_PLAN_MAESTRO'!AD$25,0)</f>
        <v>0</v>
      </c>
      <c r="J31" s="56">
        <f>IFERROR('08_PLAN_MAESTRO'!AD$26,0)</f>
        <v>0</v>
      </c>
      <c r="K31" s="56">
        <f>IFERROR('08_PLAN_MAESTRO'!AD$27,0)</f>
        <v>0</v>
      </c>
      <c r="L31" s="56">
        <f>IFERROR('08_PLAN_MAESTRO'!AD$28,0)</f>
        <v>0</v>
      </c>
      <c r="M31" s="56">
        <f>IFERROR('08_PLAN_MAESTRO'!AD$29,0)</f>
        <v>480</v>
      </c>
      <c r="N31" s="57">
        <f>IFERROR('08_PLAN_MAESTRO'!AD$30,0)</f>
        <v>0</v>
      </c>
    </row>
    <row r="32" spans="1:14" x14ac:dyDescent="0.2">
      <c r="A32" s="46">
        <f>'07_Calendario'!$F$32</f>
        <v>27</v>
      </c>
      <c r="B32" s="54">
        <f>'07_Calendario'!$B$32</f>
        <v>46276</v>
      </c>
      <c r="C32" s="46" t="str">
        <f>'07_Calendario'!$C$32</f>
        <v>Viernes</v>
      </c>
      <c r="D32" s="46">
        <f>'07_Calendario'!$D$32</f>
        <v>1</v>
      </c>
      <c r="E32" s="46" t="str">
        <f>IF('07_Calendario'!$E$32=0,"No operativo",IF(H32&gt;0,"Producción",IF(K32&gt;0,"Cambio","Libre")))</f>
        <v>Libre</v>
      </c>
      <c r="F32" s="46" t="str">
        <f>IF(H32=0,"—",INDEX('08_PLAN_MAESTRO'!$A$7:$A$23,MATCH(MAX('08_PLAN_MAESTRO'!AE$7:AE$23),'08_PLAN_MAESTRO'!AE$7:AE$23,0)))</f>
        <v>—</v>
      </c>
      <c r="G32" s="55" t="str">
        <f>IFERROR(INDEX('02_Datos_Maestros'!$B$5:$B$21,MATCH($F32,'02_Datos_Maestros'!$A$5:$A$21,0)),"—")</f>
        <v>—</v>
      </c>
      <c r="H32" s="46">
        <f>COUNTIF('08_PLAN_MAESTRO'!AE$7:AE$23,"&gt;0")</f>
        <v>0</v>
      </c>
      <c r="I32" s="56">
        <f>IFERROR('08_PLAN_MAESTRO'!AE$25,0)</f>
        <v>0</v>
      </c>
      <c r="J32" s="56">
        <f>IFERROR('08_PLAN_MAESTRO'!AE$26,0)</f>
        <v>0</v>
      </c>
      <c r="K32" s="56">
        <f>IFERROR('08_PLAN_MAESTRO'!AE$27,0)</f>
        <v>0</v>
      </c>
      <c r="L32" s="56">
        <f>IFERROR('08_PLAN_MAESTRO'!AE$28,0)</f>
        <v>0</v>
      </c>
      <c r="M32" s="56">
        <f>IFERROR('08_PLAN_MAESTRO'!AE$29,0)</f>
        <v>480</v>
      </c>
      <c r="N32" s="57">
        <f>IFERROR('08_PLAN_MAESTRO'!AE$30,0)</f>
        <v>0</v>
      </c>
    </row>
    <row r="33" spans="1:14" x14ac:dyDescent="0.2">
      <c r="A33" s="46">
        <f>'07_Calendario'!$F$33</f>
        <v>28</v>
      </c>
      <c r="B33" s="54">
        <f>'07_Calendario'!$B$33</f>
        <v>46276</v>
      </c>
      <c r="C33" s="46" t="str">
        <f>'07_Calendario'!$C$33</f>
        <v>Viernes</v>
      </c>
      <c r="D33" s="46">
        <f>'07_Calendario'!$D$33</f>
        <v>2</v>
      </c>
      <c r="E33" s="46" t="str">
        <f>IF('07_Calendario'!$E$33=0,"No operativo",IF(H33&gt;0,"Producción",IF(K33&gt;0,"Cambio","Libre")))</f>
        <v>Libre</v>
      </c>
      <c r="F33" s="46" t="str">
        <f>IF(H33=0,"—",INDEX('08_PLAN_MAESTRO'!$A$7:$A$23,MATCH(MAX('08_PLAN_MAESTRO'!AF$7:AF$23),'08_PLAN_MAESTRO'!AF$7:AF$23,0)))</f>
        <v>—</v>
      </c>
      <c r="G33" s="55" t="str">
        <f>IFERROR(INDEX('02_Datos_Maestros'!$B$5:$B$21,MATCH($F33,'02_Datos_Maestros'!$A$5:$A$21,0)),"—")</f>
        <v>—</v>
      </c>
      <c r="H33" s="46">
        <f>COUNTIF('08_PLAN_MAESTRO'!AF$7:AF$23,"&gt;0")</f>
        <v>0</v>
      </c>
      <c r="I33" s="56">
        <f>IFERROR('08_PLAN_MAESTRO'!AF$25,0)</f>
        <v>0</v>
      </c>
      <c r="J33" s="56">
        <f>IFERROR('08_PLAN_MAESTRO'!AF$26,0)</f>
        <v>0</v>
      </c>
      <c r="K33" s="56">
        <f>IFERROR('08_PLAN_MAESTRO'!AF$27,0)</f>
        <v>0</v>
      </c>
      <c r="L33" s="56">
        <f>IFERROR('08_PLAN_MAESTRO'!AF$28,0)</f>
        <v>0</v>
      </c>
      <c r="M33" s="56">
        <f>IFERROR('08_PLAN_MAESTRO'!AF$29,0)</f>
        <v>480</v>
      </c>
      <c r="N33" s="57">
        <f>IFERROR('08_PLAN_MAESTRO'!AF$30,0)</f>
        <v>0</v>
      </c>
    </row>
    <row r="34" spans="1:14" x14ac:dyDescent="0.2">
      <c r="A34" s="46">
        <f>'07_Calendario'!$F$34</f>
        <v>29</v>
      </c>
      <c r="B34" s="54">
        <f>'07_Calendario'!$B$34</f>
        <v>46276</v>
      </c>
      <c r="C34" s="46" t="str">
        <f>'07_Calendario'!$C$34</f>
        <v>Viernes</v>
      </c>
      <c r="D34" s="46">
        <f>'07_Calendario'!$D$34</f>
        <v>3</v>
      </c>
      <c r="E34" s="46" t="str">
        <f>IF('07_Calendario'!$E$34=0,"No operativo",IF(H34&gt;0,"Producción",IF(K34&gt;0,"Cambio","Libre")))</f>
        <v>Libre</v>
      </c>
      <c r="F34" s="46" t="str">
        <f>IF(H34=0,"—",INDEX('08_PLAN_MAESTRO'!$A$7:$A$23,MATCH(MAX('08_PLAN_MAESTRO'!AG$7:AG$23),'08_PLAN_MAESTRO'!AG$7:AG$23,0)))</f>
        <v>—</v>
      </c>
      <c r="G34" s="55" t="str">
        <f>IFERROR(INDEX('02_Datos_Maestros'!$B$5:$B$21,MATCH($F34,'02_Datos_Maestros'!$A$5:$A$21,0)),"—")</f>
        <v>—</v>
      </c>
      <c r="H34" s="46">
        <f>COUNTIF('08_PLAN_MAESTRO'!AG$7:AG$23,"&gt;0")</f>
        <v>0</v>
      </c>
      <c r="I34" s="56">
        <f>IFERROR('08_PLAN_MAESTRO'!AG$25,0)</f>
        <v>0</v>
      </c>
      <c r="J34" s="56">
        <f>IFERROR('08_PLAN_MAESTRO'!AG$26,0)</f>
        <v>0</v>
      </c>
      <c r="K34" s="56">
        <f>IFERROR('08_PLAN_MAESTRO'!AG$27,0)</f>
        <v>0</v>
      </c>
      <c r="L34" s="56">
        <f>IFERROR('08_PLAN_MAESTRO'!AG$28,0)</f>
        <v>0</v>
      </c>
      <c r="M34" s="56">
        <f>IFERROR('08_PLAN_MAESTRO'!AG$29,0)</f>
        <v>480</v>
      </c>
      <c r="N34" s="57">
        <f>IFERROR('08_PLAN_MAESTRO'!AG$30,0)</f>
        <v>0</v>
      </c>
    </row>
    <row r="35" spans="1:14" x14ac:dyDescent="0.2">
      <c r="A35" s="46">
        <f>'07_Calendario'!$F$35</f>
        <v>30</v>
      </c>
      <c r="B35" s="54">
        <f>'07_Calendario'!$B$35</f>
        <v>46277</v>
      </c>
      <c r="C35" s="46" t="str">
        <f>'07_Calendario'!$C$35</f>
        <v>Sábado</v>
      </c>
      <c r="D35" s="46">
        <f>'07_Calendario'!$D$35</f>
        <v>1</v>
      </c>
      <c r="E35" s="46" t="str">
        <f>IF('07_Calendario'!$E$35=0,"No operativo",IF(H35&gt;0,"Producción",IF(K35&gt;0,"Cambio","Libre")))</f>
        <v>Libre</v>
      </c>
      <c r="F35" s="46" t="str">
        <f>IF(H35=0,"—",INDEX('08_PLAN_MAESTRO'!$A$7:$A$23,MATCH(MAX('08_PLAN_MAESTRO'!AH$7:AH$23),'08_PLAN_MAESTRO'!AH$7:AH$23,0)))</f>
        <v>—</v>
      </c>
      <c r="G35" s="55" t="str">
        <f>IFERROR(INDEX('02_Datos_Maestros'!$B$5:$B$21,MATCH($F35,'02_Datos_Maestros'!$A$5:$A$21,0)),"—")</f>
        <v>—</v>
      </c>
      <c r="H35" s="46">
        <f>COUNTIF('08_PLAN_MAESTRO'!AH$7:AH$23,"&gt;0")</f>
        <v>0</v>
      </c>
      <c r="I35" s="56">
        <f>IFERROR('08_PLAN_MAESTRO'!AH$25,0)</f>
        <v>0</v>
      </c>
      <c r="J35" s="56">
        <f>IFERROR('08_PLAN_MAESTRO'!AH$26,0)</f>
        <v>0</v>
      </c>
      <c r="K35" s="56">
        <f>IFERROR('08_PLAN_MAESTRO'!AH$27,0)</f>
        <v>0</v>
      </c>
      <c r="L35" s="56">
        <f>IFERROR('08_PLAN_MAESTRO'!AH$28,0)</f>
        <v>0</v>
      </c>
      <c r="M35" s="56">
        <f>IFERROR('08_PLAN_MAESTRO'!AH$29,0)</f>
        <v>480</v>
      </c>
      <c r="N35" s="57">
        <f>IFERROR('08_PLAN_MAESTRO'!AH$30,0)</f>
        <v>0</v>
      </c>
    </row>
    <row r="36" spans="1:14" x14ac:dyDescent="0.2">
      <c r="A36" s="46">
        <f>'07_Calendario'!$F$36</f>
        <v>31</v>
      </c>
      <c r="B36" s="54">
        <f>'07_Calendario'!$B$36</f>
        <v>46277</v>
      </c>
      <c r="C36" s="46" t="str">
        <f>'07_Calendario'!$C$36</f>
        <v>Sábado</v>
      </c>
      <c r="D36" s="46">
        <f>'07_Calendario'!$D$36</f>
        <v>2</v>
      </c>
      <c r="E36" s="46" t="str">
        <f>IF('07_Calendario'!$E$36=0,"No operativo",IF(H36&gt;0,"Producción",IF(K36&gt;0,"Cambio","Libre")))</f>
        <v>Libre</v>
      </c>
      <c r="F36" s="46" t="str">
        <f>IF(H36=0,"—",INDEX('08_PLAN_MAESTRO'!$A$7:$A$23,MATCH(MAX('08_PLAN_MAESTRO'!AI$7:AI$23),'08_PLAN_MAESTRO'!AI$7:AI$23,0)))</f>
        <v>—</v>
      </c>
      <c r="G36" s="55" t="str">
        <f>IFERROR(INDEX('02_Datos_Maestros'!$B$5:$B$21,MATCH($F36,'02_Datos_Maestros'!$A$5:$A$21,0)),"—")</f>
        <v>—</v>
      </c>
      <c r="H36" s="46">
        <f>COUNTIF('08_PLAN_MAESTRO'!AI$7:AI$23,"&gt;0")</f>
        <v>0</v>
      </c>
      <c r="I36" s="56">
        <f>IFERROR('08_PLAN_MAESTRO'!AI$25,0)</f>
        <v>0</v>
      </c>
      <c r="J36" s="56">
        <f>IFERROR('08_PLAN_MAESTRO'!AI$26,0)</f>
        <v>0</v>
      </c>
      <c r="K36" s="56">
        <f>IFERROR('08_PLAN_MAESTRO'!AI$27,0)</f>
        <v>0</v>
      </c>
      <c r="L36" s="56">
        <f>IFERROR('08_PLAN_MAESTRO'!AI$28,0)</f>
        <v>0</v>
      </c>
      <c r="M36" s="56">
        <f>IFERROR('08_PLAN_MAESTRO'!AI$29,0)</f>
        <v>480</v>
      </c>
      <c r="N36" s="57">
        <f>IFERROR('08_PLAN_MAESTRO'!AI$30,0)</f>
        <v>0</v>
      </c>
    </row>
    <row r="37" spans="1:14" x14ac:dyDescent="0.2">
      <c r="A37" s="46" t="str">
        <f>'07_Calendario'!$F$37</f>
        <v/>
      </c>
      <c r="B37" s="54">
        <f>'07_Calendario'!$B$37</f>
        <v>46277</v>
      </c>
      <c r="C37" s="46" t="str">
        <f>'07_Calendario'!$C$37</f>
        <v>Sábado</v>
      </c>
      <c r="D37" s="46">
        <f>'07_Calendario'!$D$37</f>
        <v>3</v>
      </c>
      <c r="E37" s="46" t="str">
        <f>IF('07_Calendario'!$E$37=0,"No operativo",IF(H37&gt;0,"Producción",IF(K37&gt;0,"Cambio","Libre")))</f>
        <v>No operativo</v>
      </c>
      <c r="F37" s="46" t="str">
        <f>IF(H37=0,"—",INDEX('08_PLAN_MAESTRO'!$A$7:$A$23,MATCH(MAX('08_PLAN_MAESTRO'!AJ$7:AJ$23),'08_PLAN_MAESTRO'!AJ$7:AJ$23,0)))</f>
        <v>—</v>
      </c>
      <c r="G37" s="55" t="str">
        <f>IFERROR(INDEX('02_Datos_Maestros'!$B$5:$B$21,MATCH($F37,'02_Datos_Maestros'!$A$5:$A$21,0)),"—")</f>
        <v>—</v>
      </c>
      <c r="H37" s="46">
        <f>COUNTIF('08_PLAN_MAESTRO'!AJ$7:AJ$23,"&gt;0")</f>
        <v>0</v>
      </c>
      <c r="I37" s="56" t="str">
        <f>IFERROR('08_PLAN_MAESTRO'!AJ$25,0)</f>
        <v/>
      </c>
      <c r="J37" s="56" t="str">
        <f>IFERROR('08_PLAN_MAESTRO'!AJ$26,0)</f>
        <v/>
      </c>
      <c r="K37" s="56" t="str">
        <f>IFERROR('08_PLAN_MAESTRO'!AJ$27,0)</f>
        <v/>
      </c>
      <c r="L37" s="56" t="str">
        <f>IFERROR('08_PLAN_MAESTRO'!AJ$28,0)</f>
        <v/>
      </c>
      <c r="M37" s="56" t="str">
        <f>IFERROR('08_PLAN_MAESTRO'!AJ$29,0)</f>
        <v/>
      </c>
      <c r="N37" s="57" t="str">
        <f>IFERROR('08_PLAN_MAESTRO'!AJ$30,0)</f>
        <v/>
      </c>
    </row>
    <row r="38" spans="1:14" x14ac:dyDescent="0.2">
      <c r="A38" s="46">
        <f>'07_Calendario'!$F$38</f>
        <v>32</v>
      </c>
      <c r="B38" s="54">
        <f>'07_Calendario'!$B$38</f>
        <v>46279</v>
      </c>
      <c r="C38" s="46" t="str">
        <f>'07_Calendario'!$C$38</f>
        <v>Lunes</v>
      </c>
      <c r="D38" s="46">
        <f>'07_Calendario'!$D$38</f>
        <v>1</v>
      </c>
      <c r="E38" s="46" t="str">
        <f>IF('07_Calendario'!$E$38=0,"No operativo",IF(H38&gt;0,"Producción",IF(K38&gt;0,"Cambio","Libre")))</f>
        <v>Libre</v>
      </c>
      <c r="F38" s="46" t="str">
        <f>IF(H38=0,"—",INDEX('08_PLAN_MAESTRO'!$A$7:$A$23,MATCH(MAX('08_PLAN_MAESTRO'!AK$7:AK$23),'08_PLAN_MAESTRO'!AK$7:AK$23,0)))</f>
        <v>—</v>
      </c>
      <c r="G38" s="55" t="str">
        <f>IFERROR(INDEX('02_Datos_Maestros'!$B$5:$B$21,MATCH($F38,'02_Datos_Maestros'!$A$5:$A$21,0)),"—")</f>
        <v>—</v>
      </c>
      <c r="H38" s="46">
        <f>COUNTIF('08_PLAN_MAESTRO'!AK$7:AK$23,"&gt;0")</f>
        <v>0</v>
      </c>
      <c r="I38" s="56">
        <f>IFERROR('08_PLAN_MAESTRO'!AK$25,0)</f>
        <v>0</v>
      </c>
      <c r="J38" s="56">
        <f>IFERROR('08_PLAN_MAESTRO'!AK$26,0)</f>
        <v>0</v>
      </c>
      <c r="K38" s="56">
        <f>IFERROR('08_PLAN_MAESTRO'!AK$27,0)</f>
        <v>0</v>
      </c>
      <c r="L38" s="56">
        <f>IFERROR('08_PLAN_MAESTRO'!AK$28,0)</f>
        <v>0</v>
      </c>
      <c r="M38" s="56">
        <f>IFERROR('08_PLAN_MAESTRO'!AK$29,0)</f>
        <v>480</v>
      </c>
      <c r="N38" s="57">
        <f>IFERROR('08_PLAN_MAESTRO'!AK$30,0)</f>
        <v>0</v>
      </c>
    </row>
    <row r="39" spans="1:14" x14ac:dyDescent="0.2">
      <c r="A39" s="46">
        <f>'07_Calendario'!$F$39</f>
        <v>33</v>
      </c>
      <c r="B39" s="54">
        <f>'07_Calendario'!$B$39</f>
        <v>46279</v>
      </c>
      <c r="C39" s="46" t="str">
        <f>'07_Calendario'!$C$39</f>
        <v>Lunes</v>
      </c>
      <c r="D39" s="46">
        <f>'07_Calendario'!$D$39</f>
        <v>2</v>
      </c>
      <c r="E39" s="46" t="str">
        <f>IF('07_Calendario'!$E$39=0,"No operativo",IF(H39&gt;0,"Producción",IF(K39&gt;0,"Cambio","Libre")))</f>
        <v>Libre</v>
      </c>
      <c r="F39" s="46" t="str">
        <f>IF(H39=0,"—",INDEX('08_PLAN_MAESTRO'!$A$7:$A$23,MATCH(MAX('08_PLAN_MAESTRO'!AL$7:AL$23),'08_PLAN_MAESTRO'!AL$7:AL$23,0)))</f>
        <v>—</v>
      </c>
      <c r="G39" s="55" t="str">
        <f>IFERROR(INDEX('02_Datos_Maestros'!$B$5:$B$21,MATCH($F39,'02_Datos_Maestros'!$A$5:$A$21,0)),"—")</f>
        <v>—</v>
      </c>
      <c r="H39" s="46">
        <f>COUNTIF('08_PLAN_MAESTRO'!AL$7:AL$23,"&gt;0")</f>
        <v>0</v>
      </c>
      <c r="I39" s="56">
        <f>IFERROR('08_PLAN_MAESTRO'!AL$25,0)</f>
        <v>0</v>
      </c>
      <c r="J39" s="56">
        <f>IFERROR('08_PLAN_MAESTRO'!AL$26,0)</f>
        <v>0</v>
      </c>
      <c r="K39" s="56">
        <f>IFERROR('08_PLAN_MAESTRO'!AL$27,0)</f>
        <v>0</v>
      </c>
      <c r="L39" s="56">
        <f>IFERROR('08_PLAN_MAESTRO'!AL$28,0)</f>
        <v>0</v>
      </c>
      <c r="M39" s="56">
        <f>IFERROR('08_PLAN_MAESTRO'!AL$29,0)</f>
        <v>480</v>
      </c>
      <c r="N39" s="57">
        <f>IFERROR('08_PLAN_MAESTRO'!AL$30,0)</f>
        <v>0</v>
      </c>
    </row>
    <row r="40" spans="1:14" x14ac:dyDescent="0.2">
      <c r="A40" s="46">
        <f>'07_Calendario'!$F$40</f>
        <v>34</v>
      </c>
      <c r="B40" s="54">
        <f>'07_Calendario'!$B$40</f>
        <v>46279</v>
      </c>
      <c r="C40" s="46" t="str">
        <f>'07_Calendario'!$C$40</f>
        <v>Lunes</v>
      </c>
      <c r="D40" s="46">
        <f>'07_Calendario'!$D$40</f>
        <v>3</v>
      </c>
      <c r="E40" s="46" t="str">
        <f>IF('07_Calendario'!$E$40=0,"No operativo",IF(H40&gt;0,"Producción",IF(K40&gt;0,"Cambio","Libre")))</f>
        <v>Libre</v>
      </c>
      <c r="F40" s="46" t="str">
        <f>IF(H40=0,"—",INDEX('08_PLAN_MAESTRO'!$A$7:$A$23,MATCH(MAX('08_PLAN_MAESTRO'!AM$7:AM$23),'08_PLAN_MAESTRO'!AM$7:AM$23,0)))</f>
        <v>—</v>
      </c>
      <c r="G40" s="55" t="str">
        <f>IFERROR(INDEX('02_Datos_Maestros'!$B$5:$B$21,MATCH($F40,'02_Datos_Maestros'!$A$5:$A$21,0)),"—")</f>
        <v>—</v>
      </c>
      <c r="H40" s="46">
        <f>COUNTIF('08_PLAN_MAESTRO'!AM$7:AM$23,"&gt;0")</f>
        <v>0</v>
      </c>
      <c r="I40" s="56">
        <f>IFERROR('08_PLAN_MAESTRO'!AM$25,0)</f>
        <v>0</v>
      </c>
      <c r="J40" s="56">
        <f>IFERROR('08_PLAN_MAESTRO'!AM$26,0)</f>
        <v>0</v>
      </c>
      <c r="K40" s="56">
        <f>IFERROR('08_PLAN_MAESTRO'!AM$27,0)</f>
        <v>0</v>
      </c>
      <c r="L40" s="56">
        <f>IFERROR('08_PLAN_MAESTRO'!AM$28,0)</f>
        <v>0</v>
      </c>
      <c r="M40" s="56">
        <f>IFERROR('08_PLAN_MAESTRO'!AM$29,0)</f>
        <v>480</v>
      </c>
      <c r="N40" s="57">
        <f>IFERROR('08_PLAN_MAESTRO'!AM$30,0)</f>
        <v>0</v>
      </c>
    </row>
    <row r="41" spans="1:14" x14ac:dyDescent="0.2">
      <c r="A41" s="46">
        <f>'07_Calendario'!$F$41</f>
        <v>35</v>
      </c>
      <c r="B41" s="54">
        <f>'07_Calendario'!$B$41</f>
        <v>46280</v>
      </c>
      <c r="C41" s="46" t="str">
        <f>'07_Calendario'!$C$41</f>
        <v>Martes</v>
      </c>
      <c r="D41" s="46">
        <f>'07_Calendario'!$D$41</f>
        <v>1</v>
      </c>
      <c r="E41" s="46" t="str">
        <f>IF('07_Calendario'!$E$41=0,"No operativo",IF(H41&gt;0,"Producción",IF(K41&gt;0,"Cambio","Libre")))</f>
        <v>Libre</v>
      </c>
      <c r="F41" s="46" t="str">
        <f>IF(H41=0,"—",INDEX('08_PLAN_MAESTRO'!$A$7:$A$23,MATCH(MAX('08_PLAN_MAESTRO'!AN$7:AN$23),'08_PLAN_MAESTRO'!AN$7:AN$23,0)))</f>
        <v>—</v>
      </c>
      <c r="G41" s="55" t="str">
        <f>IFERROR(INDEX('02_Datos_Maestros'!$B$5:$B$21,MATCH($F41,'02_Datos_Maestros'!$A$5:$A$21,0)),"—")</f>
        <v>—</v>
      </c>
      <c r="H41" s="46">
        <f>COUNTIF('08_PLAN_MAESTRO'!AN$7:AN$23,"&gt;0")</f>
        <v>0</v>
      </c>
      <c r="I41" s="56">
        <f>IFERROR('08_PLAN_MAESTRO'!AN$25,0)</f>
        <v>0</v>
      </c>
      <c r="J41" s="56">
        <f>IFERROR('08_PLAN_MAESTRO'!AN$26,0)</f>
        <v>0</v>
      </c>
      <c r="K41" s="56">
        <f>IFERROR('08_PLAN_MAESTRO'!AN$27,0)</f>
        <v>0</v>
      </c>
      <c r="L41" s="56">
        <f>IFERROR('08_PLAN_MAESTRO'!AN$28,0)</f>
        <v>0</v>
      </c>
      <c r="M41" s="56">
        <f>IFERROR('08_PLAN_MAESTRO'!AN$29,0)</f>
        <v>480</v>
      </c>
      <c r="N41" s="57">
        <f>IFERROR('08_PLAN_MAESTRO'!AN$30,0)</f>
        <v>0</v>
      </c>
    </row>
    <row r="42" spans="1:14" x14ac:dyDescent="0.2">
      <c r="A42" s="46">
        <f>'07_Calendario'!$F$42</f>
        <v>36</v>
      </c>
      <c r="B42" s="54">
        <f>'07_Calendario'!$B$42</f>
        <v>46280</v>
      </c>
      <c r="C42" s="46" t="str">
        <f>'07_Calendario'!$C$42</f>
        <v>Martes</v>
      </c>
      <c r="D42" s="46">
        <f>'07_Calendario'!$D$42</f>
        <v>2</v>
      </c>
      <c r="E42" s="46" t="str">
        <f>IF('07_Calendario'!$E$42=0,"No operativo",IF(H42&gt;0,"Producción",IF(K42&gt;0,"Cambio","Libre")))</f>
        <v>Libre</v>
      </c>
      <c r="F42" s="46" t="str">
        <f>IF(H42=0,"—",INDEX('08_PLAN_MAESTRO'!$A$7:$A$23,MATCH(MAX('08_PLAN_MAESTRO'!AO$7:AO$23),'08_PLAN_MAESTRO'!AO$7:AO$23,0)))</f>
        <v>—</v>
      </c>
      <c r="G42" s="55" t="str">
        <f>IFERROR(INDEX('02_Datos_Maestros'!$B$5:$B$21,MATCH($F42,'02_Datos_Maestros'!$A$5:$A$21,0)),"—")</f>
        <v>—</v>
      </c>
      <c r="H42" s="46">
        <f>COUNTIF('08_PLAN_MAESTRO'!AO$7:AO$23,"&gt;0")</f>
        <v>0</v>
      </c>
      <c r="I42" s="56">
        <f>IFERROR('08_PLAN_MAESTRO'!AO$25,0)</f>
        <v>0</v>
      </c>
      <c r="J42" s="56">
        <f>IFERROR('08_PLAN_MAESTRO'!AO$26,0)</f>
        <v>0</v>
      </c>
      <c r="K42" s="56">
        <f>IFERROR('08_PLAN_MAESTRO'!AO$27,0)</f>
        <v>0</v>
      </c>
      <c r="L42" s="56">
        <f>IFERROR('08_PLAN_MAESTRO'!AO$28,0)</f>
        <v>0</v>
      </c>
      <c r="M42" s="56">
        <f>IFERROR('08_PLAN_MAESTRO'!AO$29,0)</f>
        <v>480</v>
      </c>
      <c r="N42" s="57">
        <f>IFERROR('08_PLAN_MAESTRO'!AO$30,0)</f>
        <v>0</v>
      </c>
    </row>
    <row r="43" spans="1:14" x14ac:dyDescent="0.2">
      <c r="A43" s="46">
        <f>'07_Calendario'!$F$43</f>
        <v>37</v>
      </c>
      <c r="B43" s="54">
        <f>'07_Calendario'!$B$43</f>
        <v>46280</v>
      </c>
      <c r="C43" s="46" t="str">
        <f>'07_Calendario'!$C$43</f>
        <v>Martes</v>
      </c>
      <c r="D43" s="46">
        <f>'07_Calendario'!$D$43</f>
        <v>3</v>
      </c>
      <c r="E43" s="46" t="str">
        <f>IF('07_Calendario'!$E$43=0,"No operativo",IF(H43&gt;0,"Producción",IF(K43&gt;0,"Cambio","Libre")))</f>
        <v>Libre</v>
      </c>
      <c r="F43" s="46" t="str">
        <f>IF(H43=0,"—",INDEX('08_PLAN_MAESTRO'!$A$7:$A$23,MATCH(MAX('08_PLAN_MAESTRO'!AP$7:AP$23),'08_PLAN_MAESTRO'!AP$7:AP$23,0)))</f>
        <v>—</v>
      </c>
      <c r="G43" s="55" t="str">
        <f>IFERROR(INDEX('02_Datos_Maestros'!$B$5:$B$21,MATCH($F43,'02_Datos_Maestros'!$A$5:$A$21,0)),"—")</f>
        <v>—</v>
      </c>
      <c r="H43" s="46">
        <f>COUNTIF('08_PLAN_MAESTRO'!AP$7:AP$23,"&gt;0")</f>
        <v>0</v>
      </c>
      <c r="I43" s="56">
        <f>IFERROR('08_PLAN_MAESTRO'!AP$25,0)</f>
        <v>0</v>
      </c>
      <c r="J43" s="56">
        <f>IFERROR('08_PLAN_MAESTRO'!AP$26,0)</f>
        <v>0</v>
      </c>
      <c r="K43" s="56">
        <f>IFERROR('08_PLAN_MAESTRO'!AP$27,0)</f>
        <v>0</v>
      </c>
      <c r="L43" s="56">
        <f>IFERROR('08_PLAN_MAESTRO'!AP$28,0)</f>
        <v>0</v>
      </c>
      <c r="M43" s="56">
        <f>IFERROR('08_PLAN_MAESTRO'!AP$29,0)</f>
        <v>480</v>
      </c>
      <c r="N43" s="57">
        <f>IFERROR('08_PLAN_MAESTRO'!AP$30,0)</f>
        <v>0</v>
      </c>
    </row>
    <row r="44" spans="1:14" x14ac:dyDescent="0.2">
      <c r="A44" s="46">
        <f>'07_Calendario'!$F$44</f>
        <v>38</v>
      </c>
      <c r="B44" s="54">
        <f>'07_Calendario'!$B$44</f>
        <v>46281</v>
      </c>
      <c r="C44" s="46" t="str">
        <f>'07_Calendario'!$C$44</f>
        <v>Miércoles</v>
      </c>
      <c r="D44" s="46">
        <f>'07_Calendario'!$D$44</f>
        <v>1</v>
      </c>
      <c r="E44" s="46" t="str">
        <f>IF('07_Calendario'!$E$44=0,"No operativo",IF(H44&gt;0,"Producción",IF(K44&gt;0,"Cambio","Libre")))</f>
        <v>Libre</v>
      </c>
      <c r="F44" s="46" t="str">
        <f>IF(H44=0,"—",INDEX('08_PLAN_MAESTRO'!$A$7:$A$23,MATCH(MAX('08_PLAN_MAESTRO'!AQ$7:AQ$23),'08_PLAN_MAESTRO'!AQ$7:AQ$23,0)))</f>
        <v>—</v>
      </c>
      <c r="G44" s="55" t="str">
        <f>IFERROR(INDEX('02_Datos_Maestros'!$B$5:$B$21,MATCH($F44,'02_Datos_Maestros'!$A$5:$A$21,0)),"—")</f>
        <v>—</v>
      </c>
      <c r="H44" s="46">
        <f>COUNTIF('08_PLAN_MAESTRO'!AQ$7:AQ$23,"&gt;0")</f>
        <v>0</v>
      </c>
      <c r="I44" s="56">
        <f>IFERROR('08_PLAN_MAESTRO'!AQ$25,0)</f>
        <v>0</v>
      </c>
      <c r="J44" s="56">
        <f>IFERROR('08_PLAN_MAESTRO'!AQ$26,0)</f>
        <v>0</v>
      </c>
      <c r="K44" s="56">
        <f>IFERROR('08_PLAN_MAESTRO'!AQ$27,0)</f>
        <v>0</v>
      </c>
      <c r="L44" s="56">
        <f>IFERROR('08_PLAN_MAESTRO'!AQ$28,0)</f>
        <v>0</v>
      </c>
      <c r="M44" s="56">
        <f>IFERROR('08_PLAN_MAESTRO'!AQ$29,0)</f>
        <v>480</v>
      </c>
      <c r="N44" s="57">
        <f>IFERROR('08_PLAN_MAESTRO'!AQ$30,0)</f>
        <v>0</v>
      </c>
    </row>
    <row r="45" spans="1:14" x14ac:dyDescent="0.2">
      <c r="A45" s="46">
        <f>'07_Calendario'!$F$45</f>
        <v>39</v>
      </c>
      <c r="B45" s="54">
        <f>'07_Calendario'!$B$45</f>
        <v>46281</v>
      </c>
      <c r="C45" s="46" t="str">
        <f>'07_Calendario'!$C$45</f>
        <v>Miércoles</v>
      </c>
      <c r="D45" s="46">
        <f>'07_Calendario'!$D$45</f>
        <v>2</v>
      </c>
      <c r="E45" s="46" t="str">
        <f>IF('07_Calendario'!$E$45=0,"No operativo",IF(H45&gt;0,"Producción",IF(K45&gt;0,"Cambio","Libre")))</f>
        <v>Libre</v>
      </c>
      <c r="F45" s="46" t="str">
        <f>IF(H45=0,"—",INDEX('08_PLAN_MAESTRO'!$A$7:$A$23,MATCH(MAX('08_PLAN_MAESTRO'!AR$7:AR$23),'08_PLAN_MAESTRO'!AR$7:AR$23,0)))</f>
        <v>—</v>
      </c>
      <c r="G45" s="55" t="str">
        <f>IFERROR(INDEX('02_Datos_Maestros'!$B$5:$B$21,MATCH($F45,'02_Datos_Maestros'!$A$5:$A$21,0)),"—")</f>
        <v>—</v>
      </c>
      <c r="H45" s="46">
        <f>COUNTIF('08_PLAN_MAESTRO'!AR$7:AR$23,"&gt;0")</f>
        <v>0</v>
      </c>
      <c r="I45" s="56">
        <f>IFERROR('08_PLAN_MAESTRO'!AR$25,0)</f>
        <v>0</v>
      </c>
      <c r="J45" s="56">
        <f>IFERROR('08_PLAN_MAESTRO'!AR$26,0)</f>
        <v>0</v>
      </c>
      <c r="K45" s="56">
        <f>IFERROR('08_PLAN_MAESTRO'!AR$27,0)</f>
        <v>0</v>
      </c>
      <c r="L45" s="56">
        <f>IFERROR('08_PLAN_MAESTRO'!AR$28,0)</f>
        <v>0</v>
      </c>
      <c r="M45" s="56">
        <f>IFERROR('08_PLAN_MAESTRO'!AR$29,0)</f>
        <v>480</v>
      </c>
      <c r="N45" s="57">
        <f>IFERROR('08_PLAN_MAESTRO'!AR$30,0)</f>
        <v>0</v>
      </c>
    </row>
    <row r="46" spans="1:14" x14ac:dyDescent="0.2">
      <c r="A46" s="46">
        <f>'07_Calendario'!$F$46</f>
        <v>40</v>
      </c>
      <c r="B46" s="54">
        <f>'07_Calendario'!$B$46</f>
        <v>46281</v>
      </c>
      <c r="C46" s="46" t="str">
        <f>'07_Calendario'!$C$46</f>
        <v>Miércoles</v>
      </c>
      <c r="D46" s="46">
        <f>'07_Calendario'!$D$46</f>
        <v>3</v>
      </c>
      <c r="E46" s="46" t="str">
        <f>IF('07_Calendario'!$E$46=0,"No operativo",IF(H46&gt;0,"Producción",IF(K46&gt;0,"Cambio","Libre")))</f>
        <v>Libre</v>
      </c>
      <c r="F46" s="46" t="str">
        <f>IF(H46=0,"—",INDEX('08_PLAN_MAESTRO'!$A$7:$A$23,MATCH(MAX('08_PLAN_MAESTRO'!AS$7:AS$23),'08_PLAN_MAESTRO'!AS$7:AS$23,0)))</f>
        <v>—</v>
      </c>
      <c r="G46" s="55" t="str">
        <f>IFERROR(INDEX('02_Datos_Maestros'!$B$5:$B$21,MATCH($F46,'02_Datos_Maestros'!$A$5:$A$21,0)),"—")</f>
        <v>—</v>
      </c>
      <c r="H46" s="46">
        <f>COUNTIF('08_PLAN_MAESTRO'!AS$7:AS$23,"&gt;0")</f>
        <v>0</v>
      </c>
      <c r="I46" s="56">
        <f>IFERROR('08_PLAN_MAESTRO'!AS$25,0)</f>
        <v>0</v>
      </c>
      <c r="J46" s="56">
        <f>IFERROR('08_PLAN_MAESTRO'!AS$26,0)</f>
        <v>0</v>
      </c>
      <c r="K46" s="56">
        <f>IFERROR('08_PLAN_MAESTRO'!AS$27,0)</f>
        <v>0</v>
      </c>
      <c r="L46" s="56">
        <f>IFERROR('08_PLAN_MAESTRO'!AS$28,0)</f>
        <v>0</v>
      </c>
      <c r="M46" s="56">
        <f>IFERROR('08_PLAN_MAESTRO'!AS$29,0)</f>
        <v>480</v>
      </c>
      <c r="N46" s="57">
        <f>IFERROR('08_PLAN_MAESTRO'!AS$30,0)</f>
        <v>0</v>
      </c>
    </row>
    <row r="47" spans="1:14" x14ac:dyDescent="0.2">
      <c r="A47" s="46">
        <f>'07_Calendario'!$F$47</f>
        <v>41</v>
      </c>
      <c r="B47" s="54">
        <f>'07_Calendario'!$B$47</f>
        <v>46282</v>
      </c>
      <c r="C47" s="46" t="str">
        <f>'07_Calendario'!$C$47</f>
        <v>Jueves</v>
      </c>
      <c r="D47" s="46">
        <f>'07_Calendario'!$D$47</f>
        <v>1</v>
      </c>
      <c r="E47" s="46" t="str">
        <f>IF('07_Calendario'!$E$47=0,"No operativo",IF(H47&gt;0,"Producción",IF(K47&gt;0,"Cambio","Libre")))</f>
        <v>Libre</v>
      </c>
      <c r="F47" s="46" t="str">
        <f>IF(H47=0,"—",INDEX('08_PLAN_MAESTRO'!$A$7:$A$23,MATCH(MAX('08_PLAN_MAESTRO'!AT$7:AT$23),'08_PLAN_MAESTRO'!AT$7:AT$23,0)))</f>
        <v>—</v>
      </c>
      <c r="G47" s="55" t="str">
        <f>IFERROR(INDEX('02_Datos_Maestros'!$B$5:$B$21,MATCH($F47,'02_Datos_Maestros'!$A$5:$A$21,0)),"—")</f>
        <v>—</v>
      </c>
      <c r="H47" s="46">
        <f>COUNTIF('08_PLAN_MAESTRO'!AT$7:AT$23,"&gt;0")</f>
        <v>0</v>
      </c>
      <c r="I47" s="56">
        <f>IFERROR('08_PLAN_MAESTRO'!AT$25,0)</f>
        <v>0</v>
      </c>
      <c r="J47" s="56">
        <f>IFERROR('08_PLAN_MAESTRO'!AT$26,0)</f>
        <v>0</v>
      </c>
      <c r="K47" s="56">
        <f>IFERROR('08_PLAN_MAESTRO'!AT$27,0)</f>
        <v>0</v>
      </c>
      <c r="L47" s="56">
        <f>IFERROR('08_PLAN_MAESTRO'!AT$28,0)</f>
        <v>0</v>
      </c>
      <c r="M47" s="56">
        <f>IFERROR('08_PLAN_MAESTRO'!AT$29,0)</f>
        <v>480</v>
      </c>
      <c r="N47" s="57">
        <f>IFERROR('08_PLAN_MAESTRO'!AT$30,0)</f>
        <v>0</v>
      </c>
    </row>
    <row r="48" spans="1:14" x14ac:dyDescent="0.2">
      <c r="A48" s="46">
        <f>'07_Calendario'!$F$48</f>
        <v>42</v>
      </c>
      <c r="B48" s="54">
        <f>'07_Calendario'!$B$48</f>
        <v>46282</v>
      </c>
      <c r="C48" s="46" t="str">
        <f>'07_Calendario'!$C$48</f>
        <v>Jueves</v>
      </c>
      <c r="D48" s="46">
        <f>'07_Calendario'!$D$48</f>
        <v>2</v>
      </c>
      <c r="E48" s="46" t="str">
        <f>IF('07_Calendario'!$E$48=0,"No operativo",IF(H48&gt;0,"Producción",IF(K48&gt;0,"Cambio","Libre")))</f>
        <v>Libre</v>
      </c>
      <c r="F48" s="46" t="str">
        <f>IF(H48=0,"—",INDEX('08_PLAN_MAESTRO'!$A$7:$A$23,MATCH(MAX('08_PLAN_MAESTRO'!AU$7:AU$23),'08_PLAN_MAESTRO'!AU$7:AU$23,0)))</f>
        <v>—</v>
      </c>
      <c r="G48" s="55" t="str">
        <f>IFERROR(INDEX('02_Datos_Maestros'!$B$5:$B$21,MATCH($F48,'02_Datos_Maestros'!$A$5:$A$21,0)),"—")</f>
        <v>—</v>
      </c>
      <c r="H48" s="46">
        <f>COUNTIF('08_PLAN_MAESTRO'!AU$7:AU$23,"&gt;0")</f>
        <v>0</v>
      </c>
      <c r="I48" s="56">
        <f>IFERROR('08_PLAN_MAESTRO'!AU$25,0)</f>
        <v>0</v>
      </c>
      <c r="J48" s="56">
        <f>IFERROR('08_PLAN_MAESTRO'!AU$26,0)</f>
        <v>0</v>
      </c>
      <c r="K48" s="56">
        <f>IFERROR('08_PLAN_MAESTRO'!AU$27,0)</f>
        <v>0</v>
      </c>
      <c r="L48" s="56">
        <f>IFERROR('08_PLAN_MAESTRO'!AU$28,0)</f>
        <v>0</v>
      </c>
      <c r="M48" s="56">
        <f>IFERROR('08_PLAN_MAESTRO'!AU$29,0)</f>
        <v>480</v>
      </c>
      <c r="N48" s="57">
        <f>IFERROR('08_PLAN_MAESTRO'!AU$30,0)</f>
        <v>0</v>
      </c>
    </row>
    <row r="49" spans="1:14" x14ac:dyDescent="0.2">
      <c r="A49" s="46">
        <f>'07_Calendario'!$F$49</f>
        <v>43</v>
      </c>
      <c r="B49" s="54">
        <f>'07_Calendario'!$B$49</f>
        <v>46282</v>
      </c>
      <c r="C49" s="46" t="str">
        <f>'07_Calendario'!$C$49</f>
        <v>Jueves</v>
      </c>
      <c r="D49" s="46">
        <f>'07_Calendario'!$D$49</f>
        <v>3</v>
      </c>
      <c r="E49" s="46" t="str">
        <f>IF('07_Calendario'!$E$49=0,"No operativo",IF(H49&gt;0,"Producción",IF(K49&gt;0,"Cambio","Libre")))</f>
        <v>Libre</v>
      </c>
      <c r="F49" s="46" t="str">
        <f>IF(H49=0,"—",INDEX('08_PLAN_MAESTRO'!$A$7:$A$23,MATCH(MAX('08_PLAN_MAESTRO'!AV$7:AV$23),'08_PLAN_MAESTRO'!AV$7:AV$23,0)))</f>
        <v>—</v>
      </c>
      <c r="G49" s="55" t="str">
        <f>IFERROR(INDEX('02_Datos_Maestros'!$B$5:$B$21,MATCH($F49,'02_Datos_Maestros'!$A$5:$A$21,0)),"—")</f>
        <v>—</v>
      </c>
      <c r="H49" s="46">
        <f>COUNTIF('08_PLAN_MAESTRO'!AV$7:AV$23,"&gt;0")</f>
        <v>0</v>
      </c>
      <c r="I49" s="56">
        <f>IFERROR('08_PLAN_MAESTRO'!AV$25,0)</f>
        <v>0</v>
      </c>
      <c r="J49" s="56">
        <f>IFERROR('08_PLAN_MAESTRO'!AV$26,0)</f>
        <v>0</v>
      </c>
      <c r="K49" s="56">
        <f>IFERROR('08_PLAN_MAESTRO'!AV$27,0)</f>
        <v>0</v>
      </c>
      <c r="L49" s="56">
        <f>IFERROR('08_PLAN_MAESTRO'!AV$28,0)</f>
        <v>0</v>
      </c>
      <c r="M49" s="56">
        <f>IFERROR('08_PLAN_MAESTRO'!AV$29,0)</f>
        <v>480</v>
      </c>
      <c r="N49" s="57">
        <f>IFERROR('08_PLAN_MAESTRO'!AV$30,0)</f>
        <v>0</v>
      </c>
    </row>
    <row r="50" spans="1:14" x14ac:dyDescent="0.2">
      <c r="A50" s="46">
        <f>'07_Calendario'!$F$50</f>
        <v>44</v>
      </c>
      <c r="B50" s="54">
        <f>'07_Calendario'!$B$50</f>
        <v>46283</v>
      </c>
      <c r="C50" s="46" t="str">
        <f>'07_Calendario'!$C$50</f>
        <v>Viernes</v>
      </c>
      <c r="D50" s="46">
        <f>'07_Calendario'!$D$50</f>
        <v>1</v>
      </c>
      <c r="E50" s="46" t="str">
        <f>IF('07_Calendario'!$E$50=0,"No operativo",IF(H50&gt;0,"Producción",IF(K50&gt;0,"Cambio","Libre")))</f>
        <v>Libre</v>
      </c>
      <c r="F50" s="46" t="str">
        <f>IF(H50=0,"—",INDEX('08_PLAN_MAESTRO'!$A$7:$A$23,MATCH(MAX('08_PLAN_MAESTRO'!AW$7:AW$23),'08_PLAN_MAESTRO'!AW$7:AW$23,0)))</f>
        <v>—</v>
      </c>
      <c r="G50" s="55" t="str">
        <f>IFERROR(INDEX('02_Datos_Maestros'!$B$5:$B$21,MATCH($F50,'02_Datos_Maestros'!$A$5:$A$21,0)),"—")</f>
        <v>—</v>
      </c>
      <c r="H50" s="46">
        <f>COUNTIF('08_PLAN_MAESTRO'!AW$7:AW$23,"&gt;0")</f>
        <v>0</v>
      </c>
      <c r="I50" s="56">
        <f>IFERROR('08_PLAN_MAESTRO'!AW$25,0)</f>
        <v>0</v>
      </c>
      <c r="J50" s="56">
        <f>IFERROR('08_PLAN_MAESTRO'!AW$26,0)</f>
        <v>0</v>
      </c>
      <c r="K50" s="56">
        <f>IFERROR('08_PLAN_MAESTRO'!AW$27,0)</f>
        <v>0</v>
      </c>
      <c r="L50" s="56">
        <f>IFERROR('08_PLAN_MAESTRO'!AW$28,0)</f>
        <v>0</v>
      </c>
      <c r="M50" s="56">
        <f>IFERROR('08_PLAN_MAESTRO'!AW$29,0)</f>
        <v>480</v>
      </c>
      <c r="N50" s="57">
        <f>IFERROR('08_PLAN_MAESTRO'!AW$30,0)</f>
        <v>0</v>
      </c>
    </row>
    <row r="51" spans="1:14" x14ac:dyDescent="0.2">
      <c r="A51" s="46">
        <f>'07_Calendario'!$F$51</f>
        <v>45</v>
      </c>
      <c r="B51" s="54">
        <f>'07_Calendario'!$B$51</f>
        <v>46283</v>
      </c>
      <c r="C51" s="46" t="str">
        <f>'07_Calendario'!$C$51</f>
        <v>Viernes</v>
      </c>
      <c r="D51" s="46">
        <f>'07_Calendario'!$D$51</f>
        <v>2</v>
      </c>
      <c r="E51" s="46" t="str">
        <f>IF('07_Calendario'!$E$51=0,"No operativo",IF(H51&gt;0,"Producción",IF(K51&gt;0,"Cambio","Libre")))</f>
        <v>Libre</v>
      </c>
      <c r="F51" s="46" t="str">
        <f>IF(H51=0,"—",INDEX('08_PLAN_MAESTRO'!$A$7:$A$23,MATCH(MAX('08_PLAN_MAESTRO'!AX$7:AX$23),'08_PLAN_MAESTRO'!AX$7:AX$23,0)))</f>
        <v>—</v>
      </c>
      <c r="G51" s="55" t="str">
        <f>IFERROR(INDEX('02_Datos_Maestros'!$B$5:$B$21,MATCH($F51,'02_Datos_Maestros'!$A$5:$A$21,0)),"—")</f>
        <v>—</v>
      </c>
      <c r="H51" s="46">
        <f>COUNTIF('08_PLAN_MAESTRO'!AX$7:AX$23,"&gt;0")</f>
        <v>0</v>
      </c>
      <c r="I51" s="56">
        <f>IFERROR('08_PLAN_MAESTRO'!AX$25,0)</f>
        <v>0</v>
      </c>
      <c r="J51" s="56">
        <f>IFERROR('08_PLAN_MAESTRO'!AX$26,0)</f>
        <v>0</v>
      </c>
      <c r="K51" s="56">
        <f>IFERROR('08_PLAN_MAESTRO'!AX$27,0)</f>
        <v>0</v>
      </c>
      <c r="L51" s="56">
        <f>IFERROR('08_PLAN_MAESTRO'!AX$28,0)</f>
        <v>0</v>
      </c>
      <c r="M51" s="56">
        <f>IFERROR('08_PLAN_MAESTRO'!AX$29,0)</f>
        <v>480</v>
      </c>
      <c r="N51" s="57">
        <f>IFERROR('08_PLAN_MAESTRO'!AX$30,0)</f>
        <v>0</v>
      </c>
    </row>
    <row r="52" spans="1:14" x14ac:dyDescent="0.2">
      <c r="A52" s="46">
        <f>'07_Calendario'!$F$52</f>
        <v>46</v>
      </c>
      <c r="B52" s="54">
        <f>'07_Calendario'!$B$52</f>
        <v>46283</v>
      </c>
      <c r="C52" s="46" t="str">
        <f>'07_Calendario'!$C$52</f>
        <v>Viernes</v>
      </c>
      <c r="D52" s="46">
        <f>'07_Calendario'!$D$52</f>
        <v>3</v>
      </c>
      <c r="E52" s="46" t="str">
        <f>IF('07_Calendario'!$E$52=0,"No operativo",IF(H52&gt;0,"Producción",IF(K52&gt;0,"Cambio","Libre")))</f>
        <v>Libre</v>
      </c>
      <c r="F52" s="46" t="str">
        <f>IF(H52=0,"—",INDEX('08_PLAN_MAESTRO'!$A$7:$A$23,MATCH(MAX('08_PLAN_MAESTRO'!AY$7:AY$23),'08_PLAN_MAESTRO'!AY$7:AY$23,0)))</f>
        <v>—</v>
      </c>
      <c r="G52" s="55" t="str">
        <f>IFERROR(INDEX('02_Datos_Maestros'!$B$5:$B$21,MATCH($F52,'02_Datos_Maestros'!$A$5:$A$21,0)),"—")</f>
        <v>—</v>
      </c>
      <c r="H52" s="46">
        <f>COUNTIF('08_PLAN_MAESTRO'!AY$7:AY$23,"&gt;0")</f>
        <v>0</v>
      </c>
      <c r="I52" s="56">
        <f>IFERROR('08_PLAN_MAESTRO'!AY$25,0)</f>
        <v>0</v>
      </c>
      <c r="J52" s="56">
        <f>IFERROR('08_PLAN_MAESTRO'!AY$26,0)</f>
        <v>0</v>
      </c>
      <c r="K52" s="56">
        <f>IFERROR('08_PLAN_MAESTRO'!AY$27,0)</f>
        <v>0</v>
      </c>
      <c r="L52" s="56">
        <f>IFERROR('08_PLAN_MAESTRO'!AY$28,0)</f>
        <v>0</v>
      </c>
      <c r="M52" s="56">
        <f>IFERROR('08_PLAN_MAESTRO'!AY$29,0)</f>
        <v>480</v>
      </c>
      <c r="N52" s="57">
        <f>IFERROR('08_PLAN_MAESTRO'!AY$30,0)</f>
        <v>0</v>
      </c>
    </row>
    <row r="53" spans="1:14" x14ac:dyDescent="0.2">
      <c r="A53" s="46">
        <f>'07_Calendario'!$F$53</f>
        <v>47</v>
      </c>
      <c r="B53" s="54">
        <f>'07_Calendario'!$B$53</f>
        <v>46284</v>
      </c>
      <c r="C53" s="46" t="str">
        <f>'07_Calendario'!$C$53</f>
        <v>Sábado</v>
      </c>
      <c r="D53" s="46">
        <f>'07_Calendario'!$D$53</f>
        <v>1</v>
      </c>
      <c r="E53" s="46" t="str">
        <f>IF('07_Calendario'!$E$53=0,"No operativo",IF(H53&gt;0,"Producción",IF(K53&gt;0,"Cambio","Libre")))</f>
        <v>Libre</v>
      </c>
      <c r="F53" s="46" t="str">
        <f>IF(H53=0,"—",INDEX('08_PLAN_MAESTRO'!$A$7:$A$23,MATCH(MAX('08_PLAN_MAESTRO'!AZ$7:AZ$23),'08_PLAN_MAESTRO'!AZ$7:AZ$23,0)))</f>
        <v>—</v>
      </c>
      <c r="G53" s="55" t="str">
        <f>IFERROR(INDEX('02_Datos_Maestros'!$B$5:$B$21,MATCH($F53,'02_Datos_Maestros'!$A$5:$A$21,0)),"—")</f>
        <v>—</v>
      </c>
      <c r="H53" s="46">
        <f>COUNTIF('08_PLAN_MAESTRO'!AZ$7:AZ$23,"&gt;0")</f>
        <v>0</v>
      </c>
      <c r="I53" s="56">
        <f>IFERROR('08_PLAN_MAESTRO'!AZ$25,0)</f>
        <v>0</v>
      </c>
      <c r="J53" s="56">
        <f>IFERROR('08_PLAN_MAESTRO'!AZ$26,0)</f>
        <v>0</v>
      </c>
      <c r="K53" s="56">
        <f>IFERROR('08_PLAN_MAESTRO'!AZ$27,0)</f>
        <v>0</v>
      </c>
      <c r="L53" s="56">
        <f>IFERROR('08_PLAN_MAESTRO'!AZ$28,0)</f>
        <v>0</v>
      </c>
      <c r="M53" s="56">
        <f>IFERROR('08_PLAN_MAESTRO'!AZ$29,0)</f>
        <v>480</v>
      </c>
      <c r="N53" s="57">
        <f>IFERROR('08_PLAN_MAESTRO'!AZ$30,0)</f>
        <v>0</v>
      </c>
    </row>
    <row r="54" spans="1:14" x14ac:dyDescent="0.2">
      <c r="A54" s="46">
        <f>'07_Calendario'!$F$54</f>
        <v>48</v>
      </c>
      <c r="B54" s="54">
        <f>'07_Calendario'!$B$54</f>
        <v>46284</v>
      </c>
      <c r="C54" s="46" t="str">
        <f>'07_Calendario'!$C$54</f>
        <v>Sábado</v>
      </c>
      <c r="D54" s="46">
        <f>'07_Calendario'!$D$54</f>
        <v>2</v>
      </c>
      <c r="E54" s="46" t="str">
        <f>IF('07_Calendario'!$E$54=0,"No operativo",IF(H54&gt;0,"Producción",IF(K54&gt;0,"Cambio","Libre")))</f>
        <v>Libre</v>
      </c>
      <c r="F54" s="46" t="str">
        <f>IF(H54=0,"—",INDEX('08_PLAN_MAESTRO'!$A$7:$A$23,MATCH(MAX('08_PLAN_MAESTRO'!BA$7:BA$23),'08_PLAN_MAESTRO'!BA$7:BA$23,0)))</f>
        <v>—</v>
      </c>
      <c r="G54" s="55" t="str">
        <f>IFERROR(INDEX('02_Datos_Maestros'!$B$5:$B$21,MATCH($F54,'02_Datos_Maestros'!$A$5:$A$21,0)),"—")</f>
        <v>—</v>
      </c>
      <c r="H54" s="46">
        <f>COUNTIF('08_PLAN_MAESTRO'!BA$7:BA$23,"&gt;0")</f>
        <v>0</v>
      </c>
      <c r="I54" s="56">
        <f>IFERROR('08_PLAN_MAESTRO'!BA$25,0)</f>
        <v>0</v>
      </c>
      <c r="J54" s="56">
        <f>IFERROR('08_PLAN_MAESTRO'!BA$26,0)</f>
        <v>0</v>
      </c>
      <c r="K54" s="56">
        <f>IFERROR('08_PLAN_MAESTRO'!BA$27,0)</f>
        <v>0</v>
      </c>
      <c r="L54" s="56">
        <f>IFERROR('08_PLAN_MAESTRO'!BA$28,0)</f>
        <v>0</v>
      </c>
      <c r="M54" s="56">
        <f>IFERROR('08_PLAN_MAESTRO'!BA$29,0)</f>
        <v>480</v>
      </c>
      <c r="N54" s="57">
        <f>IFERROR('08_PLAN_MAESTRO'!BA$30,0)</f>
        <v>0</v>
      </c>
    </row>
    <row r="55" spans="1:14" x14ac:dyDescent="0.2">
      <c r="A55" s="46" t="str">
        <f>'07_Calendario'!$F$55</f>
        <v/>
      </c>
      <c r="B55" s="54">
        <f>'07_Calendario'!$B$55</f>
        <v>46284</v>
      </c>
      <c r="C55" s="46" t="str">
        <f>'07_Calendario'!$C$55</f>
        <v>Sábado</v>
      </c>
      <c r="D55" s="46">
        <f>'07_Calendario'!$D$55</f>
        <v>3</v>
      </c>
      <c r="E55" s="46" t="str">
        <f>IF('07_Calendario'!$E$55=0,"No operativo",IF(H55&gt;0,"Producción",IF(K55&gt;0,"Cambio","Libre")))</f>
        <v>No operativo</v>
      </c>
      <c r="F55" s="46" t="str">
        <f>IF(H55=0,"—",INDEX('08_PLAN_MAESTRO'!$A$7:$A$23,MATCH(MAX('08_PLAN_MAESTRO'!BB$7:BB$23),'08_PLAN_MAESTRO'!BB$7:BB$23,0)))</f>
        <v>—</v>
      </c>
      <c r="G55" s="55" t="str">
        <f>IFERROR(INDEX('02_Datos_Maestros'!$B$5:$B$21,MATCH($F55,'02_Datos_Maestros'!$A$5:$A$21,0)),"—")</f>
        <v>—</v>
      </c>
      <c r="H55" s="46">
        <f>COUNTIF('08_PLAN_MAESTRO'!BB$7:BB$23,"&gt;0")</f>
        <v>0</v>
      </c>
      <c r="I55" s="56" t="str">
        <f>IFERROR('08_PLAN_MAESTRO'!BB$25,0)</f>
        <v/>
      </c>
      <c r="J55" s="56" t="str">
        <f>IFERROR('08_PLAN_MAESTRO'!BB$26,0)</f>
        <v/>
      </c>
      <c r="K55" s="56" t="str">
        <f>IFERROR('08_PLAN_MAESTRO'!BB$27,0)</f>
        <v/>
      </c>
      <c r="L55" s="56" t="str">
        <f>IFERROR('08_PLAN_MAESTRO'!BB$28,0)</f>
        <v/>
      </c>
      <c r="M55" s="56" t="str">
        <f>IFERROR('08_PLAN_MAESTRO'!BB$29,0)</f>
        <v/>
      </c>
      <c r="N55" s="57" t="str">
        <f>IFERROR('08_PLAN_MAESTRO'!BB$30,0)</f>
        <v/>
      </c>
    </row>
    <row r="56" spans="1:14" x14ac:dyDescent="0.2">
      <c r="A56" s="46">
        <f>'07_Calendario'!$F$56</f>
        <v>49</v>
      </c>
      <c r="B56" s="54">
        <f>'07_Calendario'!$B$56</f>
        <v>46286</v>
      </c>
      <c r="C56" s="46" t="str">
        <f>'07_Calendario'!$C$56</f>
        <v>Lunes</v>
      </c>
      <c r="D56" s="46">
        <f>'07_Calendario'!$D$56</f>
        <v>1</v>
      </c>
      <c r="E56" s="46" t="str">
        <f>IF('07_Calendario'!$E$56=0,"No operativo",IF(H56&gt;0,"Producción",IF(K56&gt;0,"Cambio","Libre")))</f>
        <v>Libre</v>
      </c>
      <c r="F56" s="46" t="str">
        <f>IF(H56=0,"—",INDEX('08_PLAN_MAESTRO'!$A$7:$A$23,MATCH(MAX('08_PLAN_MAESTRO'!BC$7:BC$23),'08_PLAN_MAESTRO'!BC$7:BC$23,0)))</f>
        <v>—</v>
      </c>
      <c r="G56" s="55" t="str">
        <f>IFERROR(INDEX('02_Datos_Maestros'!$B$5:$B$21,MATCH($F56,'02_Datos_Maestros'!$A$5:$A$21,0)),"—")</f>
        <v>—</v>
      </c>
      <c r="H56" s="46">
        <f>COUNTIF('08_PLAN_MAESTRO'!BC$7:BC$23,"&gt;0")</f>
        <v>0</v>
      </c>
      <c r="I56" s="56">
        <f>IFERROR('08_PLAN_MAESTRO'!BC$25,0)</f>
        <v>0</v>
      </c>
      <c r="J56" s="56">
        <f>IFERROR('08_PLAN_MAESTRO'!BC$26,0)</f>
        <v>0</v>
      </c>
      <c r="K56" s="56">
        <f>IFERROR('08_PLAN_MAESTRO'!BC$27,0)</f>
        <v>0</v>
      </c>
      <c r="L56" s="56">
        <f>IFERROR('08_PLAN_MAESTRO'!BC$28,0)</f>
        <v>0</v>
      </c>
      <c r="M56" s="56">
        <f>IFERROR('08_PLAN_MAESTRO'!BC$29,0)</f>
        <v>480</v>
      </c>
      <c r="N56" s="57">
        <f>IFERROR('08_PLAN_MAESTRO'!BC$30,0)</f>
        <v>0</v>
      </c>
    </row>
    <row r="57" spans="1:14" x14ac:dyDescent="0.2">
      <c r="A57" s="46">
        <f>'07_Calendario'!$F$57</f>
        <v>50</v>
      </c>
      <c r="B57" s="54">
        <f>'07_Calendario'!$B$57</f>
        <v>46286</v>
      </c>
      <c r="C57" s="46" t="str">
        <f>'07_Calendario'!$C$57</f>
        <v>Lunes</v>
      </c>
      <c r="D57" s="46">
        <f>'07_Calendario'!$D$57</f>
        <v>2</v>
      </c>
      <c r="E57" s="46" t="str">
        <f>IF('07_Calendario'!$E$57=0,"No operativo",IF(H57&gt;0,"Producción",IF(K57&gt;0,"Cambio","Libre")))</f>
        <v>Libre</v>
      </c>
      <c r="F57" s="46" t="str">
        <f>IF(H57=0,"—",INDEX('08_PLAN_MAESTRO'!$A$7:$A$23,MATCH(MAX('08_PLAN_MAESTRO'!BD$7:BD$23),'08_PLAN_MAESTRO'!BD$7:BD$23,0)))</f>
        <v>—</v>
      </c>
      <c r="G57" s="55" t="str">
        <f>IFERROR(INDEX('02_Datos_Maestros'!$B$5:$B$21,MATCH($F57,'02_Datos_Maestros'!$A$5:$A$21,0)),"—")</f>
        <v>—</v>
      </c>
      <c r="H57" s="46">
        <f>COUNTIF('08_PLAN_MAESTRO'!BD$7:BD$23,"&gt;0")</f>
        <v>0</v>
      </c>
      <c r="I57" s="56">
        <f>IFERROR('08_PLAN_MAESTRO'!BD$25,0)</f>
        <v>0</v>
      </c>
      <c r="J57" s="56">
        <f>IFERROR('08_PLAN_MAESTRO'!BD$26,0)</f>
        <v>0</v>
      </c>
      <c r="K57" s="56">
        <f>IFERROR('08_PLAN_MAESTRO'!BD$27,0)</f>
        <v>0</v>
      </c>
      <c r="L57" s="56">
        <f>IFERROR('08_PLAN_MAESTRO'!BD$28,0)</f>
        <v>0</v>
      </c>
      <c r="M57" s="56">
        <f>IFERROR('08_PLAN_MAESTRO'!BD$29,0)</f>
        <v>480</v>
      </c>
      <c r="N57" s="57">
        <f>IFERROR('08_PLAN_MAESTRO'!BD$30,0)</f>
        <v>0</v>
      </c>
    </row>
    <row r="58" spans="1:14" x14ac:dyDescent="0.2">
      <c r="A58" s="46">
        <f>'07_Calendario'!$F$58</f>
        <v>51</v>
      </c>
      <c r="B58" s="54">
        <f>'07_Calendario'!$B$58</f>
        <v>46286</v>
      </c>
      <c r="C58" s="46" t="str">
        <f>'07_Calendario'!$C$58</f>
        <v>Lunes</v>
      </c>
      <c r="D58" s="46">
        <f>'07_Calendario'!$D$58</f>
        <v>3</v>
      </c>
      <c r="E58" s="46" t="str">
        <f>IF('07_Calendario'!$E$58=0,"No operativo",IF(H58&gt;0,"Producción",IF(K58&gt;0,"Cambio","Libre")))</f>
        <v>Libre</v>
      </c>
      <c r="F58" s="46" t="str">
        <f>IF(H58=0,"—",INDEX('08_PLAN_MAESTRO'!$A$7:$A$23,MATCH(MAX('08_PLAN_MAESTRO'!BE$7:BE$23),'08_PLAN_MAESTRO'!BE$7:BE$23,0)))</f>
        <v>—</v>
      </c>
      <c r="G58" s="55" t="str">
        <f>IFERROR(INDEX('02_Datos_Maestros'!$B$5:$B$21,MATCH($F58,'02_Datos_Maestros'!$A$5:$A$21,0)),"—")</f>
        <v>—</v>
      </c>
      <c r="H58" s="46">
        <f>COUNTIF('08_PLAN_MAESTRO'!BE$7:BE$23,"&gt;0")</f>
        <v>0</v>
      </c>
      <c r="I58" s="56">
        <f>IFERROR('08_PLAN_MAESTRO'!BE$25,0)</f>
        <v>0</v>
      </c>
      <c r="J58" s="56">
        <f>IFERROR('08_PLAN_MAESTRO'!BE$26,0)</f>
        <v>0</v>
      </c>
      <c r="K58" s="56">
        <f>IFERROR('08_PLAN_MAESTRO'!BE$27,0)</f>
        <v>0</v>
      </c>
      <c r="L58" s="56">
        <f>IFERROR('08_PLAN_MAESTRO'!BE$28,0)</f>
        <v>0</v>
      </c>
      <c r="M58" s="56">
        <f>IFERROR('08_PLAN_MAESTRO'!BE$29,0)</f>
        <v>480</v>
      </c>
      <c r="N58" s="57">
        <f>IFERROR('08_PLAN_MAESTRO'!BE$30,0)</f>
        <v>0</v>
      </c>
    </row>
    <row r="59" spans="1:14" x14ac:dyDescent="0.2">
      <c r="A59" s="46">
        <f>'07_Calendario'!$F$59</f>
        <v>52</v>
      </c>
      <c r="B59" s="54">
        <f>'07_Calendario'!$B$59</f>
        <v>46287</v>
      </c>
      <c r="C59" s="46" t="str">
        <f>'07_Calendario'!$C$59</f>
        <v>Martes</v>
      </c>
      <c r="D59" s="46">
        <f>'07_Calendario'!$D$59</f>
        <v>1</v>
      </c>
      <c r="E59" s="46" t="str">
        <f>IF('07_Calendario'!$E$59=0,"No operativo",IF(H59&gt;0,"Producción",IF(K59&gt;0,"Cambio","Libre")))</f>
        <v>Libre</v>
      </c>
      <c r="F59" s="46" t="str">
        <f>IF(H59=0,"—",INDEX('08_PLAN_MAESTRO'!$A$7:$A$23,MATCH(MAX('08_PLAN_MAESTRO'!BF$7:BF$23),'08_PLAN_MAESTRO'!BF$7:BF$23,0)))</f>
        <v>—</v>
      </c>
      <c r="G59" s="55" t="str">
        <f>IFERROR(INDEX('02_Datos_Maestros'!$B$5:$B$21,MATCH($F59,'02_Datos_Maestros'!$A$5:$A$21,0)),"—")</f>
        <v>—</v>
      </c>
      <c r="H59" s="46">
        <f>COUNTIF('08_PLAN_MAESTRO'!BF$7:BF$23,"&gt;0")</f>
        <v>0</v>
      </c>
      <c r="I59" s="56">
        <f>IFERROR('08_PLAN_MAESTRO'!BF$25,0)</f>
        <v>0</v>
      </c>
      <c r="J59" s="56">
        <f>IFERROR('08_PLAN_MAESTRO'!BF$26,0)</f>
        <v>0</v>
      </c>
      <c r="K59" s="56">
        <f>IFERROR('08_PLAN_MAESTRO'!BF$27,0)</f>
        <v>0</v>
      </c>
      <c r="L59" s="56">
        <f>IFERROR('08_PLAN_MAESTRO'!BF$28,0)</f>
        <v>0</v>
      </c>
      <c r="M59" s="56">
        <f>IFERROR('08_PLAN_MAESTRO'!BF$29,0)</f>
        <v>480</v>
      </c>
      <c r="N59" s="57">
        <f>IFERROR('08_PLAN_MAESTRO'!BF$30,0)</f>
        <v>0</v>
      </c>
    </row>
    <row r="60" spans="1:14" x14ac:dyDescent="0.2">
      <c r="A60" s="46">
        <f>'07_Calendario'!$F$60</f>
        <v>53</v>
      </c>
      <c r="B60" s="54">
        <f>'07_Calendario'!$B$60</f>
        <v>46287</v>
      </c>
      <c r="C60" s="46" t="str">
        <f>'07_Calendario'!$C$60</f>
        <v>Martes</v>
      </c>
      <c r="D60" s="46">
        <f>'07_Calendario'!$D$60</f>
        <v>2</v>
      </c>
      <c r="E60" s="46" t="str">
        <f>IF('07_Calendario'!$E$60=0,"No operativo",IF(H60&gt;0,"Producción",IF(K60&gt;0,"Cambio","Libre")))</f>
        <v>Libre</v>
      </c>
      <c r="F60" s="46" t="str">
        <f>IF(H60=0,"—",INDEX('08_PLAN_MAESTRO'!$A$7:$A$23,MATCH(MAX('08_PLAN_MAESTRO'!BG$7:BG$23),'08_PLAN_MAESTRO'!BG$7:BG$23,0)))</f>
        <v>—</v>
      </c>
      <c r="G60" s="55" t="str">
        <f>IFERROR(INDEX('02_Datos_Maestros'!$B$5:$B$21,MATCH($F60,'02_Datos_Maestros'!$A$5:$A$21,0)),"—")</f>
        <v>—</v>
      </c>
      <c r="H60" s="46">
        <f>COUNTIF('08_PLAN_MAESTRO'!BG$7:BG$23,"&gt;0")</f>
        <v>0</v>
      </c>
      <c r="I60" s="56">
        <f>IFERROR('08_PLAN_MAESTRO'!BG$25,0)</f>
        <v>0</v>
      </c>
      <c r="J60" s="56">
        <f>IFERROR('08_PLAN_MAESTRO'!BG$26,0)</f>
        <v>0</v>
      </c>
      <c r="K60" s="56">
        <f>IFERROR('08_PLAN_MAESTRO'!BG$27,0)</f>
        <v>0</v>
      </c>
      <c r="L60" s="56">
        <f>IFERROR('08_PLAN_MAESTRO'!BG$28,0)</f>
        <v>0</v>
      </c>
      <c r="M60" s="56">
        <f>IFERROR('08_PLAN_MAESTRO'!BG$29,0)</f>
        <v>480</v>
      </c>
      <c r="N60" s="57">
        <f>IFERROR('08_PLAN_MAESTRO'!BG$30,0)</f>
        <v>0</v>
      </c>
    </row>
    <row r="61" spans="1:14" x14ac:dyDescent="0.2">
      <c r="A61" s="46">
        <f>'07_Calendario'!$F$61</f>
        <v>54</v>
      </c>
      <c r="B61" s="54">
        <f>'07_Calendario'!$B$61</f>
        <v>46287</v>
      </c>
      <c r="C61" s="46" t="str">
        <f>'07_Calendario'!$C$61</f>
        <v>Martes</v>
      </c>
      <c r="D61" s="46">
        <f>'07_Calendario'!$D$61</f>
        <v>3</v>
      </c>
      <c r="E61" s="46" t="str">
        <f>IF('07_Calendario'!$E$61=0,"No operativo",IF(H61&gt;0,"Producción",IF(K61&gt;0,"Cambio","Libre")))</f>
        <v>Libre</v>
      </c>
      <c r="F61" s="46" t="str">
        <f>IF(H61=0,"—",INDEX('08_PLAN_MAESTRO'!$A$7:$A$23,MATCH(MAX('08_PLAN_MAESTRO'!BH$7:BH$23),'08_PLAN_MAESTRO'!BH$7:BH$23,0)))</f>
        <v>—</v>
      </c>
      <c r="G61" s="55" t="str">
        <f>IFERROR(INDEX('02_Datos_Maestros'!$B$5:$B$21,MATCH($F61,'02_Datos_Maestros'!$A$5:$A$21,0)),"—")</f>
        <v>—</v>
      </c>
      <c r="H61" s="46">
        <f>COUNTIF('08_PLAN_MAESTRO'!BH$7:BH$23,"&gt;0")</f>
        <v>0</v>
      </c>
      <c r="I61" s="56">
        <f>IFERROR('08_PLAN_MAESTRO'!BH$25,0)</f>
        <v>0</v>
      </c>
      <c r="J61" s="56">
        <f>IFERROR('08_PLAN_MAESTRO'!BH$26,0)</f>
        <v>0</v>
      </c>
      <c r="K61" s="56">
        <f>IFERROR('08_PLAN_MAESTRO'!BH$27,0)</f>
        <v>0</v>
      </c>
      <c r="L61" s="56">
        <f>IFERROR('08_PLAN_MAESTRO'!BH$28,0)</f>
        <v>0</v>
      </c>
      <c r="M61" s="56">
        <f>IFERROR('08_PLAN_MAESTRO'!BH$29,0)</f>
        <v>480</v>
      </c>
      <c r="N61" s="57">
        <f>IFERROR('08_PLAN_MAESTRO'!BH$30,0)</f>
        <v>0</v>
      </c>
    </row>
    <row r="62" spans="1:14" x14ac:dyDescent="0.2">
      <c r="A62" s="46">
        <f>'07_Calendario'!$F$62</f>
        <v>55</v>
      </c>
      <c r="B62" s="54">
        <f>'07_Calendario'!$B$62</f>
        <v>46288</v>
      </c>
      <c r="C62" s="46" t="str">
        <f>'07_Calendario'!$C$62</f>
        <v>Miércoles</v>
      </c>
      <c r="D62" s="46">
        <f>'07_Calendario'!$D$62</f>
        <v>1</v>
      </c>
      <c r="E62" s="46" t="str">
        <f>IF('07_Calendario'!$E$62=0,"No operativo",IF(H62&gt;0,"Producción",IF(K62&gt;0,"Cambio","Libre")))</f>
        <v>Libre</v>
      </c>
      <c r="F62" s="46" t="str">
        <f>IF(H62=0,"—",INDEX('08_PLAN_MAESTRO'!$A$7:$A$23,MATCH(MAX('08_PLAN_MAESTRO'!BI$7:BI$23),'08_PLAN_MAESTRO'!BI$7:BI$23,0)))</f>
        <v>—</v>
      </c>
      <c r="G62" s="55" t="str">
        <f>IFERROR(INDEX('02_Datos_Maestros'!$B$5:$B$21,MATCH($F62,'02_Datos_Maestros'!$A$5:$A$21,0)),"—")</f>
        <v>—</v>
      </c>
      <c r="H62" s="46">
        <f>COUNTIF('08_PLAN_MAESTRO'!BI$7:BI$23,"&gt;0")</f>
        <v>0</v>
      </c>
      <c r="I62" s="56">
        <f>IFERROR('08_PLAN_MAESTRO'!BI$25,0)</f>
        <v>0</v>
      </c>
      <c r="J62" s="56">
        <f>IFERROR('08_PLAN_MAESTRO'!BI$26,0)</f>
        <v>0</v>
      </c>
      <c r="K62" s="56">
        <f>IFERROR('08_PLAN_MAESTRO'!BI$27,0)</f>
        <v>0</v>
      </c>
      <c r="L62" s="56">
        <f>IFERROR('08_PLAN_MAESTRO'!BI$28,0)</f>
        <v>0</v>
      </c>
      <c r="M62" s="56">
        <f>IFERROR('08_PLAN_MAESTRO'!BI$29,0)</f>
        <v>480</v>
      </c>
      <c r="N62" s="57">
        <f>IFERROR('08_PLAN_MAESTRO'!BI$30,0)</f>
        <v>0</v>
      </c>
    </row>
    <row r="63" spans="1:14" x14ac:dyDescent="0.2">
      <c r="A63" s="46">
        <f>'07_Calendario'!$F$63</f>
        <v>56</v>
      </c>
      <c r="B63" s="54">
        <f>'07_Calendario'!$B$63</f>
        <v>46288</v>
      </c>
      <c r="C63" s="46" t="str">
        <f>'07_Calendario'!$C$63</f>
        <v>Miércoles</v>
      </c>
      <c r="D63" s="46">
        <f>'07_Calendario'!$D$63</f>
        <v>2</v>
      </c>
      <c r="E63" s="46" t="str">
        <f>IF('07_Calendario'!$E$63=0,"No operativo",IF(H63&gt;0,"Producción",IF(K63&gt;0,"Cambio","Libre")))</f>
        <v>Libre</v>
      </c>
      <c r="F63" s="46" t="str">
        <f>IF(H63=0,"—",INDEX('08_PLAN_MAESTRO'!$A$7:$A$23,MATCH(MAX('08_PLAN_MAESTRO'!BJ$7:BJ$23),'08_PLAN_MAESTRO'!BJ$7:BJ$23,0)))</f>
        <v>—</v>
      </c>
      <c r="G63" s="55" t="str">
        <f>IFERROR(INDEX('02_Datos_Maestros'!$B$5:$B$21,MATCH($F63,'02_Datos_Maestros'!$A$5:$A$21,0)),"—")</f>
        <v>—</v>
      </c>
      <c r="H63" s="46">
        <f>COUNTIF('08_PLAN_MAESTRO'!BJ$7:BJ$23,"&gt;0")</f>
        <v>0</v>
      </c>
      <c r="I63" s="56">
        <f>IFERROR('08_PLAN_MAESTRO'!BJ$25,0)</f>
        <v>0</v>
      </c>
      <c r="J63" s="56">
        <f>IFERROR('08_PLAN_MAESTRO'!BJ$26,0)</f>
        <v>0</v>
      </c>
      <c r="K63" s="56">
        <f>IFERROR('08_PLAN_MAESTRO'!BJ$27,0)</f>
        <v>0</v>
      </c>
      <c r="L63" s="56">
        <f>IFERROR('08_PLAN_MAESTRO'!BJ$28,0)</f>
        <v>0</v>
      </c>
      <c r="M63" s="56">
        <f>IFERROR('08_PLAN_MAESTRO'!BJ$29,0)</f>
        <v>480</v>
      </c>
      <c r="N63" s="57">
        <f>IFERROR('08_PLAN_MAESTRO'!BJ$30,0)</f>
        <v>0</v>
      </c>
    </row>
    <row r="64" spans="1:14" x14ac:dyDescent="0.2">
      <c r="A64" s="46">
        <f>'07_Calendario'!$F$64</f>
        <v>57</v>
      </c>
      <c r="B64" s="54">
        <f>'07_Calendario'!$B$64</f>
        <v>46288</v>
      </c>
      <c r="C64" s="46" t="str">
        <f>'07_Calendario'!$C$64</f>
        <v>Miércoles</v>
      </c>
      <c r="D64" s="46">
        <f>'07_Calendario'!$D$64</f>
        <v>3</v>
      </c>
      <c r="E64" s="46" t="str">
        <f>IF('07_Calendario'!$E$64=0,"No operativo",IF(H64&gt;0,"Producción",IF(K64&gt;0,"Cambio","Libre")))</f>
        <v>Libre</v>
      </c>
      <c r="F64" s="46" t="str">
        <f>IF(H64=0,"—",INDEX('08_PLAN_MAESTRO'!$A$7:$A$23,MATCH(MAX('08_PLAN_MAESTRO'!BK$7:BK$23),'08_PLAN_MAESTRO'!BK$7:BK$23,0)))</f>
        <v>—</v>
      </c>
      <c r="G64" s="55" t="str">
        <f>IFERROR(INDEX('02_Datos_Maestros'!$B$5:$B$21,MATCH($F64,'02_Datos_Maestros'!$A$5:$A$21,0)),"—")</f>
        <v>—</v>
      </c>
      <c r="H64" s="46">
        <f>COUNTIF('08_PLAN_MAESTRO'!BK$7:BK$23,"&gt;0")</f>
        <v>0</v>
      </c>
      <c r="I64" s="56">
        <f>IFERROR('08_PLAN_MAESTRO'!BK$25,0)</f>
        <v>0</v>
      </c>
      <c r="J64" s="56">
        <f>IFERROR('08_PLAN_MAESTRO'!BK$26,0)</f>
        <v>0</v>
      </c>
      <c r="K64" s="56">
        <f>IFERROR('08_PLAN_MAESTRO'!BK$27,0)</f>
        <v>0</v>
      </c>
      <c r="L64" s="56">
        <f>IFERROR('08_PLAN_MAESTRO'!BK$28,0)</f>
        <v>0</v>
      </c>
      <c r="M64" s="56">
        <f>IFERROR('08_PLAN_MAESTRO'!BK$29,0)</f>
        <v>480</v>
      </c>
      <c r="N64" s="57">
        <f>IFERROR('08_PLAN_MAESTRO'!BK$30,0)</f>
        <v>0</v>
      </c>
    </row>
    <row r="65" spans="1:14" x14ac:dyDescent="0.2">
      <c r="A65" s="46">
        <f>'07_Calendario'!$F$65</f>
        <v>58</v>
      </c>
      <c r="B65" s="54">
        <f>'07_Calendario'!$B$65</f>
        <v>46289</v>
      </c>
      <c r="C65" s="46" t="str">
        <f>'07_Calendario'!$C$65</f>
        <v>Jueves</v>
      </c>
      <c r="D65" s="46">
        <f>'07_Calendario'!$D$65</f>
        <v>1</v>
      </c>
      <c r="E65" s="46" t="str">
        <f>IF('07_Calendario'!$E$65=0,"No operativo",IF(H65&gt;0,"Producción",IF(K65&gt;0,"Cambio","Libre")))</f>
        <v>Libre</v>
      </c>
      <c r="F65" s="46" t="str">
        <f>IF(H65=0,"—",INDEX('08_PLAN_MAESTRO'!$A$7:$A$23,MATCH(MAX('08_PLAN_MAESTRO'!BL$7:BL$23),'08_PLAN_MAESTRO'!BL$7:BL$23,0)))</f>
        <v>—</v>
      </c>
      <c r="G65" s="55" t="str">
        <f>IFERROR(INDEX('02_Datos_Maestros'!$B$5:$B$21,MATCH($F65,'02_Datos_Maestros'!$A$5:$A$21,0)),"—")</f>
        <v>—</v>
      </c>
      <c r="H65" s="46">
        <f>COUNTIF('08_PLAN_MAESTRO'!BL$7:BL$23,"&gt;0")</f>
        <v>0</v>
      </c>
      <c r="I65" s="56">
        <f>IFERROR('08_PLAN_MAESTRO'!BL$25,0)</f>
        <v>0</v>
      </c>
      <c r="J65" s="56">
        <f>IFERROR('08_PLAN_MAESTRO'!BL$26,0)</f>
        <v>0</v>
      </c>
      <c r="K65" s="56">
        <f>IFERROR('08_PLAN_MAESTRO'!BL$27,0)</f>
        <v>0</v>
      </c>
      <c r="L65" s="56">
        <f>IFERROR('08_PLAN_MAESTRO'!BL$28,0)</f>
        <v>0</v>
      </c>
      <c r="M65" s="56">
        <f>IFERROR('08_PLAN_MAESTRO'!BL$29,0)</f>
        <v>480</v>
      </c>
      <c r="N65" s="57">
        <f>IFERROR('08_PLAN_MAESTRO'!BL$30,0)</f>
        <v>0</v>
      </c>
    </row>
    <row r="66" spans="1:14" x14ac:dyDescent="0.2">
      <c r="A66" s="46">
        <f>'07_Calendario'!$F$66</f>
        <v>59</v>
      </c>
      <c r="B66" s="54">
        <f>'07_Calendario'!$B$66</f>
        <v>46289</v>
      </c>
      <c r="C66" s="46" t="str">
        <f>'07_Calendario'!$C$66</f>
        <v>Jueves</v>
      </c>
      <c r="D66" s="46">
        <f>'07_Calendario'!$D$66</f>
        <v>2</v>
      </c>
      <c r="E66" s="46" t="str">
        <f>IF('07_Calendario'!$E$66=0,"No operativo",IF(H66&gt;0,"Producción",IF(K66&gt;0,"Cambio","Libre")))</f>
        <v>Libre</v>
      </c>
      <c r="F66" s="46" t="str">
        <f>IF(H66=0,"—",INDEX('08_PLAN_MAESTRO'!$A$7:$A$23,MATCH(MAX('08_PLAN_MAESTRO'!BM$7:BM$23),'08_PLAN_MAESTRO'!BM$7:BM$23,0)))</f>
        <v>—</v>
      </c>
      <c r="G66" s="55" t="str">
        <f>IFERROR(INDEX('02_Datos_Maestros'!$B$5:$B$21,MATCH($F66,'02_Datos_Maestros'!$A$5:$A$21,0)),"—")</f>
        <v>—</v>
      </c>
      <c r="H66" s="46">
        <f>COUNTIF('08_PLAN_MAESTRO'!BM$7:BM$23,"&gt;0")</f>
        <v>0</v>
      </c>
      <c r="I66" s="56">
        <f>IFERROR('08_PLAN_MAESTRO'!BM$25,0)</f>
        <v>0</v>
      </c>
      <c r="J66" s="56">
        <f>IFERROR('08_PLAN_MAESTRO'!BM$26,0)</f>
        <v>0</v>
      </c>
      <c r="K66" s="56">
        <f>IFERROR('08_PLAN_MAESTRO'!BM$27,0)</f>
        <v>0</v>
      </c>
      <c r="L66" s="56">
        <f>IFERROR('08_PLAN_MAESTRO'!BM$28,0)</f>
        <v>0</v>
      </c>
      <c r="M66" s="56">
        <f>IFERROR('08_PLAN_MAESTRO'!BM$29,0)</f>
        <v>480</v>
      </c>
      <c r="N66" s="57">
        <f>IFERROR('08_PLAN_MAESTRO'!BM$30,0)</f>
        <v>0</v>
      </c>
    </row>
    <row r="67" spans="1:14" x14ac:dyDescent="0.2">
      <c r="A67" s="46">
        <f>'07_Calendario'!$F$67</f>
        <v>60</v>
      </c>
      <c r="B67" s="54">
        <f>'07_Calendario'!$B$67</f>
        <v>46289</v>
      </c>
      <c r="C67" s="46" t="str">
        <f>'07_Calendario'!$C$67</f>
        <v>Jueves</v>
      </c>
      <c r="D67" s="46">
        <f>'07_Calendario'!$D$67</f>
        <v>3</v>
      </c>
      <c r="E67" s="46" t="str">
        <f>IF('07_Calendario'!$E$67=0,"No operativo",IF(H67&gt;0,"Producción",IF(K67&gt;0,"Cambio","Libre")))</f>
        <v>Libre</v>
      </c>
      <c r="F67" s="46" t="str">
        <f>IF(H67=0,"—",INDEX('08_PLAN_MAESTRO'!$A$7:$A$23,MATCH(MAX('08_PLAN_MAESTRO'!BN$7:BN$23),'08_PLAN_MAESTRO'!BN$7:BN$23,0)))</f>
        <v>—</v>
      </c>
      <c r="G67" s="55" t="str">
        <f>IFERROR(INDEX('02_Datos_Maestros'!$B$5:$B$21,MATCH($F67,'02_Datos_Maestros'!$A$5:$A$21,0)),"—")</f>
        <v>—</v>
      </c>
      <c r="H67" s="46">
        <f>COUNTIF('08_PLAN_MAESTRO'!BN$7:BN$23,"&gt;0")</f>
        <v>0</v>
      </c>
      <c r="I67" s="56">
        <f>IFERROR('08_PLAN_MAESTRO'!BN$25,0)</f>
        <v>0</v>
      </c>
      <c r="J67" s="56">
        <f>IFERROR('08_PLAN_MAESTRO'!BN$26,0)</f>
        <v>0</v>
      </c>
      <c r="K67" s="56">
        <f>IFERROR('08_PLAN_MAESTRO'!BN$27,0)</f>
        <v>0</v>
      </c>
      <c r="L67" s="56">
        <f>IFERROR('08_PLAN_MAESTRO'!BN$28,0)</f>
        <v>0</v>
      </c>
      <c r="M67" s="56">
        <f>IFERROR('08_PLAN_MAESTRO'!BN$29,0)</f>
        <v>480</v>
      </c>
      <c r="N67" s="57">
        <f>IFERROR('08_PLAN_MAESTRO'!BN$30,0)</f>
        <v>0</v>
      </c>
    </row>
    <row r="68" spans="1:14" x14ac:dyDescent="0.2">
      <c r="A68" s="46">
        <f>'07_Calendario'!$F$68</f>
        <v>61</v>
      </c>
      <c r="B68" s="54">
        <f>'07_Calendario'!$B$68</f>
        <v>46290</v>
      </c>
      <c r="C68" s="46" t="str">
        <f>'07_Calendario'!$C$68</f>
        <v>Viernes</v>
      </c>
      <c r="D68" s="46">
        <f>'07_Calendario'!$D$68</f>
        <v>1</v>
      </c>
      <c r="E68" s="46" t="str">
        <f>IF('07_Calendario'!$E$68=0,"No operativo",IF(H68&gt;0,"Producción",IF(K68&gt;0,"Cambio","Libre")))</f>
        <v>Libre</v>
      </c>
      <c r="F68" s="46" t="str">
        <f>IF(H68=0,"—",INDEX('08_PLAN_MAESTRO'!$A$7:$A$23,MATCH(MAX('08_PLAN_MAESTRO'!BO$7:BO$23),'08_PLAN_MAESTRO'!BO$7:BO$23,0)))</f>
        <v>—</v>
      </c>
      <c r="G68" s="55" t="str">
        <f>IFERROR(INDEX('02_Datos_Maestros'!$B$5:$B$21,MATCH($F68,'02_Datos_Maestros'!$A$5:$A$21,0)),"—")</f>
        <v>—</v>
      </c>
      <c r="H68" s="46">
        <f>COUNTIF('08_PLAN_MAESTRO'!BO$7:BO$23,"&gt;0")</f>
        <v>0</v>
      </c>
      <c r="I68" s="56">
        <f>IFERROR('08_PLAN_MAESTRO'!BO$25,0)</f>
        <v>0</v>
      </c>
      <c r="J68" s="56">
        <f>IFERROR('08_PLAN_MAESTRO'!BO$26,0)</f>
        <v>0</v>
      </c>
      <c r="K68" s="56">
        <f>IFERROR('08_PLAN_MAESTRO'!BO$27,0)</f>
        <v>0</v>
      </c>
      <c r="L68" s="56">
        <f>IFERROR('08_PLAN_MAESTRO'!BO$28,0)</f>
        <v>0</v>
      </c>
      <c r="M68" s="56">
        <f>IFERROR('08_PLAN_MAESTRO'!BO$29,0)</f>
        <v>480</v>
      </c>
      <c r="N68" s="57">
        <f>IFERROR('08_PLAN_MAESTRO'!BO$30,0)</f>
        <v>0</v>
      </c>
    </row>
    <row r="69" spans="1:14" x14ac:dyDescent="0.2">
      <c r="A69" s="46">
        <f>'07_Calendario'!$F$69</f>
        <v>62</v>
      </c>
      <c r="B69" s="54">
        <f>'07_Calendario'!$B$69</f>
        <v>46290</v>
      </c>
      <c r="C69" s="46" t="str">
        <f>'07_Calendario'!$C$69</f>
        <v>Viernes</v>
      </c>
      <c r="D69" s="46">
        <f>'07_Calendario'!$D$69</f>
        <v>2</v>
      </c>
      <c r="E69" s="46" t="str">
        <f>IF('07_Calendario'!$E$69=0,"No operativo",IF(H69&gt;0,"Producción",IF(K69&gt;0,"Cambio","Libre")))</f>
        <v>Libre</v>
      </c>
      <c r="F69" s="46" t="str">
        <f>IF(H69=0,"—",INDEX('08_PLAN_MAESTRO'!$A$7:$A$23,MATCH(MAX('08_PLAN_MAESTRO'!BP$7:BP$23),'08_PLAN_MAESTRO'!BP$7:BP$23,0)))</f>
        <v>—</v>
      </c>
      <c r="G69" s="55" t="str">
        <f>IFERROR(INDEX('02_Datos_Maestros'!$B$5:$B$21,MATCH($F69,'02_Datos_Maestros'!$A$5:$A$21,0)),"—")</f>
        <v>—</v>
      </c>
      <c r="H69" s="46">
        <f>COUNTIF('08_PLAN_MAESTRO'!BP$7:BP$23,"&gt;0")</f>
        <v>0</v>
      </c>
      <c r="I69" s="56">
        <f>IFERROR('08_PLAN_MAESTRO'!BP$25,0)</f>
        <v>0</v>
      </c>
      <c r="J69" s="56">
        <f>IFERROR('08_PLAN_MAESTRO'!BP$26,0)</f>
        <v>0</v>
      </c>
      <c r="K69" s="56">
        <f>IFERROR('08_PLAN_MAESTRO'!BP$27,0)</f>
        <v>0</v>
      </c>
      <c r="L69" s="56">
        <f>IFERROR('08_PLAN_MAESTRO'!BP$28,0)</f>
        <v>0</v>
      </c>
      <c r="M69" s="56">
        <f>IFERROR('08_PLAN_MAESTRO'!BP$29,0)</f>
        <v>480</v>
      </c>
      <c r="N69" s="57">
        <f>IFERROR('08_PLAN_MAESTRO'!BP$30,0)</f>
        <v>0</v>
      </c>
    </row>
    <row r="70" spans="1:14" x14ac:dyDescent="0.2">
      <c r="A70" s="46">
        <f>'07_Calendario'!$F$70</f>
        <v>63</v>
      </c>
      <c r="B70" s="54">
        <f>'07_Calendario'!$B$70</f>
        <v>46290</v>
      </c>
      <c r="C70" s="46" t="str">
        <f>'07_Calendario'!$C$70</f>
        <v>Viernes</v>
      </c>
      <c r="D70" s="46">
        <f>'07_Calendario'!$D$70</f>
        <v>3</v>
      </c>
      <c r="E70" s="46" t="str">
        <f>IF('07_Calendario'!$E$70=0,"No operativo",IF(H70&gt;0,"Producción",IF(K70&gt;0,"Cambio","Libre")))</f>
        <v>Libre</v>
      </c>
      <c r="F70" s="46" t="str">
        <f>IF(H70=0,"—",INDEX('08_PLAN_MAESTRO'!$A$7:$A$23,MATCH(MAX('08_PLAN_MAESTRO'!BQ$7:BQ$23),'08_PLAN_MAESTRO'!BQ$7:BQ$23,0)))</f>
        <v>—</v>
      </c>
      <c r="G70" s="55" t="str">
        <f>IFERROR(INDEX('02_Datos_Maestros'!$B$5:$B$21,MATCH($F70,'02_Datos_Maestros'!$A$5:$A$21,0)),"—")</f>
        <v>—</v>
      </c>
      <c r="H70" s="46">
        <f>COUNTIF('08_PLAN_MAESTRO'!BQ$7:BQ$23,"&gt;0")</f>
        <v>0</v>
      </c>
      <c r="I70" s="56">
        <f>IFERROR('08_PLAN_MAESTRO'!BQ$25,0)</f>
        <v>0</v>
      </c>
      <c r="J70" s="56">
        <f>IFERROR('08_PLAN_MAESTRO'!BQ$26,0)</f>
        <v>0</v>
      </c>
      <c r="K70" s="56">
        <f>IFERROR('08_PLAN_MAESTRO'!BQ$27,0)</f>
        <v>0</v>
      </c>
      <c r="L70" s="56">
        <f>IFERROR('08_PLAN_MAESTRO'!BQ$28,0)</f>
        <v>0</v>
      </c>
      <c r="M70" s="56">
        <f>IFERROR('08_PLAN_MAESTRO'!BQ$29,0)</f>
        <v>480</v>
      </c>
      <c r="N70" s="57">
        <f>IFERROR('08_PLAN_MAESTRO'!BQ$30,0)</f>
        <v>0</v>
      </c>
    </row>
    <row r="71" spans="1:14" x14ac:dyDescent="0.2">
      <c r="A71" s="46">
        <f>'07_Calendario'!$F$71</f>
        <v>64</v>
      </c>
      <c r="B71" s="54">
        <f>'07_Calendario'!$B$71</f>
        <v>46291</v>
      </c>
      <c r="C71" s="46" t="str">
        <f>'07_Calendario'!$C$71</f>
        <v>Sábado</v>
      </c>
      <c r="D71" s="46">
        <f>'07_Calendario'!$D$71</f>
        <v>1</v>
      </c>
      <c r="E71" s="46" t="str">
        <f>IF('07_Calendario'!$E$71=0,"No operativo",IF(H71&gt;0,"Producción",IF(K71&gt;0,"Cambio","Libre")))</f>
        <v>Libre</v>
      </c>
      <c r="F71" s="46" t="str">
        <f>IF(H71=0,"—",INDEX('08_PLAN_MAESTRO'!$A$7:$A$23,MATCH(MAX('08_PLAN_MAESTRO'!BR$7:BR$23),'08_PLAN_MAESTRO'!BR$7:BR$23,0)))</f>
        <v>—</v>
      </c>
      <c r="G71" s="55" t="str">
        <f>IFERROR(INDEX('02_Datos_Maestros'!$B$5:$B$21,MATCH($F71,'02_Datos_Maestros'!$A$5:$A$21,0)),"—")</f>
        <v>—</v>
      </c>
      <c r="H71" s="46">
        <f>COUNTIF('08_PLAN_MAESTRO'!BR$7:BR$23,"&gt;0")</f>
        <v>0</v>
      </c>
      <c r="I71" s="56">
        <f>IFERROR('08_PLAN_MAESTRO'!BR$25,0)</f>
        <v>0</v>
      </c>
      <c r="J71" s="56">
        <f>IFERROR('08_PLAN_MAESTRO'!BR$26,0)</f>
        <v>0</v>
      </c>
      <c r="K71" s="56">
        <f>IFERROR('08_PLAN_MAESTRO'!BR$27,0)</f>
        <v>0</v>
      </c>
      <c r="L71" s="56">
        <f>IFERROR('08_PLAN_MAESTRO'!BR$28,0)</f>
        <v>0</v>
      </c>
      <c r="M71" s="56">
        <f>IFERROR('08_PLAN_MAESTRO'!BR$29,0)</f>
        <v>480</v>
      </c>
      <c r="N71" s="57">
        <f>IFERROR('08_PLAN_MAESTRO'!BR$30,0)</f>
        <v>0</v>
      </c>
    </row>
    <row r="72" spans="1:14" x14ac:dyDescent="0.2">
      <c r="A72" s="46">
        <f>'07_Calendario'!$F$72</f>
        <v>65</v>
      </c>
      <c r="B72" s="54">
        <f>'07_Calendario'!$B$72</f>
        <v>46291</v>
      </c>
      <c r="C72" s="46" t="str">
        <f>'07_Calendario'!$C$72</f>
        <v>Sábado</v>
      </c>
      <c r="D72" s="46">
        <f>'07_Calendario'!$D$72</f>
        <v>2</v>
      </c>
      <c r="E72" s="46" t="str">
        <f>IF('07_Calendario'!$E$72=0,"No operativo",IF(H72&gt;0,"Producción",IF(K72&gt;0,"Cambio","Libre")))</f>
        <v>Libre</v>
      </c>
      <c r="F72" s="46" t="str">
        <f>IF(H72=0,"—",INDEX('08_PLAN_MAESTRO'!$A$7:$A$23,MATCH(MAX('08_PLAN_MAESTRO'!BS$7:BS$23),'08_PLAN_MAESTRO'!BS$7:BS$23,0)))</f>
        <v>—</v>
      </c>
      <c r="G72" s="55" t="str">
        <f>IFERROR(INDEX('02_Datos_Maestros'!$B$5:$B$21,MATCH($F72,'02_Datos_Maestros'!$A$5:$A$21,0)),"—")</f>
        <v>—</v>
      </c>
      <c r="H72" s="46">
        <f>COUNTIF('08_PLAN_MAESTRO'!BS$7:BS$23,"&gt;0")</f>
        <v>0</v>
      </c>
      <c r="I72" s="56">
        <f>IFERROR('08_PLAN_MAESTRO'!BS$25,0)</f>
        <v>0</v>
      </c>
      <c r="J72" s="56">
        <f>IFERROR('08_PLAN_MAESTRO'!BS$26,0)</f>
        <v>0</v>
      </c>
      <c r="K72" s="56">
        <f>IFERROR('08_PLAN_MAESTRO'!BS$27,0)</f>
        <v>0</v>
      </c>
      <c r="L72" s="56">
        <f>IFERROR('08_PLAN_MAESTRO'!BS$28,0)</f>
        <v>0</v>
      </c>
      <c r="M72" s="56">
        <f>IFERROR('08_PLAN_MAESTRO'!BS$29,0)</f>
        <v>480</v>
      </c>
      <c r="N72" s="57">
        <f>IFERROR('08_PLAN_MAESTRO'!BS$30,0)</f>
        <v>0</v>
      </c>
    </row>
    <row r="73" spans="1:14" x14ac:dyDescent="0.2">
      <c r="A73" s="46" t="str">
        <f>'07_Calendario'!$F$73</f>
        <v/>
      </c>
      <c r="B73" s="54">
        <f>'07_Calendario'!$B$73</f>
        <v>46291</v>
      </c>
      <c r="C73" s="46" t="str">
        <f>'07_Calendario'!$C$73</f>
        <v>Sábado</v>
      </c>
      <c r="D73" s="46">
        <f>'07_Calendario'!$D$73</f>
        <v>3</v>
      </c>
      <c r="E73" s="46" t="str">
        <f>IF('07_Calendario'!$E$73=0,"No operativo",IF(H73&gt;0,"Producción",IF(K73&gt;0,"Cambio","Libre")))</f>
        <v>No operativo</v>
      </c>
      <c r="F73" s="46" t="str">
        <f>IF(H73=0,"—",INDEX('08_PLAN_MAESTRO'!$A$7:$A$23,MATCH(MAX('08_PLAN_MAESTRO'!BT$7:BT$23),'08_PLAN_MAESTRO'!BT$7:BT$23,0)))</f>
        <v>—</v>
      </c>
      <c r="G73" s="55" t="str">
        <f>IFERROR(INDEX('02_Datos_Maestros'!$B$5:$B$21,MATCH($F73,'02_Datos_Maestros'!$A$5:$A$21,0)),"—")</f>
        <v>—</v>
      </c>
      <c r="H73" s="46">
        <f>COUNTIF('08_PLAN_MAESTRO'!BT$7:BT$23,"&gt;0")</f>
        <v>0</v>
      </c>
      <c r="I73" s="56" t="str">
        <f>IFERROR('08_PLAN_MAESTRO'!BT$25,0)</f>
        <v/>
      </c>
      <c r="J73" s="56" t="str">
        <f>IFERROR('08_PLAN_MAESTRO'!BT$26,0)</f>
        <v/>
      </c>
      <c r="K73" s="56" t="str">
        <f>IFERROR('08_PLAN_MAESTRO'!BT$27,0)</f>
        <v/>
      </c>
      <c r="L73" s="56" t="str">
        <f>IFERROR('08_PLAN_MAESTRO'!BT$28,0)</f>
        <v/>
      </c>
      <c r="M73" s="56" t="str">
        <f>IFERROR('08_PLAN_MAESTRO'!BT$29,0)</f>
        <v/>
      </c>
      <c r="N73" s="57" t="str">
        <f>IFERROR('08_PLAN_MAESTRO'!BT$30,0)</f>
        <v/>
      </c>
    </row>
    <row r="74" spans="1:14" x14ac:dyDescent="0.2">
      <c r="A74" s="46">
        <f>'07_Calendario'!$F$74</f>
        <v>66</v>
      </c>
      <c r="B74" s="54">
        <f>'07_Calendario'!$B$74</f>
        <v>46293</v>
      </c>
      <c r="C74" s="46" t="str">
        <f>'07_Calendario'!$C$74</f>
        <v>Lunes</v>
      </c>
      <c r="D74" s="46">
        <f>'07_Calendario'!$D$74</f>
        <v>1</v>
      </c>
      <c r="E74" s="46" t="str">
        <f>IF('07_Calendario'!$E$74=0,"No operativo",IF(H74&gt;0,"Producción",IF(K74&gt;0,"Cambio","Libre")))</f>
        <v>Libre</v>
      </c>
      <c r="F74" s="46" t="str">
        <f>IF(H74=0,"—",INDEX('08_PLAN_MAESTRO'!$A$7:$A$23,MATCH(MAX('08_PLAN_MAESTRO'!BU$7:BU$23),'08_PLAN_MAESTRO'!BU$7:BU$23,0)))</f>
        <v>—</v>
      </c>
      <c r="G74" s="55" t="str">
        <f>IFERROR(INDEX('02_Datos_Maestros'!$B$5:$B$21,MATCH($F74,'02_Datos_Maestros'!$A$5:$A$21,0)),"—")</f>
        <v>—</v>
      </c>
      <c r="H74" s="46">
        <f>COUNTIF('08_PLAN_MAESTRO'!BU$7:BU$23,"&gt;0")</f>
        <v>0</v>
      </c>
      <c r="I74" s="56">
        <f>IFERROR('08_PLAN_MAESTRO'!BU$25,0)</f>
        <v>0</v>
      </c>
      <c r="J74" s="56">
        <f>IFERROR('08_PLAN_MAESTRO'!BU$26,0)</f>
        <v>0</v>
      </c>
      <c r="K74" s="56">
        <f>IFERROR('08_PLAN_MAESTRO'!BU$27,0)</f>
        <v>0</v>
      </c>
      <c r="L74" s="56">
        <f>IFERROR('08_PLAN_MAESTRO'!BU$28,0)</f>
        <v>0</v>
      </c>
      <c r="M74" s="56">
        <f>IFERROR('08_PLAN_MAESTRO'!BU$29,0)</f>
        <v>480</v>
      </c>
      <c r="N74" s="57">
        <f>IFERROR('08_PLAN_MAESTRO'!BU$30,0)</f>
        <v>0</v>
      </c>
    </row>
    <row r="75" spans="1:14" x14ac:dyDescent="0.2">
      <c r="A75" s="46">
        <f>'07_Calendario'!$F$75</f>
        <v>67</v>
      </c>
      <c r="B75" s="54">
        <f>'07_Calendario'!$B$75</f>
        <v>46293</v>
      </c>
      <c r="C75" s="46" t="str">
        <f>'07_Calendario'!$C$75</f>
        <v>Lunes</v>
      </c>
      <c r="D75" s="46">
        <f>'07_Calendario'!$D$75</f>
        <v>2</v>
      </c>
      <c r="E75" s="46" t="str">
        <f>IF('07_Calendario'!$E$75=0,"No operativo",IF(H75&gt;0,"Producción",IF(K75&gt;0,"Cambio","Libre")))</f>
        <v>Libre</v>
      </c>
      <c r="F75" s="46" t="str">
        <f>IF(H75=0,"—",INDEX('08_PLAN_MAESTRO'!$A$7:$A$23,MATCH(MAX('08_PLAN_MAESTRO'!BV$7:BV$23),'08_PLAN_MAESTRO'!BV$7:BV$23,0)))</f>
        <v>—</v>
      </c>
      <c r="G75" s="55" t="str">
        <f>IFERROR(INDEX('02_Datos_Maestros'!$B$5:$B$21,MATCH($F75,'02_Datos_Maestros'!$A$5:$A$21,0)),"—")</f>
        <v>—</v>
      </c>
      <c r="H75" s="46">
        <f>COUNTIF('08_PLAN_MAESTRO'!BV$7:BV$23,"&gt;0")</f>
        <v>0</v>
      </c>
      <c r="I75" s="56">
        <f>IFERROR('08_PLAN_MAESTRO'!BV$25,0)</f>
        <v>0</v>
      </c>
      <c r="J75" s="56">
        <f>IFERROR('08_PLAN_MAESTRO'!BV$26,0)</f>
        <v>0</v>
      </c>
      <c r="K75" s="56">
        <f>IFERROR('08_PLAN_MAESTRO'!BV$27,0)</f>
        <v>0</v>
      </c>
      <c r="L75" s="56">
        <f>IFERROR('08_PLAN_MAESTRO'!BV$28,0)</f>
        <v>0</v>
      </c>
      <c r="M75" s="56">
        <f>IFERROR('08_PLAN_MAESTRO'!BV$29,0)</f>
        <v>480</v>
      </c>
      <c r="N75" s="57">
        <f>IFERROR('08_PLAN_MAESTRO'!BV$30,0)</f>
        <v>0</v>
      </c>
    </row>
    <row r="76" spans="1:14" x14ac:dyDescent="0.2">
      <c r="A76" s="46">
        <f>'07_Calendario'!$F$76</f>
        <v>68</v>
      </c>
      <c r="B76" s="54">
        <f>'07_Calendario'!$B$76</f>
        <v>46293</v>
      </c>
      <c r="C76" s="46" t="str">
        <f>'07_Calendario'!$C$76</f>
        <v>Lunes</v>
      </c>
      <c r="D76" s="46">
        <f>'07_Calendario'!$D$76</f>
        <v>3</v>
      </c>
      <c r="E76" s="46" t="str">
        <f>IF('07_Calendario'!$E$76=0,"No operativo",IF(H76&gt;0,"Producción",IF(K76&gt;0,"Cambio","Libre")))</f>
        <v>Libre</v>
      </c>
      <c r="F76" s="46" t="str">
        <f>IF(H76=0,"—",INDEX('08_PLAN_MAESTRO'!$A$7:$A$23,MATCH(MAX('08_PLAN_MAESTRO'!BW$7:BW$23),'08_PLAN_MAESTRO'!BW$7:BW$23,0)))</f>
        <v>—</v>
      </c>
      <c r="G76" s="55" t="str">
        <f>IFERROR(INDEX('02_Datos_Maestros'!$B$5:$B$21,MATCH($F76,'02_Datos_Maestros'!$A$5:$A$21,0)),"—")</f>
        <v>—</v>
      </c>
      <c r="H76" s="46">
        <f>COUNTIF('08_PLAN_MAESTRO'!BW$7:BW$23,"&gt;0")</f>
        <v>0</v>
      </c>
      <c r="I76" s="56">
        <f>IFERROR('08_PLAN_MAESTRO'!BW$25,0)</f>
        <v>0</v>
      </c>
      <c r="J76" s="56">
        <f>IFERROR('08_PLAN_MAESTRO'!BW$26,0)</f>
        <v>0</v>
      </c>
      <c r="K76" s="56">
        <f>IFERROR('08_PLAN_MAESTRO'!BW$27,0)</f>
        <v>0</v>
      </c>
      <c r="L76" s="56">
        <f>IFERROR('08_PLAN_MAESTRO'!BW$28,0)</f>
        <v>0</v>
      </c>
      <c r="M76" s="56">
        <f>IFERROR('08_PLAN_MAESTRO'!BW$29,0)</f>
        <v>480</v>
      </c>
      <c r="N76" s="57">
        <f>IFERROR('08_PLAN_MAESTRO'!BW$30,0)</f>
        <v>0</v>
      </c>
    </row>
    <row r="77" spans="1:14" x14ac:dyDescent="0.2">
      <c r="A77" s="46">
        <f>'07_Calendario'!$F$77</f>
        <v>69</v>
      </c>
      <c r="B77" s="54">
        <f>'07_Calendario'!$B$77</f>
        <v>46294</v>
      </c>
      <c r="C77" s="46" t="str">
        <f>'07_Calendario'!$C$77</f>
        <v>Martes</v>
      </c>
      <c r="D77" s="46">
        <f>'07_Calendario'!$D$77</f>
        <v>1</v>
      </c>
      <c r="E77" s="46" t="str">
        <f>IF('07_Calendario'!$E$77=0,"No operativo",IF(H77&gt;0,"Producción",IF(K77&gt;0,"Cambio","Libre")))</f>
        <v>Libre</v>
      </c>
      <c r="F77" s="46" t="str">
        <f>IF(H77=0,"—",INDEX('08_PLAN_MAESTRO'!$A$7:$A$23,MATCH(MAX('08_PLAN_MAESTRO'!BX$7:BX$23),'08_PLAN_MAESTRO'!BX$7:BX$23,0)))</f>
        <v>—</v>
      </c>
      <c r="G77" s="55" t="str">
        <f>IFERROR(INDEX('02_Datos_Maestros'!$B$5:$B$21,MATCH($F77,'02_Datos_Maestros'!$A$5:$A$21,0)),"—")</f>
        <v>—</v>
      </c>
      <c r="H77" s="46">
        <f>COUNTIF('08_PLAN_MAESTRO'!BX$7:BX$23,"&gt;0")</f>
        <v>0</v>
      </c>
      <c r="I77" s="56">
        <f>IFERROR('08_PLAN_MAESTRO'!BX$25,0)</f>
        <v>0</v>
      </c>
      <c r="J77" s="56">
        <f>IFERROR('08_PLAN_MAESTRO'!BX$26,0)</f>
        <v>0</v>
      </c>
      <c r="K77" s="56">
        <f>IFERROR('08_PLAN_MAESTRO'!BX$27,0)</f>
        <v>0</v>
      </c>
      <c r="L77" s="56">
        <f>IFERROR('08_PLAN_MAESTRO'!BX$28,0)</f>
        <v>0</v>
      </c>
      <c r="M77" s="56">
        <f>IFERROR('08_PLAN_MAESTRO'!BX$29,0)</f>
        <v>480</v>
      </c>
      <c r="N77" s="57">
        <f>IFERROR('08_PLAN_MAESTRO'!BX$30,0)</f>
        <v>0</v>
      </c>
    </row>
    <row r="78" spans="1:14" x14ac:dyDescent="0.2">
      <c r="A78" s="46">
        <f>'07_Calendario'!$F$78</f>
        <v>70</v>
      </c>
      <c r="B78" s="54">
        <f>'07_Calendario'!$B$78</f>
        <v>46294</v>
      </c>
      <c r="C78" s="46" t="str">
        <f>'07_Calendario'!$C$78</f>
        <v>Martes</v>
      </c>
      <c r="D78" s="46">
        <f>'07_Calendario'!$D$78</f>
        <v>2</v>
      </c>
      <c r="E78" s="46" t="str">
        <f>IF('07_Calendario'!$E$78=0,"No operativo",IF(H78&gt;0,"Producción",IF(K78&gt;0,"Cambio","Libre")))</f>
        <v>Libre</v>
      </c>
      <c r="F78" s="46" t="str">
        <f>IF(H78=0,"—",INDEX('08_PLAN_MAESTRO'!$A$7:$A$23,MATCH(MAX('08_PLAN_MAESTRO'!BY$7:BY$23),'08_PLAN_MAESTRO'!BY$7:BY$23,0)))</f>
        <v>—</v>
      </c>
      <c r="G78" s="55" t="str">
        <f>IFERROR(INDEX('02_Datos_Maestros'!$B$5:$B$21,MATCH($F78,'02_Datos_Maestros'!$A$5:$A$21,0)),"—")</f>
        <v>—</v>
      </c>
      <c r="H78" s="46">
        <f>COUNTIF('08_PLAN_MAESTRO'!BY$7:BY$23,"&gt;0")</f>
        <v>0</v>
      </c>
      <c r="I78" s="56">
        <f>IFERROR('08_PLAN_MAESTRO'!BY$25,0)</f>
        <v>0</v>
      </c>
      <c r="J78" s="56">
        <f>IFERROR('08_PLAN_MAESTRO'!BY$26,0)</f>
        <v>0</v>
      </c>
      <c r="K78" s="56">
        <f>IFERROR('08_PLAN_MAESTRO'!BY$27,0)</f>
        <v>0</v>
      </c>
      <c r="L78" s="56">
        <f>IFERROR('08_PLAN_MAESTRO'!BY$28,0)</f>
        <v>0</v>
      </c>
      <c r="M78" s="56">
        <f>IFERROR('08_PLAN_MAESTRO'!BY$29,0)</f>
        <v>480</v>
      </c>
      <c r="N78" s="57">
        <f>IFERROR('08_PLAN_MAESTRO'!BY$30,0)</f>
        <v>0</v>
      </c>
    </row>
    <row r="79" spans="1:14" x14ac:dyDescent="0.2">
      <c r="A79" s="46">
        <f>'07_Calendario'!$F$79</f>
        <v>71</v>
      </c>
      <c r="B79" s="54">
        <f>'07_Calendario'!$B$79</f>
        <v>46294</v>
      </c>
      <c r="C79" s="46" t="str">
        <f>'07_Calendario'!$C$79</f>
        <v>Martes</v>
      </c>
      <c r="D79" s="46">
        <f>'07_Calendario'!$D$79</f>
        <v>3</v>
      </c>
      <c r="E79" s="46" t="str">
        <f>IF('07_Calendario'!$E$79=0,"No operativo",IF(H79&gt;0,"Producción",IF(K79&gt;0,"Cambio","Libre")))</f>
        <v>Libre</v>
      </c>
      <c r="F79" s="46" t="str">
        <f>IF(H79=0,"—",INDEX('08_PLAN_MAESTRO'!$A$7:$A$23,MATCH(MAX('08_PLAN_MAESTRO'!BZ$7:BZ$23),'08_PLAN_MAESTRO'!BZ$7:BZ$23,0)))</f>
        <v>—</v>
      </c>
      <c r="G79" s="55" t="str">
        <f>IFERROR(INDEX('02_Datos_Maestros'!$B$5:$B$21,MATCH($F79,'02_Datos_Maestros'!$A$5:$A$21,0)),"—")</f>
        <v>—</v>
      </c>
      <c r="H79" s="46">
        <f>COUNTIF('08_PLAN_MAESTRO'!BZ$7:BZ$23,"&gt;0")</f>
        <v>0</v>
      </c>
      <c r="I79" s="56">
        <f>IFERROR('08_PLAN_MAESTRO'!BZ$25,0)</f>
        <v>0</v>
      </c>
      <c r="J79" s="56">
        <f>IFERROR('08_PLAN_MAESTRO'!BZ$26,0)</f>
        <v>0</v>
      </c>
      <c r="K79" s="56">
        <f>IFERROR('08_PLAN_MAESTRO'!BZ$27,0)</f>
        <v>0</v>
      </c>
      <c r="L79" s="56">
        <f>IFERROR('08_PLAN_MAESTRO'!BZ$28,0)</f>
        <v>0</v>
      </c>
      <c r="M79" s="56">
        <f>IFERROR('08_PLAN_MAESTRO'!BZ$29,0)</f>
        <v>480</v>
      </c>
      <c r="N79" s="57">
        <f>IFERROR('08_PLAN_MAESTRO'!BZ$30,0)</f>
        <v>0</v>
      </c>
    </row>
    <row r="80" spans="1:14" x14ac:dyDescent="0.2">
      <c r="A80" s="46">
        <f>'07_Calendario'!$F$80</f>
        <v>72</v>
      </c>
      <c r="B80" s="54">
        <f>'07_Calendario'!$B$80</f>
        <v>46295</v>
      </c>
      <c r="C80" s="46" t="str">
        <f>'07_Calendario'!$C$80</f>
        <v>Miércoles</v>
      </c>
      <c r="D80" s="46">
        <f>'07_Calendario'!$D$80</f>
        <v>1</v>
      </c>
      <c r="E80" s="46" t="str">
        <f>IF('07_Calendario'!$E$80=0,"No operativo",IF(H80&gt;0,"Producción",IF(K80&gt;0,"Cambio","Libre")))</f>
        <v>Libre</v>
      </c>
      <c r="F80" s="46" t="str">
        <f>IF(H80=0,"—",INDEX('08_PLAN_MAESTRO'!$A$7:$A$23,MATCH(MAX('08_PLAN_MAESTRO'!CA$7:CA$23),'08_PLAN_MAESTRO'!CA$7:CA$23,0)))</f>
        <v>—</v>
      </c>
      <c r="G80" s="55" t="str">
        <f>IFERROR(INDEX('02_Datos_Maestros'!$B$5:$B$21,MATCH($F80,'02_Datos_Maestros'!$A$5:$A$21,0)),"—")</f>
        <v>—</v>
      </c>
      <c r="H80" s="46">
        <f>COUNTIF('08_PLAN_MAESTRO'!CA$7:CA$23,"&gt;0")</f>
        <v>0</v>
      </c>
      <c r="I80" s="56">
        <f>IFERROR('08_PLAN_MAESTRO'!CA$25,0)</f>
        <v>0</v>
      </c>
      <c r="J80" s="56">
        <f>IFERROR('08_PLAN_MAESTRO'!CA$26,0)</f>
        <v>0</v>
      </c>
      <c r="K80" s="56">
        <f>IFERROR('08_PLAN_MAESTRO'!CA$27,0)</f>
        <v>0</v>
      </c>
      <c r="L80" s="56">
        <f>IFERROR('08_PLAN_MAESTRO'!CA$28,0)</f>
        <v>0</v>
      </c>
      <c r="M80" s="56">
        <f>IFERROR('08_PLAN_MAESTRO'!CA$29,0)</f>
        <v>480</v>
      </c>
      <c r="N80" s="57">
        <f>IFERROR('08_PLAN_MAESTRO'!CA$30,0)</f>
        <v>0</v>
      </c>
    </row>
    <row r="81" spans="1:14" x14ac:dyDescent="0.2">
      <c r="A81" s="46">
        <f>'07_Calendario'!$F$81</f>
        <v>73</v>
      </c>
      <c r="B81" s="54">
        <f>'07_Calendario'!$B$81</f>
        <v>46295</v>
      </c>
      <c r="C81" s="46" t="str">
        <f>'07_Calendario'!$C$81</f>
        <v>Miércoles</v>
      </c>
      <c r="D81" s="46">
        <f>'07_Calendario'!$D$81</f>
        <v>2</v>
      </c>
      <c r="E81" s="46" t="str">
        <f>IF('07_Calendario'!$E$81=0,"No operativo",IF(H81&gt;0,"Producción",IF(K81&gt;0,"Cambio","Libre")))</f>
        <v>Libre</v>
      </c>
      <c r="F81" s="46" t="str">
        <f>IF(H81=0,"—",INDEX('08_PLAN_MAESTRO'!$A$7:$A$23,MATCH(MAX('08_PLAN_MAESTRO'!CB$7:CB$23),'08_PLAN_MAESTRO'!CB$7:CB$23,0)))</f>
        <v>—</v>
      </c>
      <c r="G81" s="55" t="str">
        <f>IFERROR(INDEX('02_Datos_Maestros'!$B$5:$B$21,MATCH($F81,'02_Datos_Maestros'!$A$5:$A$21,0)),"—")</f>
        <v>—</v>
      </c>
      <c r="H81" s="46">
        <f>COUNTIF('08_PLAN_MAESTRO'!CB$7:CB$23,"&gt;0")</f>
        <v>0</v>
      </c>
      <c r="I81" s="56">
        <f>IFERROR('08_PLAN_MAESTRO'!CB$25,0)</f>
        <v>0</v>
      </c>
      <c r="J81" s="56">
        <f>IFERROR('08_PLAN_MAESTRO'!CB$26,0)</f>
        <v>0</v>
      </c>
      <c r="K81" s="56">
        <f>IFERROR('08_PLAN_MAESTRO'!CB$27,0)</f>
        <v>0</v>
      </c>
      <c r="L81" s="56">
        <f>IFERROR('08_PLAN_MAESTRO'!CB$28,0)</f>
        <v>0</v>
      </c>
      <c r="M81" s="56">
        <f>IFERROR('08_PLAN_MAESTRO'!CB$29,0)</f>
        <v>480</v>
      </c>
      <c r="N81" s="57">
        <f>IFERROR('08_PLAN_MAESTRO'!CB$30,0)</f>
        <v>0</v>
      </c>
    </row>
    <row r="82" spans="1:14" x14ac:dyDescent="0.2">
      <c r="A82" s="46">
        <f>'07_Calendario'!$F$82</f>
        <v>74</v>
      </c>
      <c r="B82" s="54">
        <f>'07_Calendario'!$B$82</f>
        <v>46295</v>
      </c>
      <c r="C82" s="46" t="str">
        <f>'07_Calendario'!$C$82</f>
        <v>Miércoles</v>
      </c>
      <c r="D82" s="46">
        <f>'07_Calendario'!$D$82</f>
        <v>3</v>
      </c>
      <c r="E82" s="46" t="str">
        <f>IF('07_Calendario'!$E$82=0,"No operativo",IF(H82&gt;0,"Producción",IF(K82&gt;0,"Cambio","Libre")))</f>
        <v>Libre</v>
      </c>
      <c r="F82" s="46" t="str">
        <f>IF(H82=0,"—",INDEX('08_PLAN_MAESTRO'!$A$7:$A$23,MATCH(MAX('08_PLAN_MAESTRO'!CC$7:CC$23),'08_PLAN_MAESTRO'!CC$7:CC$23,0)))</f>
        <v>—</v>
      </c>
      <c r="G82" s="55" t="str">
        <f>IFERROR(INDEX('02_Datos_Maestros'!$B$5:$B$21,MATCH($F82,'02_Datos_Maestros'!$A$5:$A$21,0)),"—")</f>
        <v>—</v>
      </c>
      <c r="H82" s="46">
        <f>COUNTIF('08_PLAN_MAESTRO'!CC$7:CC$23,"&gt;0")</f>
        <v>0</v>
      </c>
      <c r="I82" s="56">
        <f>IFERROR('08_PLAN_MAESTRO'!CC$25,0)</f>
        <v>0</v>
      </c>
      <c r="J82" s="56">
        <f>IFERROR('08_PLAN_MAESTRO'!CC$26,0)</f>
        <v>0</v>
      </c>
      <c r="K82" s="56">
        <f>IFERROR('08_PLAN_MAESTRO'!CC$27,0)</f>
        <v>0</v>
      </c>
      <c r="L82" s="56">
        <f>IFERROR('08_PLAN_MAESTRO'!CC$28,0)</f>
        <v>0</v>
      </c>
      <c r="M82" s="56">
        <f>IFERROR('08_PLAN_MAESTRO'!CC$29,0)</f>
        <v>480</v>
      </c>
      <c r="N82" s="57">
        <f>IFERROR('08_PLAN_MAESTRO'!CC$30,0)</f>
        <v>0</v>
      </c>
    </row>
  </sheetData>
  <conditionalFormatting sqref="E5:E82">
    <cfRule type="cellIs" dxfId="8" priority="1" operator="equal">
      <formula>"No operativo"</formula>
    </cfRule>
    <cfRule type="cellIs" dxfId="7" priority="2" operator="equal">
      <formula>"Libre"</formula>
    </cfRule>
  </conditionalFormatting>
  <conditionalFormatting sqref="K5:K82">
    <cfRule type="cellIs" dxfId="6" priority="3" operator="greaterThan">
      <formula>0</formula>
    </cfRule>
  </conditionalFormatting>
  <conditionalFormatting sqref="N5:N82">
    <cfRule type="dataBar" priority="4">
      <dataBar>
        <cfvo type="num" val="0"/>
        <cfvo type="num" val="1"/>
        <color rgb="FF1E7B4F"/>
      </dataBar>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E28"/>
  <sheetViews>
    <sheetView showGridLines="0" topLeftCell="B10" workbookViewId="0">
      <selection activeCell="E26" sqref="E26"/>
    </sheetView>
  </sheetViews>
  <sheetFormatPr baseColWidth="10" defaultColWidth="8.83203125" defaultRowHeight="15" x14ac:dyDescent="0.2"/>
  <cols>
    <col min="1" max="1" width="4" customWidth="1"/>
    <col min="2" max="2" width="42" customWidth="1"/>
    <col min="3" max="3" width="18" customWidth="1"/>
    <col min="4" max="4" width="14" customWidth="1"/>
    <col min="5" max="5" width="62" customWidth="1"/>
  </cols>
  <sheetData>
    <row r="1" spans="1:5" ht="26" customHeight="1" x14ac:dyDescent="0.3">
      <c r="A1" s="1" t="s">
        <v>281</v>
      </c>
    </row>
    <row r="2" spans="1:5" x14ac:dyDescent="0.2">
      <c r="A2" s="143" t="s">
        <v>439</v>
      </c>
    </row>
    <row r="4" spans="1:5" ht="20" customHeight="1" x14ac:dyDescent="0.2">
      <c r="B4" s="3" t="s">
        <v>282</v>
      </c>
      <c r="C4" s="4"/>
      <c r="D4" s="4"/>
      <c r="E4" s="4"/>
    </row>
    <row r="5" spans="1:5" ht="16" x14ac:dyDescent="0.2">
      <c r="B5" s="32" t="s">
        <v>283</v>
      </c>
      <c r="C5" s="58">
        <f>'03_Demanda_ABC'!$C$22</f>
        <v>86331</v>
      </c>
      <c r="E5" s="17" t="s">
        <v>284</v>
      </c>
    </row>
    <row r="6" spans="1:5" ht="26" x14ac:dyDescent="0.2">
      <c r="B6" s="32" t="s">
        <v>285</v>
      </c>
      <c r="C6" s="59">
        <f>'03_Demanda_ABC'!$F$22</f>
        <v>27819.625384303745</v>
      </c>
      <c r="E6" s="17" t="s">
        <v>286</v>
      </c>
    </row>
    <row r="7" spans="1:5" ht="16" x14ac:dyDescent="0.2">
      <c r="B7" s="32" t="s">
        <v>287</v>
      </c>
      <c r="C7" s="59">
        <f>'06_Secuencia_Optima'!$F$43</f>
        <v>840</v>
      </c>
      <c r="E7" s="98" t="s">
        <v>288</v>
      </c>
    </row>
    <row r="8" spans="1:5" ht="16" x14ac:dyDescent="0.2">
      <c r="B8" s="32" t="s">
        <v>289</v>
      </c>
      <c r="C8" s="59">
        <f>'03_Demanda_ABC'!$F$22+'06_Secuencia_Optima'!$F$43</f>
        <v>28659.625384303745</v>
      </c>
      <c r="E8" s="17"/>
    </row>
    <row r="9" spans="1:5" ht="26" x14ac:dyDescent="0.2">
      <c r="B9" s="107" t="s">
        <v>440</v>
      </c>
      <c r="C9" s="60">
        <f>('06_Secuencia_Optima'!M42)/480</f>
        <v>0.70049099836333872</v>
      </c>
      <c r="E9" s="17" t="s">
        <v>441</v>
      </c>
    </row>
    <row r="10" spans="1:5" ht="16" x14ac:dyDescent="0.2">
      <c r="B10" s="32" t="s">
        <v>290</v>
      </c>
      <c r="C10" s="61">
        <f>'07_Calendario'!$D$85</f>
        <v>74</v>
      </c>
      <c r="E10" s="17" t="s">
        <v>291</v>
      </c>
    </row>
    <row r="11" spans="1:5" ht="26" x14ac:dyDescent="0.2">
      <c r="B11" s="32" t="s">
        <v>292</v>
      </c>
      <c r="C11" s="62">
        <f>($C$6+$C$7)/'07_Calendario'!$D$86</f>
        <v>0.80685882275629917</v>
      </c>
      <c r="E11" s="17" t="s">
        <v>442</v>
      </c>
    </row>
    <row r="12" spans="1:5" ht="26" x14ac:dyDescent="0.2">
      <c r="B12" s="107" t="s">
        <v>443</v>
      </c>
      <c r="C12" s="60">
        <f>'07_Calendario'!D85-($C$6+$C$7)/480</f>
        <v>14.292447116033863</v>
      </c>
      <c r="E12" s="17" t="s">
        <v>444</v>
      </c>
    </row>
    <row r="13" spans="1:5" ht="16" x14ac:dyDescent="0.2">
      <c r="B13" s="32" t="s">
        <v>293</v>
      </c>
      <c r="C13" s="62">
        <f>'06_Secuencia_Optima'!$F$43/($C$6+$C$7)</f>
        <v>2.930952476650479E-2</v>
      </c>
      <c r="E13" s="17" t="s">
        <v>294</v>
      </c>
    </row>
    <row r="14" spans="1:5" ht="16" x14ac:dyDescent="0.2">
      <c r="B14" s="32" t="s">
        <v>295</v>
      </c>
      <c r="C14" s="63">
        <f>IF(C22="OK",MAX('06_Secuencia_Optima'!$Q$26:$Q$42),"Fuera del mes")</f>
        <v>46272</v>
      </c>
      <c r="E14" s="17" t="s">
        <v>296</v>
      </c>
    </row>
    <row r="15" spans="1:5" ht="16" x14ac:dyDescent="0.2">
      <c r="B15" s="32" t="s">
        <v>297</v>
      </c>
      <c r="C15" s="64">
        <f>'03_Demanda_ABC'!$C$22/$C$9</f>
        <v>123243.55373831777</v>
      </c>
      <c r="E15" s="17" t="s">
        <v>298</v>
      </c>
    </row>
    <row r="17" spans="2:5" ht="20" customHeight="1" x14ac:dyDescent="0.2">
      <c r="B17" s="3" t="s">
        <v>299</v>
      </c>
      <c r="C17" s="4"/>
      <c r="D17" s="4"/>
      <c r="E17" s="4"/>
    </row>
    <row r="18" spans="2:5" ht="16" x14ac:dyDescent="0.2">
      <c r="B18" s="32" t="s">
        <v>300</v>
      </c>
      <c r="C18" s="65" t="str">
        <f>IF(SUM('08_PLAN_MAESTRO'!$CD$7:$CD$23)='03_Demanda_ABC'!$C$22,"OK","DIFERENCIA")</f>
        <v>OK</v>
      </c>
      <c r="E18" s="17" t="s">
        <v>301</v>
      </c>
    </row>
    <row r="19" spans="2:5" ht="16" x14ac:dyDescent="0.2">
      <c r="B19" s="32" t="s">
        <v>302</v>
      </c>
      <c r="C19" s="65" t="str">
        <f>IF(COUNTIF('08_PLAN_MAESTRO'!$CF$7:$CF$23,"OK")=17,"OK (17/17)","REVISAR")</f>
        <v>OK (17/17)</v>
      </c>
      <c r="E19" s="17" t="s">
        <v>303</v>
      </c>
    </row>
    <row r="20" spans="2:5" ht="26" x14ac:dyDescent="0.2">
      <c r="B20" s="32" t="s">
        <v>304</v>
      </c>
      <c r="C20" s="65" t="str">
        <f>IF(AND(MAX('08_PLAN_MAESTRO'!$D$28:$CC$28)&lt;=480,MIN('08_PLAN_MAESTRO'!$D$29:$CC$29)&gt;=0),"OK","SOBRECARGA")</f>
        <v>SOBRECARGA</v>
      </c>
      <c r="E20" s="17" t="s">
        <v>445</v>
      </c>
    </row>
    <row r="21" spans="2:5" ht="32" x14ac:dyDescent="0.2">
      <c r="B21" s="32" t="s">
        <v>305</v>
      </c>
      <c r="C21" s="65" t="str">
        <f>IF(AND(C23="OK (17/17)",C27="OK",C28="OK",'05_Modelo_Solver'!E51=0,'06_Secuencia_Optima'!F43='06_Secuencia_Optima'!D9),"OK — alcanza la cota inferior","No demostrado")</f>
        <v>OK — alcanza la cota inferior</v>
      </c>
      <c r="E21" s="93" t="s">
        <v>446</v>
      </c>
    </row>
    <row r="22" spans="2:5" ht="16" x14ac:dyDescent="0.2">
      <c r="B22" s="32" t="s">
        <v>306</v>
      </c>
      <c r="C22" s="65" t="str">
        <f>IF($C$9&lt;='07_Calendario'!$D$85,"OK","NO CABE")</f>
        <v>OK</v>
      </c>
      <c r="E22" s="17" t="s">
        <v>307</v>
      </c>
    </row>
    <row r="23" spans="2:5" ht="26" x14ac:dyDescent="0.2">
      <c r="B23" s="32" t="s">
        <v>308</v>
      </c>
      <c r="C23" s="65" t="str">
        <f>IF(AND(COUNTIF('06_Secuencia_Optima'!$B$26:$B$42,'02_Datos_Maestros'!A5)=1,COUNTIF('06_Secuencia_Optima'!$B$26:$B$42,'02_Datos_Maestros'!A6)=1,COUNTIF('06_Secuencia_Optima'!$B$26:$B$42,'02_Datos_Maestros'!A7)=1,COUNTIF('06_Secuencia_Optima'!$B$26:$B$42,'02_Datos_Maestros'!A8)=1,COUNTIF('06_Secuencia_Optima'!$B$26:$B$42,'02_Datos_Maestros'!A9)=1,COUNTIF('06_Secuencia_Optima'!$B$26:$B$42,'02_Datos_Maestros'!A10)=1,COUNTIF('06_Secuencia_Optima'!$B$26:$B$42,'02_Datos_Maestros'!A11)=1,COUNTIF('06_Secuencia_Optima'!$B$26:$B$42,'02_Datos_Maestros'!A12)=1,COUNTIF('06_Secuencia_Optima'!$B$26:$B$42,'02_Datos_Maestros'!A13)=1,COUNTIF('06_Secuencia_Optima'!$B$26:$B$42,'02_Datos_Maestros'!A14)=1,COUNTIF('06_Secuencia_Optima'!$B$26:$B$42,'02_Datos_Maestros'!A15)=1,COUNTIF('06_Secuencia_Optima'!$B$26:$B$42,'02_Datos_Maestros'!A16)=1,COUNTIF('06_Secuencia_Optima'!$B$26:$B$42,'02_Datos_Maestros'!A17)=1,COUNTIF('06_Secuencia_Optima'!$B$26:$B$42,'02_Datos_Maestros'!A18)=1,COUNTIF('06_Secuencia_Optima'!$B$26:$B$42,'02_Datos_Maestros'!A19)=1,COUNTIF('06_Secuencia_Optima'!$B$26:$B$42,'02_Datos_Maestros'!A20)=1,COUNTIF('06_Secuencia_Optima'!$B$26:$B$42,'02_Datos_Maestros'!A21)=1),"OK (17/17)","DUPLICADO / FALTA")</f>
        <v>OK (17/17)</v>
      </c>
      <c r="E23" s="17" t="s">
        <v>447</v>
      </c>
    </row>
    <row r="25" spans="2:5" ht="36" customHeight="1" x14ac:dyDescent="0.2">
      <c r="B25" s="144" t="s">
        <v>448</v>
      </c>
      <c r="C25" s="145" t="str">
        <f>IF(AND(ABS(SUM('08_PLAN_MAESTRO'!D26:CC26)-C6)&lt;0.000001,ABS(SUM('08_PLAN_MAESTRO'!D27:CC27)-C7)&lt;0.000001),"OK","REVISAR")</f>
        <v>OK</v>
      </c>
      <c r="D25" s="105"/>
      <c r="E25" s="144" t="s">
        <v>449</v>
      </c>
    </row>
    <row r="26" spans="2:5" ht="36" customHeight="1" x14ac:dyDescent="0.2">
      <c r="B26" s="144" t="s">
        <v>450</v>
      </c>
      <c r="C26" s="146">
        <f>'06_Secuencia_Optima'!AB43</f>
        <v>0.30419128286234809</v>
      </c>
      <c r="D26" s="105"/>
      <c r="E26" s="144"/>
    </row>
    <row r="27" spans="2:5" ht="36" customHeight="1" x14ac:dyDescent="0.2">
      <c r="B27" s="144" t="s">
        <v>451</v>
      </c>
      <c r="C27" s="145" t="str">
        <f>IF(AND('02_Datos_Maestros'!F5&gt;0,'02_Datos_Maestros'!F5=INT('02_Datos_Maestros'!F5),'03_Demanda_ABC'!C5&gt;=0,'03_Demanda_ABC'!C5=INT('03_Demanda_ABC'!C5),'02_Datos_Maestros'!F6&gt;0,'02_Datos_Maestros'!F6=INT('02_Datos_Maestros'!F6),'03_Demanda_ABC'!C6&gt;=0,'03_Demanda_ABC'!C6=INT('03_Demanda_ABC'!C6),'02_Datos_Maestros'!F7&gt;0,'02_Datos_Maestros'!F7=INT('02_Datos_Maestros'!F7),'03_Demanda_ABC'!C7&gt;=0,'03_Demanda_ABC'!C7=INT('03_Demanda_ABC'!C7),'02_Datos_Maestros'!F8&gt;0,'02_Datos_Maestros'!F8=INT('02_Datos_Maestros'!F8),'03_Demanda_ABC'!C8&gt;=0,'03_Demanda_ABC'!C8=INT('03_Demanda_ABC'!C8),'02_Datos_Maestros'!F9&gt;0,'02_Datos_Maestros'!F9=INT('02_Datos_Maestros'!F9),'03_Demanda_ABC'!C9&gt;=0,'03_Demanda_ABC'!C9=INT('03_Demanda_ABC'!C9),'02_Datos_Maestros'!F10&gt;0,'02_Datos_Maestros'!F10=INT('02_Datos_Maestros'!F10),'03_Demanda_ABC'!C10&gt;=0,'03_Demanda_ABC'!C10=INT('03_Demanda_ABC'!C10),'02_Datos_Maestros'!F11&gt;0,'02_Datos_Maestros'!F11=INT('02_Datos_Maestros'!F11),'03_Demanda_ABC'!C11&gt;=0,'03_Demanda_ABC'!C11=INT('03_Demanda_ABC'!C11),'02_Datos_Maestros'!F12&gt;0,'02_Datos_Maestros'!F12=INT('02_Datos_Maestros'!F12),'03_Demanda_ABC'!C12&gt;=0,'03_Demanda_ABC'!C12=INT('03_Demanda_ABC'!C12),'02_Datos_Maestros'!F13&gt;0,'02_Datos_Maestros'!F13=INT('02_Datos_Maestros'!F13),'03_Demanda_ABC'!C13&gt;=0,'03_Demanda_ABC'!C13=INT('03_Demanda_ABC'!C13),'02_Datos_Maestros'!F14&gt;0,'02_Datos_Maestros'!F14=INT('02_Datos_Maestros'!F14),'03_Demanda_ABC'!C14&gt;=0,'03_Demanda_ABC'!C14=INT('03_Demanda_ABC'!C14),'02_Datos_Maestros'!F15&gt;0,'02_Datos_Maestros'!F15=INT('02_Datos_Maestros'!F15),'03_Demanda_ABC'!C15&gt;=0,'03_Demanda_ABC'!C15=INT('03_Demanda_ABC'!C15),'02_Datos_Maestros'!F16&gt;0,'02_Datos_Maestros'!F16=INT('02_Datos_Maestros'!F16),'03_Demanda_ABC'!C16&gt;=0,'03_Demanda_ABC'!C16=INT('03_Demanda_ABC'!C16),'02_Datos_Maestros'!F17&gt;0,'02_Datos_Maestros'!F17=INT('02_Datos_Maestros'!F17),'03_Demanda_ABC'!C17&gt;=0,'03_Demanda_ABC'!C17=INT('03_Demanda_ABC'!C17),'02_Datos_Maestros'!F18&gt;0,'02_Datos_Maestros'!F18=INT('02_Datos_Maestros'!F18),'03_Demanda_ABC'!C18&gt;=0,'03_Demanda_ABC'!C18=INT('03_Demanda_ABC'!C18),'02_Datos_Maestros'!F19&gt;0,'02_Datos_Maestros'!F19=INT('02_Datos_Maestros'!F19),'03_Demanda_ABC'!C19&gt;=0,'03_Demanda_ABC'!C19=INT('03_Demanda_ABC'!C19),'02_Datos_Maestros'!F20&gt;0,'02_Datos_Maestros'!F20=INT('02_Datos_Maestros'!F20),'03_Demanda_ABC'!C20&gt;=0,'03_Demanda_ABC'!C20=INT('03_Demanda_ABC'!C20),'02_Datos_Maestros'!F21&gt;0,'02_Datos_Maestros'!F21=INT('02_Datos_Maestros'!F21),'03_Demanda_ABC'!C21&gt;=0,'03_Demanda_ABC'!C21=INT('03_Demanda_ABC'!C21)),"OK","REVISAR")</f>
        <v>OK</v>
      </c>
      <c r="D27" s="105"/>
      <c r="E27" s="144" t="s">
        <v>452</v>
      </c>
    </row>
    <row r="28" spans="2:5" ht="40" customHeight="1" x14ac:dyDescent="0.2">
      <c r="B28" s="144" t="s">
        <v>453</v>
      </c>
      <c r="C28" s="147" t="str">
        <f>IF(AND(SUMPRODUCT(--('05_Modelo_Solver'!C200:C488&gt;0),--('05_Modelo_Solver'!D200:D488='05_Modelo_Solver'!E200:E488))=0,SUMPRODUCT(--('05_Modelo_Solver'!C200:C488=0),--('05_Modelo_Solver'!D200:D488&lt;&gt;'05_Modelo_Solver'!E200:E488))=0,COUNTIF('02_Datos_Maestros'!I5:I21,'05_Modelo_Solver'!C12)&gt;0,COUNTIF('02_Datos_Maestros'!I5:I21,'05_Modelo_Solver'!C13)&gt;0,COUNTIF('02_Datos_Maestros'!I5:I21,'05_Modelo_Solver'!C14)&gt;0,COUNTIF('02_Datos_Maestros'!I5:I21,'05_Modelo_Solver'!C15)&gt;0,COUNTIF('02_Datos_Maestros'!I5:I21,'05_Modelo_Solver'!C16)&gt;0,COUNTIF('02_Datos_Maestros'!I5:I21,'05_Modelo_Solver'!C17)&gt;0,COUNTIF('02_Datos_Maestros'!I5:I21,'05_Modelo_Solver'!C18)&gt;0,COUNTIF('02_Datos_Maestros'!I5:I21,'05_Modelo_Solver'!C19)&gt;0,COUNTIF('05_Modelo_Solver'!C12:C19,'02_Datos_Maestros'!I5)=1,COUNTIF('05_Modelo_Solver'!C12:C19,'02_Datos_Maestros'!I6)=1,COUNTIF('05_Modelo_Solver'!C12:C19,'02_Datos_Maestros'!I7)=1,COUNTIF('05_Modelo_Solver'!C12:C19,'02_Datos_Maestros'!I8)=1,COUNTIF('05_Modelo_Solver'!C12:C19,'02_Datos_Maestros'!I9)=1,COUNTIF('05_Modelo_Solver'!C12:C19,'02_Datos_Maestros'!I10)=1,COUNTIF('05_Modelo_Solver'!C12:C19,'02_Datos_Maestros'!I11)=1,COUNTIF('05_Modelo_Solver'!C12:C19,'02_Datos_Maestros'!I12)=1,COUNTIF('05_Modelo_Solver'!C12:C19,'02_Datos_Maestros'!I13)=1,COUNTIF('05_Modelo_Solver'!C12:C19,'02_Datos_Maestros'!I14)=1,COUNTIF('05_Modelo_Solver'!C12:C19,'02_Datos_Maestros'!I15)=1,COUNTIF('05_Modelo_Solver'!C12:C19,'02_Datos_Maestros'!I16)=1,COUNTIF('05_Modelo_Solver'!C12:C19,'02_Datos_Maestros'!I17)=1,COUNTIF('05_Modelo_Solver'!C12:C19,'02_Datos_Maestros'!I18)=1,COUNTIF('05_Modelo_Solver'!C12:C19,'02_Datos_Maestros'!I19)=1,COUNTIF('05_Modelo_Solver'!C12:C19,'02_Datos_Maestros'!I20)=1,COUNTIF('05_Modelo_Solver'!C12:C19,'02_Datos_Maestros'!I21)=1),"OK","REVISAR GRUPOS")</f>
        <v>OK</v>
      </c>
      <c r="D28" s="105"/>
      <c r="E28" s="144" t="s">
        <v>454</v>
      </c>
    </row>
  </sheetData>
  <conditionalFormatting sqref="C18:C23">
    <cfRule type="expression" dxfId="5" priority="1">
      <formula>ISNUMBER(SEARCH("OK",C18))</formula>
    </cfRule>
    <cfRule type="expression" dxfId="4" priority="2">
      <formula>NOT(ISNUMBER(SEARCH("OK",C18)))</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EA9DB"/>
  </sheetPr>
  <dimension ref="A1:N46"/>
  <sheetViews>
    <sheetView showGridLines="0" tabSelected="1" topLeftCell="A13" workbookViewId="0">
      <selection activeCell="O31" sqref="O31"/>
    </sheetView>
  </sheetViews>
  <sheetFormatPr baseColWidth="10" defaultColWidth="8.83203125" defaultRowHeight="15" x14ac:dyDescent="0.2"/>
  <cols>
    <col min="1" max="1" width="4" customWidth="1"/>
    <col min="2" max="2" width="20" customWidth="1"/>
    <col min="3" max="3" width="18.5" customWidth="1"/>
    <col min="4" max="4" width="15" customWidth="1"/>
    <col min="5" max="5" width="14" customWidth="1"/>
    <col min="6" max="6" width="13" customWidth="1"/>
    <col min="7" max="7" width="14" customWidth="1"/>
    <col min="8" max="9" width="13" customWidth="1"/>
    <col min="10" max="10" width="12" customWidth="1"/>
    <col min="11" max="11" width="15" customWidth="1"/>
    <col min="12" max="12" width="13" customWidth="1"/>
    <col min="13" max="13" width="12" customWidth="1"/>
    <col min="14" max="14" width="15" customWidth="1"/>
  </cols>
  <sheetData>
    <row r="1" spans="1:14" ht="26" customHeight="1" x14ac:dyDescent="0.3">
      <c r="A1" s="1" t="s">
        <v>309</v>
      </c>
    </row>
    <row r="2" spans="1:14" x14ac:dyDescent="0.2">
      <c r="A2" s="143" t="s">
        <v>455</v>
      </c>
    </row>
    <row r="4" spans="1:14" x14ac:dyDescent="0.2">
      <c r="B4" s="32" t="s">
        <v>310</v>
      </c>
      <c r="D4" s="66">
        <f>'03_Demanda_ABC'!$F$22</f>
        <v>27819.625384303745</v>
      </c>
    </row>
    <row r="5" spans="1:14" x14ac:dyDescent="0.2">
      <c r="B5" s="32" t="s">
        <v>311</v>
      </c>
      <c r="D5" s="66">
        <f>'06_Secuencia_Optima'!$F$43</f>
        <v>840</v>
      </c>
    </row>
    <row r="6" spans="1:14" x14ac:dyDescent="0.2">
      <c r="B6" s="32" t="s">
        <v>312</v>
      </c>
      <c r="D6" s="67">
        <f>'07_Calendario'!$D$85</f>
        <v>74</v>
      </c>
    </row>
    <row r="7" spans="1:14" x14ac:dyDescent="0.2">
      <c r="B7" s="32" t="s">
        <v>313</v>
      </c>
      <c r="D7" s="67">
        <f>DAY(EOMONTH(DATE(2026,9,1),0))*3</f>
        <v>90</v>
      </c>
    </row>
    <row r="8" spans="1:14" ht="17" x14ac:dyDescent="0.2">
      <c r="B8" s="68" t="s">
        <v>314</v>
      </c>
      <c r="D8" s="69">
        <f>($D$6*480-$D$5)/$D$4-1</f>
        <v>0.24660197687518037</v>
      </c>
      <c r="E8" s="126" t="s">
        <v>456</v>
      </c>
      <c r="F8" s="113"/>
      <c r="G8" s="113"/>
      <c r="H8" s="113"/>
      <c r="I8" s="113"/>
      <c r="J8" s="113"/>
      <c r="K8" s="113"/>
      <c r="L8" s="113"/>
      <c r="M8" s="113"/>
      <c r="N8" s="113"/>
    </row>
    <row r="9" spans="1:14" ht="17" x14ac:dyDescent="0.2">
      <c r="B9" s="30" t="s">
        <v>315</v>
      </c>
      <c r="D9" s="70">
        <f>($D$7*480-$D$5)/$D$4-1</f>
        <v>0.52266608248075674</v>
      </c>
    </row>
    <row r="12" spans="1:14" ht="34" customHeight="1" x14ac:dyDescent="0.2">
      <c r="B12" s="9" t="s">
        <v>316</v>
      </c>
      <c r="C12" s="9" t="s">
        <v>317</v>
      </c>
      <c r="D12" s="9" t="s">
        <v>318</v>
      </c>
      <c r="E12" s="9" t="s">
        <v>276</v>
      </c>
      <c r="F12" s="9" t="s">
        <v>277</v>
      </c>
      <c r="G12" s="9" t="s">
        <v>319</v>
      </c>
      <c r="H12" s="9" t="s">
        <v>320</v>
      </c>
      <c r="I12" s="9" t="s">
        <v>321</v>
      </c>
      <c r="J12" s="9" t="s">
        <v>322</v>
      </c>
      <c r="K12" s="9" t="s">
        <v>323</v>
      </c>
      <c r="L12" s="9" t="s">
        <v>324</v>
      </c>
      <c r="M12" s="9" t="s">
        <v>325</v>
      </c>
      <c r="N12" s="9" t="s">
        <v>326</v>
      </c>
    </row>
    <row r="13" spans="1:14" x14ac:dyDescent="0.2">
      <c r="B13" s="13" t="s">
        <v>327</v>
      </c>
      <c r="C13" s="71">
        <v>-0.1</v>
      </c>
      <c r="D13" s="72">
        <f>'03_Demanda_ABC'!$C$22*(1+$C13)</f>
        <v>77697.900000000009</v>
      </c>
      <c r="E13" s="72">
        <f t="shared" ref="E13:E20" si="0">$D$4*(1+$C13)</f>
        <v>25037.662845873372</v>
      </c>
      <c r="F13" s="72">
        <f t="shared" ref="F13:F20" si="1">$D$5</f>
        <v>840</v>
      </c>
      <c r="G13" s="72">
        <f t="shared" ref="G13:G20" si="2">$E13+$F13</f>
        <v>25877.662845873372</v>
      </c>
      <c r="H13" s="73">
        <f t="shared" ref="H13:H20" si="3">$G13/480</f>
        <v>53.911797595569524</v>
      </c>
      <c r="I13" s="74">
        <f t="shared" ref="I13:I20" si="4">$D$6</f>
        <v>74</v>
      </c>
      <c r="J13" s="73">
        <f t="shared" ref="J13:J20" si="5">$I13-$H13</f>
        <v>20.088202404430476</v>
      </c>
      <c r="K13" s="10" t="str">
        <f t="shared" ref="K13:K20" si="6">IF($J13&gt;=0,"CABE","NO CABE")</f>
        <v>CABE</v>
      </c>
      <c r="L13" s="74">
        <f t="shared" ref="L13:L20" si="7">$D$7</f>
        <v>90</v>
      </c>
      <c r="M13" s="73">
        <f t="shared" ref="M13:M20" si="8">$L13-$H13</f>
        <v>36.088202404430476</v>
      </c>
      <c r="N13" s="10" t="str">
        <f t="shared" ref="N13:N20" si="9">IF($M13&gt;=0,"CABE","NO CABE")</f>
        <v>CABE</v>
      </c>
    </row>
    <row r="14" spans="1:14" x14ac:dyDescent="0.2">
      <c r="B14" s="75" t="s">
        <v>328</v>
      </c>
      <c r="C14" s="76">
        <v>0</v>
      </c>
      <c r="D14" s="77">
        <f>'03_Demanda_ABC'!$C$22*(1+$C14)</f>
        <v>86331</v>
      </c>
      <c r="E14" s="77">
        <f t="shared" si="0"/>
        <v>27819.625384303745</v>
      </c>
      <c r="F14" s="77">
        <f t="shared" si="1"/>
        <v>840</v>
      </c>
      <c r="G14" s="77">
        <f t="shared" si="2"/>
        <v>28659.625384303745</v>
      </c>
      <c r="H14" s="78">
        <f t="shared" si="3"/>
        <v>59.707552883966137</v>
      </c>
      <c r="I14" s="79">
        <f t="shared" si="4"/>
        <v>74</v>
      </c>
      <c r="J14" s="78">
        <f t="shared" si="5"/>
        <v>14.292447116033863</v>
      </c>
      <c r="K14" s="42" t="str">
        <f t="shared" si="6"/>
        <v>CABE</v>
      </c>
      <c r="L14" s="79">
        <f t="shared" si="7"/>
        <v>90</v>
      </c>
      <c r="M14" s="78">
        <f t="shared" si="8"/>
        <v>30.292447116033863</v>
      </c>
      <c r="N14" s="42" t="str">
        <f t="shared" si="9"/>
        <v>CABE</v>
      </c>
    </row>
    <row r="15" spans="1:14" x14ac:dyDescent="0.2">
      <c r="B15" s="13" t="s">
        <v>329</v>
      </c>
      <c r="C15" s="71">
        <v>0.1</v>
      </c>
      <c r="D15" s="72">
        <f>'03_Demanda_ABC'!$C$22*(1+$C15)</f>
        <v>94964.1</v>
      </c>
      <c r="E15" s="72">
        <f t="shared" si="0"/>
        <v>30601.587922734121</v>
      </c>
      <c r="F15" s="72">
        <f t="shared" si="1"/>
        <v>840</v>
      </c>
      <c r="G15" s="72">
        <f t="shared" si="2"/>
        <v>31441.587922734121</v>
      </c>
      <c r="H15" s="73">
        <f t="shared" si="3"/>
        <v>65.50330817236275</v>
      </c>
      <c r="I15" s="74">
        <f t="shared" si="4"/>
        <v>74</v>
      </c>
      <c r="J15" s="73">
        <f t="shared" si="5"/>
        <v>8.4966918276372496</v>
      </c>
      <c r="K15" s="10" t="str">
        <f t="shared" si="6"/>
        <v>CABE</v>
      </c>
      <c r="L15" s="74">
        <f t="shared" si="7"/>
        <v>90</v>
      </c>
      <c r="M15" s="73">
        <f t="shared" si="8"/>
        <v>24.49669182763725</v>
      </c>
      <c r="N15" s="10" t="str">
        <f t="shared" si="9"/>
        <v>CABE</v>
      </c>
    </row>
    <row r="16" spans="1:14" x14ac:dyDescent="0.2">
      <c r="B16" s="13" t="s">
        <v>330</v>
      </c>
      <c r="C16" s="71">
        <v>0.2</v>
      </c>
      <c r="D16" s="72">
        <f>'03_Demanda_ABC'!$C$22*(1+$C16)</f>
        <v>103597.2</v>
      </c>
      <c r="E16" s="72">
        <f t="shared" si="0"/>
        <v>33383.550461164494</v>
      </c>
      <c r="F16" s="72">
        <f t="shared" si="1"/>
        <v>840</v>
      </c>
      <c r="G16" s="72">
        <f t="shared" si="2"/>
        <v>34223.550461164494</v>
      </c>
      <c r="H16" s="73">
        <f t="shared" si="3"/>
        <v>71.299063460759356</v>
      </c>
      <c r="I16" s="74">
        <f t="shared" si="4"/>
        <v>74</v>
      </c>
      <c r="J16" s="73">
        <f t="shared" si="5"/>
        <v>2.7009365392406437</v>
      </c>
      <c r="K16" s="10" t="str">
        <f t="shared" si="6"/>
        <v>CABE</v>
      </c>
      <c r="L16" s="74">
        <f t="shared" si="7"/>
        <v>90</v>
      </c>
      <c r="M16" s="73">
        <f t="shared" si="8"/>
        <v>18.700936539240644</v>
      </c>
      <c r="N16" s="10" t="str">
        <f t="shared" si="9"/>
        <v>CABE</v>
      </c>
    </row>
    <row r="17" spans="2:14" x14ac:dyDescent="0.2">
      <c r="B17" s="75" t="s">
        <v>331</v>
      </c>
      <c r="C17" s="76">
        <f>$D$8</f>
        <v>0.24660197687518037</v>
      </c>
      <c r="D17" s="77">
        <f>'03_Demanda_ABC'!$C$22*(1+$C17)</f>
        <v>107620.39526561119</v>
      </c>
      <c r="E17" s="77">
        <f t="shared" si="0"/>
        <v>34680</v>
      </c>
      <c r="F17" s="77">
        <f t="shared" si="1"/>
        <v>840</v>
      </c>
      <c r="G17" s="77">
        <f t="shared" si="2"/>
        <v>35520</v>
      </c>
      <c r="H17" s="78">
        <f t="shared" si="3"/>
        <v>74</v>
      </c>
      <c r="I17" s="79">
        <f t="shared" si="4"/>
        <v>74</v>
      </c>
      <c r="J17" s="78">
        <f t="shared" si="5"/>
        <v>0</v>
      </c>
      <c r="K17" s="42" t="str">
        <f t="shared" si="6"/>
        <v>CABE</v>
      </c>
      <c r="L17" s="79">
        <f t="shared" si="7"/>
        <v>90</v>
      </c>
      <c r="M17" s="78">
        <f t="shared" si="8"/>
        <v>16</v>
      </c>
      <c r="N17" s="42" t="str">
        <f t="shared" si="9"/>
        <v>CABE</v>
      </c>
    </row>
    <row r="18" spans="2:14" x14ac:dyDescent="0.2">
      <c r="B18" s="13" t="s">
        <v>332</v>
      </c>
      <c r="C18" s="71">
        <v>0.3</v>
      </c>
      <c r="D18" s="72">
        <f>'03_Demanda_ABC'!$C$22*(1+$C18)</f>
        <v>112230.3</v>
      </c>
      <c r="E18" s="72">
        <f t="shared" si="0"/>
        <v>36165.512999594866</v>
      </c>
      <c r="F18" s="72">
        <f t="shared" si="1"/>
        <v>840</v>
      </c>
      <c r="G18" s="72">
        <f t="shared" si="2"/>
        <v>37005.512999594866</v>
      </c>
      <c r="H18" s="73">
        <f t="shared" si="3"/>
        <v>77.094818749155976</v>
      </c>
      <c r="I18" s="74">
        <f t="shared" si="4"/>
        <v>74</v>
      </c>
      <c r="J18" s="73">
        <f t="shared" si="5"/>
        <v>-3.0948187491559764</v>
      </c>
      <c r="K18" s="10" t="str">
        <f t="shared" si="6"/>
        <v>NO CABE</v>
      </c>
      <c r="L18" s="74">
        <f t="shared" si="7"/>
        <v>90</v>
      </c>
      <c r="M18" s="73">
        <f t="shared" si="8"/>
        <v>12.905181250844024</v>
      </c>
      <c r="N18" s="10" t="str">
        <f t="shared" si="9"/>
        <v>CABE</v>
      </c>
    </row>
    <row r="19" spans="2:14" x14ac:dyDescent="0.2">
      <c r="B19" s="13" t="s">
        <v>333</v>
      </c>
      <c r="C19" s="71">
        <v>0.4</v>
      </c>
      <c r="D19" s="72">
        <f>'03_Demanda_ABC'!$C$22*(1+$C19)</f>
        <v>120863.4</v>
      </c>
      <c r="E19" s="72">
        <f t="shared" si="0"/>
        <v>38947.475538025239</v>
      </c>
      <c r="F19" s="72">
        <f t="shared" si="1"/>
        <v>840</v>
      </c>
      <c r="G19" s="72">
        <f t="shared" si="2"/>
        <v>39787.475538025239</v>
      </c>
      <c r="H19" s="73">
        <f t="shared" si="3"/>
        <v>82.890574037552582</v>
      </c>
      <c r="I19" s="74">
        <f t="shared" si="4"/>
        <v>74</v>
      </c>
      <c r="J19" s="73">
        <f t="shared" si="5"/>
        <v>-8.8905740375525824</v>
      </c>
      <c r="K19" s="10" t="str">
        <f t="shared" si="6"/>
        <v>NO CABE</v>
      </c>
      <c r="L19" s="74">
        <f t="shared" si="7"/>
        <v>90</v>
      </c>
      <c r="M19" s="73">
        <f t="shared" si="8"/>
        <v>7.1094259624474176</v>
      </c>
      <c r="N19" s="10" t="str">
        <f t="shared" si="9"/>
        <v>CABE</v>
      </c>
    </row>
    <row r="20" spans="2:14" x14ac:dyDescent="0.2">
      <c r="B20" s="13" t="s">
        <v>334</v>
      </c>
      <c r="C20" s="71">
        <v>0.5</v>
      </c>
      <c r="D20" s="72">
        <f>'03_Demanda_ABC'!$C$22*(1+$C20)</f>
        <v>129496.5</v>
      </c>
      <c r="E20" s="72">
        <f t="shared" si="0"/>
        <v>41729.438076455619</v>
      </c>
      <c r="F20" s="72">
        <f t="shared" si="1"/>
        <v>840</v>
      </c>
      <c r="G20" s="72">
        <f t="shared" si="2"/>
        <v>42569.438076455619</v>
      </c>
      <c r="H20" s="73">
        <f t="shared" si="3"/>
        <v>88.686329325949202</v>
      </c>
      <c r="I20" s="74">
        <f t="shared" si="4"/>
        <v>74</v>
      </c>
      <c r="J20" s="73">
        <f t="shared" si="5"/>
        <v>-14.686329325949202</v>
      </c>
      <c r="K20" s="10" t="str">
        <f t="shared" si="6"/>
        <v>NO CABE</v>
      </c>
      <c r="L20" s="74">
        <f t="shared" si="7"/>
        <v>90</v>
      </c>
      <c r="M20" s="73">
        <f t="shared" si="8"/>
        <v>1.3136706740507975</v>
      </c>
      <c r="N20" s="10" t="str">
        <f t="shared" si="9"/>
        <v>CABE</v>
      </c>
    </row>
    <row r="42" spans="2:14" ht="16" x14ac:dyDescent="0.2">
      <c r="B42" s="29" t="s">
        <v>335</v>
      </c>
    </row>
    <row r="43" spans="2:14" ht="30" customHeight="1" x14ac:dyDescent="0.2">
      <c r="B43" s="100" t="s">
        <v>336</v>
      </c>
      <c r="C43" s="114" t="s">
        <v>457</v>
      </c>
      <c r="D43" s="142"/>
      <c r="E43" s="142"/>
      <c r="F43" s="142"/>
      <c r="G43" s="142"/>
      <c r="H43" s="142"/>
      <c r="I43" s="142"/>
      <c r="J43" s="142"/>
      <c r="K43" s="142"/>
      <c r="L43" s="142"/>
      <c r="M43" s="142"/>
      <c r="N43" s="142"/>
    </row>
    <row r="44" spans="2:14" ht="30" customHeight="1" x14ac:dyDescent="0.2">
      <c r="B44" s="100" t="s">
        <v>336</v>
      </c>
      <c r="C44" s="114" t="s">
        <v>458</v>
      </c>
      <c r="D44" s="142"/>
      <c r="E44" s="142"/>
      <c r="F44" s="142"/>
      <c r="G44" s="142"/>
      <c r="H44" s="142"/>
      <c r="I44" s="142"/>
      <c r="J44" s="142"/>
      <c r="K44" s="142"/>
      <c r="L44" s="142"/>
      <c r="M44" s="142"/>
      <c r="N44" s="142"/>
    </row>
    <row r="45" spans="2:14" ht="30" customHeight="1" x14ac:dyDescent="0.2">
      <c r="B45" s="100" t="s">
        <v>336</v>
      </c>
      <c r="C45" s="114" t="s">
        <v>459</v>
      </c>
      <c r="D45" s="142"/>
      <c r="E45" s="142"/>
      <c r="F45" s="142"/>
      <c r="G45" s="142"/>
      <c r="H45" s="142"/>
      <c r="I45" s="142"/>
      <c r="J45" s="142"/>
      <c r="K45" s="142"/>
      <c r="L45" s="142"/>
      <c r="M45" s="142"/>
      <c r="N45" s="142"/>
    </row>
    <row r="46" spans="2:14" ht="30" customHeight="1" x14ac:dyDescent="0.2">
      <c r="B46" s="100" t="s">
        <v>336</v>
      </c>
      <c r="C46" s="114" t="s">
        <v>460</v>
      </c>
      <c r="D46" s="142"/>
      <c r="E46" s="142"/>
      <c r="F46" s="142"/>
      <c r="G46" s="142"/>
      <c r="H46" s="142"/>
      <c r="I46" s="142"/>
      <c r="J46" s="142"/>
      <c r="K46" s="142"/>
      <c r="L46" s="142"/>
      <c r="M46" s="142"/>
      <c r="N46" s="142"/>
    </row>
  </sheetData>
  <mergeCells count="5">
    <mergeCell ref="C46:N46"/>
    <mergeCell ref="E8:N8"/>
    <mergeCell ref="C45:N45"/>
    <mergeCell ref="C44:N44"/>
    <mergeCell ref="C43:N43"/>
  </mergeCells>
  <conditionalFormatting sqref="K13:K20">
    <cfRule type="cellIs" dxfId="3" priority="1" operator="equal">
      <formula>"CABE"</formula>
    </cfRule>
    <cfRule type="cellIs" dxfId="2" priority="2" operator="equal">
      <formula>"NO CABE"</formula>
    </cfRule>
  </conditionalFormatting>
  <conditionalFormatting sqref="N13:N20">
    <cfRule type="cellIs" dxfId="1" priority="3" operator="equal">
      <formula>"CABE"</formula>
    </cfRule>
    <cfRule type="cellIs" dxfId="0" priority="4" operator="equal">
      <formula>"NO CABE"</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A9DB"/>
  </sheetPr>
  <dimension ref="A1:R62"/>
  <sheetViews>
    <sheetView showGridLines="0" topLeftCell="A4" workbookViewId="0">
      <selection activeCell="I30" sqref="I30"/>
    </sheetView>
  </sheetViews>
  <sheetFormatPr baseColWidth="10" defaultColWidth="8.83203125" defaultRowHeight="15" x14ac:dyDescent="0.2"/>
  <cols>
    <col min="1" max="1" width="8" customWidth="1"/>
    <col min="2" max="2" width="11" customWidth="1"/>
    <col min="3" max="3" width="12" customWidth="1"/>
    <col min="4" max="4" width="4" customWidth="1"/>
    <col min="5" max="5" width="11" customWidth="1"/>
    <col min="6" max="6" width="12" customWidth="1"/>
    <col min="7" max="7" width="4" customWidth="1"/>
    <col min="8" max="8" width="11" customWidth="1"/>
    <col min="9" max="9" width="12" customWidth="1"/>
    <col min="10" max="10" width="4" customWidth="1"/>
    <col min="11" max="11" width="32" customWidth="1"/>
    <col min="12" max="15" width="13" customWidth="1"/>
    <col min="16" max="16" width="4" customWidth="1"/>
    <col min="17" max="18" width="12" customWidth="1"/>
  </cols>
  <sheetData>
    <row r="1" spans="1:18" ht="26" customHeight="1" x14ac:dyDescent="0.3">
      <c r="A1" s="108" t="s">
        <v>461</v>
      </c>
    </row>
    <row r="2" spans="1:18" ht="256" x14ac:dyDescent="0.2">
      <c r="A2" s="106" t="s">
        <v>462</v>
      </c>
    </row>
    <row r="4" spans="1:18" ht="30" customHeight="1" x14ac:dyDescent="0.2">
      <c r="A4" s="131" t="s">
        <v>463</v>
      </c>
      <c r="B4" s="113"/>
      <c r="C4" s="113"/>
      <c r="D4" s="113"/>
      <c r="E4" s="113"/>
      <c r="F4" s="113"/>
      <c r="G4" s="113"/>
      <c r="H4" s="113"/>
      <c r="I4" s="113"/>
      <c r="J4" s="113"/>
      <c r="K4" s="113"/>
      <c r="L4" s="113"/>
      <c r="M4" s="113"/>
      <c r="N4" s="113"/>
      <c r="O4" s="113"/>
      <c r="P4" s="113"/>
      <c r="Q4" s="113"/>
      <c r="R4" s="113"/>
    </row>
    <row r="5" spans="1:18" ht="32" customHeight="1" x14ac:dyDescent="0.2">
      <c r="A5" s="9" t="s">
        <v>230</v>
      </c>
      <c r="B5" s="9" t="s">
        <v>337</v>
      </c>
      <c r="C5" s="9" t="s">
        <v>338</v>
      </c>
      <c r="E5" s="9" t="s">
        <v>339</v>
      </c>
      <c r="F5" s="9" t="s">
        <v>338</v>
      </c>
      <c r="H5" s="9" t="s">
        <v>340</v>
      </c>
      <c r="I5" s="9" t="s">
        <v>338</v>
      </c>
      <c r="K5" s="9" t="s">
        <v>341</v>
      </c>
      <c r="L5" s="9" t="s">
        <v>342</v>
      </c>
      <c r="M5" s="9" t="s">
        <v>343</v>
      </c>
      <c r="N5" s="9" t="s">
        <v>344</v>
      </c>
      <c r="O5" s="9" t="s">
        <v>464</v>
      </c>
      <c r="Q5" s="9" t="s">
        <v>345</v>
      </c>
      <c r="R5" s="9" t="s">
        <v>338</v>
      </c>
    </row>
    <row r="6" spans="1:18" x14ac:dyDescent="0.2">
      <c r="A6" s="10">
        <v>1</v>
      </c>
      <c r="B6" s="14">
        <f>SMALL('02_Datos_Maestros'!$A$5:$A$21,$A6)</f>
        <v>3278</v>
      </c>
      <c r="C6" s="14">
        <f>IF($A6=1,0,INDEX('04_Matriz_Cambios'!$B$6:$R$22,MATCH($B5,'04_Matriz_Cambios'!$A$6:$A$22,0),MATCH($B6,'04_Matriz_Cambios'!$B$5:$R$5,0)))</f>
        <v>0</v>
      </c>
      <c r="E6" s="14">
        <f>INDEX('03_Demanda_ABC'!$A$5:$A$21,MATCH(LARGE('03_Demanda_ABC'!$C$5:$C$21,$A6),'03_Demanda_ABC'!$C$5:$C$21,0))</f>
        <v>5998</v>
      </c>
      <c r="F6" s="14">
        <f>IF($A6=1,0,INDEX('04_Matriz_Cambios'!$B$6:$R$22,MATCH($E5,'04_Matriz_Cambios'!$A$6:$A$22,0),MATCH($E6,'04_Matriz_Cambios'!$B$5:$R$5,0)))</f>
        <v>0</v>
      </c>
      <c r="H6" s="10">
        <f>'06_Secuencia_Optima'!$B$26</f>
        <v>3533</v>
      </c>
      <c r="I6" s="14">
        <f>'06_Secuencia_Optima'!$F$26</f>
        <v>0</v>
      </c>
      <c r="K6" s="109" t="s">
        <v>465</v>
      </c>
      <c r="L6" s="80">
        <f>$I$23</f>
        <v>840</v>
      </c>
      <c r="M6" s="81">
        <f>$L6/480</f>
        <v>1.75</v>
      </c>
      <c r="N6" s="80">
        <f>$L6-$L$6</f>
        <v>0</v>
      </c>
      <c r="O6" s="82">
        <f>$N6/60</f>
        <v>0</v>
      </c>
      <c r="Q6" s="10">
        <f>$B$6</f>
        <v>3278</v>
      </c>
      <c r="R6" s="14">
        <v>0</v>
      </c>
    </row>
    <row r="7" spans="1:18" x14ac:dyDescent="0.2">
      <c r="A7" s="10">
        <v>2</v>
      </c>
      <c r="B7" s="14">
        <f>SMALL('02_Datos_Maestros'!$A$5:$A$21,$A7)</f>
        <v>3533</v>
      </c>
      <c r="C7" s="14">
        <f>IF($A7=1,0,INDEX('04_Matriz_Cambios'!$B$6:$R$22,MATCH($B6,'04_Matriz_Cambios'!$A$6:$A$22,0),MATCH($B7,'04_Matriz_Cambios'!$B$5:$R$5,0)))</f>
        <v>120</v>
      </c>
      <c r="E7" s="14">
        <f>INDEX('03_Demanda_ABC'!$A$5:$A$21,MATCH(LARGE('03_Demanda_ABC'!$C$5:$C$21,$A7),'03_Demanda_ABC'!$C$5:$C$21,0))</f>
        <v>16816</v>
      </c>
      <c r="F7" s="14">
        <f>IF($A7=1,0,INDEX('04_Matriz_Cambios'!$B$6:$R$22,MATCH($E6,'04_Matriz_Cambios'!$A$6:$A$22,0),MATCH($E7,'04_Matriz_Cambios'!$B$5:$R$5,0)))</f>
        <v>120</v>
      </c>
      <c r="H7" s="10">
        <f>'06_Secuencia_Optima'!$B$27</f>
        <v>3643</v>
      </c>
      <c r="I7" s="14">
        <f>'06_Secuencia_Optima'!$F$27</f>
        <v>120</v>
      </c>
      <c r="K7" s="13" t="s">
        <v>346</v>
      </c>
      <c r="L7" s="72">
        <f>$R$23</f>
        <v>900</v>
      </c>
      <c r="M7" s="73">
        <f>$L7/480</f>
        <v>1.875</v>
      </c>
      <c r="N7" s="72">
        <f>$L7-$L$6</f>
        <v>60</v>
      </c>
      <c r="O7" s="83">
        <f>$N7/60</f>
        <v>1</v>
      </c>
      <c r="Q7" s="10">
        <f>INDEX($B$45:$R$45,1,MATCH(MIN($B$46:$R$46),$B$46:$R$46,0))</f>
        <v>3749</v>
      </c>
      <c r="R7" s="14">
        <f>MIN($B$46:$R$46)</f>
        <v>0</v>
      </c>
    </row>
    <row r="8" spans="1:18" x14ac:dyDescent="0.2">
      <c r="A8" s="10">
        <v>3</v>
      </c>
      <c r="B8" s="14">
        <f>SMALL('02_Datos_Maestros'!$A$5:$A$21,$A8)</f>
        <v>3643</v>
      </c>
      <c r="C8" s="14">
        <f>IF($A8=1,0,INDEX('04_Matriz_Cambios'!$B$6:$R$22,MATCH($B7,'04_Matriz_Cambios'!$A$6:$A$22,0),MATCH($B8,'04_Matriz_Cambios'!$B$5:$R$5,0)))</f>
        <v>120</v>
      </c>
      <c r="E8" s="14">
        <f>INDEX('03_Demanda_ABC'!$A$5:$A$21,MATCH(LARGE('03_Demanda_ABC'!$C$5:$C$21,$A8),'03_Demanda_ABC'!$C$5:$C$21,0))</f>
        <v>17246</v>
      </c>
      <c r="F8" s="14">
        <f>IF($A8=1,0,INDEX('04_Matriz_Cambios'!$B$6:$R$22,MATCH($E7,'04_Matriz_Cambios'!$A$6:$A$22,0),MATCH($E8,'04_Matriz_Cambios'!$B$5:$R$5,0)))</f>
        <v>0</v>
      </c>
      <c r="H8" s="10">
        <f>'06_Secuencia_Optima'!$B$28</f>
        <v>15564</v>
      </c>
      <c r="I8" s="14">
        <f>'06_Secuencia_Optima'!$F$28</f>
        <v>120</v>
      </c>
      <c r="K8" s="110" t="s">
        <v>466</v>
      </c>
      <c r="L8" s="72">
        <f>$F$23</f>
        <v>1380</v>
      </c>
      <c r="M8" s="73">
        <f>$L8/480</f>
        <v>2.875</v>
      </c>
      <c r="N8" s="72">
        <f>$L8-$L$6</f>
        <v>540</v>
      </c>
      <c r="O8" s="83">
        <f>$N8/60</f>
        <v>9</v>
      </c>
      <c r="Q8" s="10">
        <f>INDEX($B$45:$R$45,1,MATCH(MIN($B$47:$R$47),$B$47:$R$47,0))</f>
        <v>7590</v>
      </c>
      <c r="R8" s="14">
        <f>MIN($B$47:$R$47)</f>
        <v>0</v>
      </c>
    </row>
    <row r="9" spans="1:18" x14ac:dyDescent="0.2">
      <c r="A9" s="10">
        <v>4</v>
      </c>
      <c r="B9" s="14">
        <f>SMALL('02_Datos_Maestros'!$A$5:$A$21,$A9)</f>
        <v>3749</v>
      </c>
      <c r="C9" s="14">
        <f>IF($A9=1,0,INDEX('04_Matriz_Cambios'!$B$6:$R$22,MATCH($B8,'04_Matriz_Cambios'!$A$6:$A$22,0),MATCH($B9,'04_Matriz_Cambios'!$B$5:$R$5,0)))</f>
        <v>120</v>
      </c>
      <c r="E9" s="14">
        <f>INDEX('03_Demanda_ABC'!$A$5:$A$21,MATCH(LARGE('03_Demanda_ABC'!$C$5:$C$21,$A9),'03_Demanda_ABC'!$C$5:$C$21,0))</f>
        <v>3278</v>
      </c>
      <c r="F9" s="14">
        <f>IF($A9=1,0,INDEX('04_Matriz_Cambios'!$B$6:$R$22,MATCH($E8,'04_Matriz_Cambios'!$A$6:$A$22,0),MATCH($E9,'04_Matriz_Cambios'!$B$5:$R$5,0)))</f>
        <v>0</v>
      </c>
      <c r="H9" s="10">
        <f>'06_Secuencia_Optima'!$B$29</f>
        <v>5998</v>
      </c>
      <c r="I9" s="14">
        <f>'06_Secuencia_Optima'!$F$29</f>
        <v>120</v>
      </c>
      <c r="K9" s="110" t="s">
        <v>467</v>
      </c>
      <c r="L9" s="72">
        <f>$C$23</f>
        <v>1620</v>
      </c>
      <c r="M9" s="73">
        <f>$L9/480</f>
        <v>3.375</v>
      </c>
      <c r="N9" s="72">
        <f>$L9-$L$6</f>
        <v>780</v>
      </c>
      <c r="O9" s="83">
        <f>$N9/60</f>
        <v>13</v>
      </c>
      <c r="Q9" s="10">
        <f>INDEX($B$45:$R$45,1,MATCH(MIN($B$48:$R$48),$B$48:$R$48,0))</f>
        <v>15795</v>
      </c>
      <c r="R9" s="14">
        <f>MIN($B$48:$R$48)</f>
        <v>0</v>
      </c>
    </row>
    <row r="10" spans="1:18" ht="30" x14ac:dyDescent="0.2">
      <c r="A10" s="10">
        <v>5</v>
      </c>
      <c r="B10" s="14">
        <f>SMALL('02_Datos_Maestros'!$A$5:$A$21,$A10)</f>
        <v>3757</v>
      </c>
      <c r="C10" s="14">
        <f>IF($A10=1,0,INDEX('04_Matriz_Cambios'!$B$6:$R$22,MATCH($B9,'04_Matriz_Cambios'!$A$6:$A$22,0),MATCH($B10,'04_Matriz_Cambios'!$B$5:$R$5,0)))</f>
        <v>120</v>
      </c>
      <c r="E10" s="14">
        <f>INDEX('03_Demanda_ABC'!$A$5:$A$21,MATCH(LARGE('03_Demanda_ABC'!$C$5:$C$21,$A10),'03_Demanda_ABC'!$C$5:$C$21,0))</f>
        <v>3749</v>
      </c>
      <c r="F10" s="14">
        <f>IF($A10=1,0,INDEX('04_Matriz_Cambios'!$B$6:$R$22,MATCH($E9,'04_Matriz_Cambios'!$A$6:$A$22,0),MATCH($E10,'04_Matriz_Cambios'!$B$5:$R$5,0)))</f>
        <v>0</v>
      </c>
      <c r="H10" s="10">
        <f>'06_Secuencia_Optima'!$B$30</f>
        <v>15881</v>
      </c>
      <c r="I10" s="14">
        <f>'06_Secuencia_Optima'!$F$30</f>
        <v>0</v>
      </c>
      <c r="K10" s="110" t="s">
        <v>468</v>
      </c>
      <c r="L10" s="72">
        <f>(COUNT('02_Datos_Maestros'!A5:A21)-1)*MAX('04_Matriz_Cambios'!B6:R22)</f>
        <v>2880</v>
      </c>
      <c r="M10" s="73">
        <f>$L10/480</f>
        <v>6</v>
      </c>
      <c r="N10" s="72">
        <f>$L10-$L$6</f>
        <v>2040</v>
      </c>
      <c r="O10" s="83">
        <f>$N10/60</f>
        <v>34</v>
      </c>
      <c r="Q10" s="10">
        <f>INDEX($B$45:$R$45,1,MATCH(MIN($B$49:$R$49),$B$49:$R$49,0))</f>
        <v>16816</v>
      </c>
      <c r="R10" s="14">
        <f>MIN($B$49:$R$49)</f>
        <v>0</v>
      </c>
    </row>
    <row r="11" spans="1:18" x14ac:dyDescent="0.2">
      <c r="A11" s="10">
        <v>6</v>
      </c>
      <c r="B11" s="14">
        <f>SMALL('02_Datos_Maestros'!$A$5:$A$21,$A11)</f>
        <v>3925</v>
      </c>
      <c r="C11" s="14">
        <f>IF($A11=1,0,INDEX('04_Matriz_Cambios'!$B$6:$R$22,MATCH($B10,'04_Matriz_Cambios'!$A$6:$A$22,0),MATCH($B11,'04_Matriz_Cambios'!$B$5:$R$5,0)))</f>
        <v>0</v>
      </c>
      <c r="E11" s="14">
        <f>INDEX('03_Demanda_ABC'!$A$5:$A$21,MATCH(LARGE('03_Demanda_ABC'!$C$5:$C$21,$A11),'03_Demanda_ABC'!$C$5:$C$21,0))</f>
        <v>3533</v>
      </c>
      <c r="F11" s="14">
        <f>IF($A11=1,0,INDEX('04_Matriz_Cambios'!$B$6:$R$22,MATCH($E10,'04_Matriz_Cambios'!$A$6:$A$22,0),MATCH($E11,'04_Matriz_Cambios'!$B$5:$R$5,0)))</f>
        <v>120</v>
      </c>
      <c r="H11" s="10">
        <f>'06_Secuencia_Optima'!$B$31</f>
        <v>16787</v>
      </c>
      <c r="I11" s="14">
        <f>'06_Secuencia_Optima'!$F$31</f>
        <v>0</v>
      </c>
      <c r="Q11" s="10">
        <f>INDEX($B$45:$R$45,1,MATCH(MIN($B$50:$R$50),$B$50:$R$50,0))</f>
        <v>17246</v>
      </c>
      <c r="R11" s="14">
        <f>MIN($B$50:$R$50)</f>
        <v>0</v>
      </c>
    </row>
    <row r="12" spans="1:18" x14ac:dyDescent="0.2">
      <c r="A12" s="10">
        <v>7</v>
      </c>
      <c r="B12" s="14">
        <f>SMALL('02_Datos_Maestros'!$A$5:$A$21,$A12)</f>
        <v>5998</v>
      </c>
      <c r="C12" s="14">
        <f>IF($A12=1,0,INDEX('04_Matriz_Cambios'!$B$6:$R$22,MATCH($B11,'04_Matriz_Cambios'!$A$6:$A$22,0),MATCH($B12,'04_Matriz_Cambios'!$B$5:$R$5,0)))</f>
        <v>120</v>
      </c>
      <c r="E12" s="14">
        <f>INDEX('03_Demanda_ABC'!$A$5:$A$21,MATCH(LARGE('03_Demanda_ABC'!$C$5:$C$21,$A12),'03_Demanda_ABC'!$C$5:$C$21,0))</f>
        <v>3757</v>
      </c>
      <c r="F12" s="14">
        <f>IF($A12=1,0,INDEX('04_Matriz_Cambios'!$B$6:$R$22,MATCH($E11,'04_Matriz_Cambios'!$A$6:$A$22,0),MATCH($E12,'04_Matriz_Cambios'!$B$5:$R$5,0)))</f>
        <v>120</v>
      </c>
      <c r="H12" s="10">
        <f>'06_Secuencia_Optima'!$B$32</f>
        <v>6743</v>
      </c>
      <c r="I12" s="14">
        <f>'06_Secuencia_Optima'!$F$32</f>
        <v>120</v>
      </c>
      <c r="Q12" s="10">
        <f>INDEX($B$45:$R$45,1,MATCH(MIN($B$51:$R$51),$B$51:$R$51,0))</f>
        <v>3533</v>
      </c>
      <c r="R12" s="14">
        <f>MIN($B$51:$R$51)</f>
        <v>120</v>
      </c>
    </row>
    <row r="13" spans="1:18" x14ac:dyDescent="0.2">
      <c r="A13" s="10">
        <v>8</v>
      </c>
      <c r="B13" s="14">
        <f>SMALL('02_Datos_Maestros'!$A$5:$A$21,$A13)</f>
        <v>6616</v>
      </c>
      <c r="C13" s="14">
        <f>IF($A13=1,0,INDEX('04_Matriz_Cambios'!$B$6:$R$22,MATCH($B12,'04_Matriz_Cambios'!$A$6:$A$22,0),MATCH($B13,'04_Matriz_Cambios'!$B$5:$R$5,0)))</f>
        <v>120</v>
      </c>
      <c r="E13" s="14">
        <f>INDEX('03_Demanda_ABC'!$A$5:$A$21,MATCH(LARGE('03_Demanda_ABC'!$C$5:$C$21,$A13),'03_Demanda_ABC'!$C$5:$C$21,0))</f>
        <v>15881</v>
      </c>
      <c r="F13" s="14">
        <f>IF($A13=1,0,INDEX('04_Matriz_Cambios'!$B$6:$R$22,MATCH($E12,'04_Matriz_Cambios'!$A$6:$A$22,0),MATCH($E13,'04_Matriz_Cambios'!$B$5:$R$5,0)))</f>
        <v>120</v>
      </c>
      <c r="H13" s="10">
        <f>'06_Secuencia_Optima'!$B$33</f>
        <v>6639</v>
      </c>
      <c r="I13" s="14">
        <f>'06_Secuencia_Optima'!$F$33</f>
        <v>120</v>
      </c>
      <c r="Q13" s="10">
        <f>INDEX($B$45:$R$45,1,MATCH(MIN($B$52:$R$52),$B$52:$R$52,0))</f>
        <v>3643</v>
      </c>
      <c r="R13" s="14">
        <f>MIN($B$52:$R$52)</f>
        <v>120</v>
      </c>
    </row>
    <row r="14" spans="1:18" x14ac:dyDescent="0.2">
      <c r="A14" s="10">
        <v>9</v>
      </c>
      <c r="B14" s="14">
        <f>SMALL('02_Datos_Maestros'!$A$5:$A$21,$A14)</f>
        <v>6639</v>
      </c>
      <c r="C14" s="14">
        <f>IF($A14=1,0,INDEX('04_Matriz_Cambios'!$B$6:$R$22,MATCH($B13,'04_Matriz_Cambios'!$A$6:$A$22,0),MATCH($B14,'04_Matriz_Cambios'!$B$5:$R$5,0)))</f>
        <v>180</v>
      </c>
      <c r="E14" s="14">
        <f>INDEX('03_Demanda_ABC'!$A$5:$A$21,MATCH(LARGE('03_Demanda_ABC'!$C$5:$C$21,$A14),'03_Demanda_ABC'!$C$5:$C$21,0))</f>
        <v>3643</v>
      </c>
      <c r="F14" s="14">
        <f>IF($A14=1,0,INDEX('04_Matriz_Cambios'!$B$6:$R$22,MATCH($E13,'04_Matriz_Cambios'!$A$6:$A$22,0),MATCH($E14,'04_Matriz_Cambios'!$B$5:$R$5,0)))</f>
        <v>120</v>
      </c>
      <c r="H14" s="10">
        <f>'06_Secuencia_Optima'!$B$34</f>
        <v>3278</v>
      </c>
      <c r="I14" s="14">
        <f>'06_Secuencia_Optima'!$F$34</f>
        <v>120</v>
      </c>
      <c r="Q14" s="10">
        <f>INDEX($B$45:$R$45,1,MATCH(MIN($B$53:$R$53),$B$53:$R$53,0))</f>
        <v>5998</v>
      </c>
      <c r="R14" s="14">
        <f>MIN($B$53:$R$53)</f>
        <v>120</v>
      </c>
    </row>
    <row r="15" spans="1:18" x14ac:dyDescent="0.2">
      <c r="A15" s="10">
        <v>10</v>
      </c>
      <c r="B15" s="14">
        <f>SMALL('02_Datos_Maestros'!$A$5:$A$21,$A15)</f>
        <v>6743</v>
      </c>
      <c r="C15" s="14">
        <f>IF($A15=1,0,INDEX('04_Matriz_Cambios'!$B$6:$R$22,MATCH($B14,'04_Matriz_Cambios'!$A$6:$A$22,0),MATCH($B15,'04_Matriz_Cambios'!$B$5:$R$5,0)))</f>
        <v>120</v>
      </c>
      <c r="E15" s="14">
        <f>INDEX('03_Demanda_ABC'!$A$5:$A$21,MATCH(LARGE('03_Demanda_ABC'!$C$5:$C$21,$A15),'03_Demanda_ABC'!$C$5:$C$21,0))</f>
        <v>6639</v>
      </c>
      <c r="F15" s="14">
        <f>IF($A15=1,0,INDEX('04_Matriz_Cambios'!$B$6:$R$22,MATCH($E14,'04_Matriz_Cambios'!$A$6:$A$22,0),MATCH($E15,'04_Matriz_Cambios'!$B$5:$R$5,0)))</f>
        <v>120</v>
      </c>
      <c r="H15" s="10">
        <f>'06_Secuencia_Optima'!$B$35</f>
        <v>3749</v>
      </c>
      <c r="I15" s="14">
        <f>'06_Secuencia_Optima'!$F$35</f>
        <v>0</v>
      </c>
      <c r="Q15" s="10">
        <f>INDEX($B$45:$R$45,1,MATCH(MIN($B$54:$R$54),$B$54:$R$54,0))</f>
        <v>15881</v>
      </c>
      <c r="R15" s="14">
        <f>MIN($B$54:$R$54)</f>
        <v>0</v>
      </c>
    </row>
    <row r="16" spans="1:18" x14ac:dyDescent="0.2">
      <c r="A16" s="10">
        <v>11</v>
      </c>
      <c r="B16" s="14">
        <f>SMALL('02_Datos_Maestros'!$A$5:$A$21,$A16)</f>
        <v>7590</v>
      </c>
      <c r="C16" s="14">
        <f>IF($A16=1,0,INDEX('04_Matriz_Cambios'!$B$6:$R$22,MATCH($B15,'04_Matriz_Cambios'!$A$6:$A$22,0),MATCH($B16,'04_Matriz_Cambios'!$B$5:$R$5,0)))</f>
        <v>120</v>
      </c>
      <c r="E16" s="14">
        <f>INDEX('03_Demanda_ABC'!$A$5:$A$21,MATCH(LARGE('03_Demanda_ABC'!$C$5:$C$21,$A16),'03_Demanda_ABC'!$C$5:$C$21,0))</f>
        <v>6743</v>
      </c>
      <c r="F16" s="14">
        <f>IF($A16=1,0,INDEX('04_Matriz_Cambios'!$B$6:$R$22,MATCH($E15,'04_Matriz_Cambios'!$A$6:$A$22,0),MATCH($E16,'04_Matriz_Cambios'!$B$5:$R$5,0)))</f>
        <v>120</v>
      </c>
      <c r="H16" s="10">
        <f>'06_Secuencia_Optima'!$B$36</f>
        <v>7590</v>
      </c>
      <c r="I16" s="14">
        <f>'06_Secuencia_Optima'!$F$36</f>
        <v>0</v>
      </c>
      <c r="Q16" s="10">
        <f>INDEX($B$45:$R$45,1,MATCH(MIN($B$55:$R$55),$B$55:$R$55,0))</f>
        <v>16787</v>
      </c>
      <c r="R16" s="14">
        <f>MIN($B$55:$R$55)</f>
        <v>0</v>
      </c>
    </row>
    <row r="17" spans="1:18" x14ac:dyDescent="0.2">
      <c r="A17" s="10">
        <v>12</v>
      </c>
      <c r="B17" s="14">
        <f>SMALL('02_Datos_Maestros'!$A$5:$A$21,$A17)</f>
        <v>15564</v>
      </c>
      <c r="C17" s="14">
        <f>IF($A17=1,0,INDEX('04_Matriz_Cambios'!$B$6:$R$22,MATCH($B16,'04_Matriz_Cambios'!$A$6:$A$22,0),MATCH($B17,'04_Matriz_Cambios'!$B$5:$R$5,0)))</f>
        <v>120</v>
      </c>
      <c r="E17" s="14">
        <f>INDEX('03_Demanda_ABC'!$A$5:$A$21,MATCH(LARGE('03_Demanda_ABC'!$C$5:$C$21,$A17),'03_Demanda_ABC'!$C$5:$C$21,0))</f>
        <v>15564</v>
      </c>
      <c r="F17" s="14">
        <f>IF($A17=1,0,INDEX('04_Matriz_Cambios'!$B$6:$R$22,MATCH($E16,'04_Matriz_Cambios'!$A$6:$A$22,0),MATCH($E17,'04_Matriz_Cambios'!$B$5:$R$5,0)))</f>
        <v>120</v>
      </c>
      <c r="H17" s="10">
        <f>'06_Secuencia_Optima'!$B$37</f>
        <v>15795</v>
      </c>
      <c r="I17" s="14">
        <f>'06_Secuencia_Optima'!$F$37</f>
        <v>0</v>
      </c>
      <c r="Q17" s="10">
        <f>INDEX($B$45:$R$45,1,MATCH(MIN($B$56:$R$56),$B$56:$R$56,0))</f>
        <v>3757</v>
      </c>
      <c r="R17" s="14">
        <f>MIN($B$56:$R$56)</f>
        <v>120</v>
      </c>
    </row>
    <row r="18" spans="1:18" x14ac:dyDescent="0.2">
      <c r="A18" s="10">
        <v>13</v>
      </c>
      <c r="B18" s="14">
        <f>SMALL('02_Datos_Maestros'!$A$5:$A$21,$A18)</f>
        <v>15795</v>
      </c>
      <c r="C18" s="14">
        <f>IF($A18=1,0,INDEX('04_Matriz_Cambios'!$B$6:$R$22,MATCH($B17,'04_Matriz_Cambios'!$A$6:$A$22,0),MATCH($B18,'04_Matriz_Cambios'!$B$5:$R$5,0)))</f>
        <v>120</v>
      </c>
      <c r="E18" s="14">
        <f>INDEX('03_Demanda_ABC'!$A$5:$A$21,MATCH(LARGE('03_Demanda_ABC'!$C$5:$C$21,$A18),'03_Demanda_ABC'!$C$5:$C$21,0))</f>
        <v>3925</v>
      </c>
      <c r="F18" s="14">
        <f>IF($A18=1,0,INDEX('04_Matriz_Cambios'!$B$6:$R$22,MATCH($E17,'04_Matriz_Cambios'!$A$6:$A$22,0),MATCH($E18,'04_Matriz_Cambios'!$B$5:$R$5,0)))</f>
        <v>180</v>
      </c>
      <c r="H18" s="10">
        <f>'06_Secuencia_Optima'!$B$38</f>
        <v>16816</v>
      </c>
      <c r="I18" s="14">
        <f>'06_Secuencia_Optima'!$F$38</f>
        <v>0</v>
      </c>
      <c r="Q18" s="10">
        <f>INDEX($B$45:$R$45,1,MATCH(MIN($B$57:$R$57),$B$57:$R$57,0))</f>
        <v>3925</v>
      </c>
      <c r="R18" s="14">
        <f>MIN($B$57:$R$57)</f>
        <v>0</v>
      </c>
    </row>
    <row r="19" spans="1:18" x14ac:dyDescent="0.2">
      <c r="A19" s="10">
        <v>14</v>
      </c>
      <c r="B19" s="14">
        <f>SMALL('02_Datos_Maestros'!$A$5:$A$21,$A19)</f>
        <v>15881</v>
      </c>
      <c r="C19" s="14">
        <f>IF($A19=1,0,INDEX('04_Matriz_Cambios'!$B$6:$R$22,MATCH($B18,'04_Matriz_Cambios'!$A$6:$A$22,0),MATCH($B19,'04_Matriz_Cambios'!$B$5:$R$5,0)))</f>
        <v>120</v>
      </c>
      <c r="E19" s="14">
        <f>INDEX('03_Demanda_ABC'!$A$5:$A$21,MATCH(LARGE('03_Demanda_ABC'!$C$5:$C$21,$A19),'03_Demanda_ABC'!$C$5:$C$21,0))</f>
        <v>6616</v>
      </c>
      <c r="F19" s="14">
        <f>IF($A19=1,0,INDEX('04_Matriz_Cambios'!$B$6:$R$22,MATCH($E18,'04_Matriz_Cambios'!$A$6:$A$22,0),MATCH($E19,'04_Matriz_Cambios'!$B$5:$R$5,0)))</f>
        <v>0</v>
      </c>
      <c r="H19" s="10">
        <f>'06_Secuencia_Optima'!$B$39</f>
        <v>17246</v>
      </c>
      <c r="I19" s="14">
        <f>'06_Secuencia_Optima'!$F$39</f>
        <v>0</v>
      </c>
      <c r="Q19" s="10">
        <f>INDEX($B$45:$R$45,1,MATCH(MIN($B$58:$R$58),$B$58:$R$58,0))</f>
        <v>6616</v>
      </c>
      <c r="R19" s="14">
        <f>MIN($B$58:$R$58)</f>
        <v>0</v>
      </c>
    </row>
    <row r="20" spans="1:18" x14ac:dyDescent="0.2">
      <c r="A20" s="10">
        <v>15</v>
      </c>
      <c r="B20" s="14">
        <f>SMALL('02_Datos_Maestros'!$A$5:$A$21,$A20)</f>
        <v>16787</v>
      </c>
      <c r="C20" s="14">
        <f>IF($A20=1,0,INDEX('04_Matriz_Cambios'!$B$6:$R$22,MATCH($B19,'04_Matriz_Cambios'!$A$6:$A$22,0),MATCH($B20,'04_Matriz_Cambios'!$B$5:$R$5,0)))</f>
        <v>0</v>
      </c>
      <c r="E20" s="14">
        <f>INDEX('03_Demanda_ABC'!$A$5:$A$21,MATCH(LARGE('03_Demanda_ABC'!$C$5:$C$21,$A20),'03_Demanda_ABC'!$C$5:$C$21,0))</f>
        <v>7590</v>
      </c>
      <c r="F20" s="14">
        <f>IF($A20=1,0,INDEX('04_Matriz_Cambios'!$B$6:$R$22,MATCH($E19,'04_Matriz_Cambios'!$A$6:$A$22,0),MATCH($E20,'04_Matriz_Cambios'!$B$5:$R$5,0)))</f>
        <v>120</v>
      </c>
      <c r="H20" s="10">
        <f>'06_Secuencia_Optima'!$B$40</f>
        <v>3757</v>
      </c>
      <c r="I20" s="14">
        <f>'06_Secuencia_Optima'!$F$40</f>
        <v>120</v>
      </c>
      <c r="Q20" s="10">
        <f>INDEX($B$45:$R$45,1,MATCH(MIN($B$59:$R$59),$B$59:$R$59,0))</f>
        <v>6639</v>
      </c>
      <c r="R20" s="14">
        <f>MIN($B$59:$R$59)</f>
        <v>180</v>
      </c>
    </row>
    <row r="21" spans="1:18" x14ac:dyDescent="0.2">
      <c r="A21" s="10">
        <v>16</v>
      </c>
      <c r="B21" s="14">
        <f>SMALL('02_Datos_Maestros'!$A$5:$A$21,$A21)</f>
        <v>16816</v>
      </c>
      <c r="C21" s="14">
        <f>IF($A21=1,0,INDEX('04_Matriz_Cambios'!$B$6:$R$22,MATCH($B20,'04_Matriz_Cambios'!$A$6:$A$22,0),MATCH($B21,'04_Matriz_Cambios'!$B$5:$R$5,0)))</f>
        <v>120</v>
      </c>
      <c r="E21" s="14">
        <f>INDEX('03_Demanda_ABC'!$A$5:$A$21,MATCH(LARGE('03_Demanda_ABC'!$C$5:$C$21,$A21),'03_Demanda_ABC'!$C$5:$C$21,0))</f>
        <v>15795</v>
      </c>
      <c r="F21" s="14">
        <f>IF($A21=1,0,INDEX('04_Matriz_Cambios'!$B$6:$R$22,MATCH($E20,'04_Matriz_Cambios'!$A$6:$A$22,0),MATCH($E21,'04_Matriz_Cambios'!$B$5:$R$5,0)))</f>
        <v>0</v>
      </c>
      <c r="H21" s="10">
        <f>'06_Secuencia_Optima'!$B$41</f>
        <v>3925</v>
      </c>
      <c r="I21" s="14">
        <f>'06_Secuencia_Optima'!$F$41</f>
        <v>0</v>
      </c>
      <c r="Q21" s="10">
        <f>INDEX($B$45:$R$45,1,MATCH(MIN($B$60:$R$60),$B$60:$R$60,0))</f>
        <v>6743</v>
      </c>
      <c r="R21" s="14">
        <f>MIN($B$60:$R$60)</f>
        <v>120</v>
      </c>
    </row>
    <row r="22" spans="1:18" x14ac:dyDescent="0.2">
      <c r="A22" s="10">
        <v>17</v>
      </c>
      <c r="B22" s="14">
        <f>SMALL('02_Datos_Maestros'!$A$5:$A$21,$A22)</f>
        <v>17246</v>
      </c>
      <c r="C22" s="14">
        <f>IF($A22=1,0,INDEX('04_Matriz_Cambios'!$B$6:$R$22,MATCH($B21,'04_Matriz_Cambios'!$A$6:$A$22,0),MATCH($B22,'04_Matriz_Cambios'!$B$5:$R$5,0)))</f>
        <v>0</v>
      </c>
      <c r="E22" s="14">
        <f>INDEX('03_Demanda_ABC'!$A$5:$A$21,MATCH(LARGE('03_Demanda_ABC'!$C$5:$C$21,$A22),'03_Demanda_ABC'!$C$5:$C$21,0))</f>
        <v>16787</v>
      </c>
      <c r="F22" s="14">
        <f>IF($A22=1,0,INDEX('04_Matriz_Cambios'!$B$6:$R$22,MATCH($E21,'04_Matriz_Cambios'!$A$6:$A$22,0),MATCH($E22,'04_Matriz_Cambios'!$B$5:$R$5,0)))</f>
        <v>120</v>
      </c>
      <c r="H22" s="10">
        <f>'06_Secuencia_Optima'!$B$42</f>
        <v>6616</v>
      </c>
      <c r="I22" s="14">
        <f>'06_Secuencia_Optima'!$F$42</f>
        <v>0</v>
      </c>
      <c r="Q22" s="10">
        <f>INDEX($B$45:$R$45,1,MATCH(MIN($B$61:$R$61),$B$61:$R$61,0))</f>
        <v>15564</v>
      </c>
      <c r="R22" s="14">
        <f>MIN($B$61:$R$61)</f>
        <v>120</v>
      </c>
    </row>
    <row r="23" spans="1:18" ht="16" x14ac:dyDescent="0.2">
      <c r="A23" s="84" t="s">
        <v>108</v>
      </c>
      <c r="B23" s="84"/>
      <c r="C23" s="85">
        <f>SUM(C6:C22)</f>
        <v>1620</v>
      </c>
      <c r="E23" s="84"/>
      <c r="F23" s="85">
        <f>SUM(F6:F22)</f>
        <v>1380</v>
      </c>
      <c r="H23" s="84"/>
      <c r="I23" s="85">
        <f>SUM(I6:I22)</f>
        <v>840</v>
      </c>
      <c r="Q23" s="101"/>
      <c r="R23" s="102">
        <f>SUM(R6:R22)</f>
        <v>900</v>
      </c>
    </row>
    <row r="32" spans="1:18" ht="16" x14ac:dyDescent="0.2">
      <c r="K32" s="29" t="s">
        <v>347</v>
      </c>
    </row>
    <row r="33" spans="1:18" ht="32" customHeight="1" x14ac:dyDescent="0.2">
      <c r="K33" s="99" t="s">
        <v>336</v>
      </c>
      <c r="L33" s="112" t="s">
        <v>469</v>
      </c>
      <c r="M33" s="113"/>
      <c r="N33" s="113"/>
      <c r="O33" s="113"/>
      <c r="P33" s="113"/>
      <c r="Q33" s="113"/>
      <c r="R33" s="113"/>
    </row>
    <row r="34" spans="1:18" ht="32" customHeight="1" x14ac:dyDescent="0.2">
      <c r="K34" s="99" t="s">
        <v>336</v>
      </c>
      <c r="L34" s="112" t="s">
        <v>470</v>
      </c>
      <c r="M34" s="113"/>
      <c r="N34" s="113"/>
      <c r="O34" s="113"/>
      <c r="P34" s="113"/>
      <c r="Q34" s="113"/>
      <c r="R34" s="113"/>
    </row>
    <row r="35" spans="1:18" ht="32" customHeight="1" x14ac:dyDescent="0.2">
      <c r="K35" s="99" t="s">
        <v>336</v>
      </c>
      <c r="L35" s="112" t="s">
        <v>471</v>
      </c>
      <c r="M35" s="113"/>
      <c r="N35" s="113"/>
      <c r="O35" s="113"/>
      <c r="P35" s="113"/>
      <c r="Q35" s="113"/>
      <c r="R35" s="113"/>
    </row>
    <row r="36" spans="1:18" ht="32" customHeight="1" x14ac:dyDescent="0.2">
      <c r="K36" s="99" t="s">
        <v>336</v>
      </c>
      <c r="L36" s="112" t="s">
        <v>472</v>
      </c>
      <c r="M36" s="113"/>
      <c r="N36" s="113"/>
      <c r="O36" s="113"/>
      <c r="P36" s="113"/>
      <c r="Q36" s="113"/>
      <c r="R36" s="113"/>
    </row>
    <row r="44" spans="1:18" hidden="1" x14ac:dyDescent="0.2">
      <c r="A44" s="44" t="s">
        <v>348</v>
      </c>
    </row>
    <row r="45" spans="1:18" hidden="1" x14ac:dyDescent="0.2">
      <c r="B45" s="44">
        <v>3278</v>
      </c>
      <c r="C45" s="44">
        <v>3533</v>
      </c>
      <c r="D45" s="44">
        <v>3643</v>
      </c>
      <c r="E45" s="44">
        <v>3749</v>
      </c>
      <c r="F45" s="44">
        <v>3757</v>
      </c>
      <c r="G45" s="44">
        <v>3925</v>
      </c>
      <c r="H45" s="44">
        <v>5998</v>
      </c>
      <c r="I45" s="44">
        <v>6616</v>
      </c>
      <c r="J45" s="44">
        <v>6639</v>
      </c>
      <c r="K45" s="44">
        <v>6743</v>
      </c>
      <c r="L45" s="44">
        <v>7590</v>
      </c>
      <c r="M45" s="44">
        <v>15564</v>
      </c>
      <c r="N45" s="44">
        <v>15795</v>
      </c>
      <c r="O45" s="44">
        <v>15881</v>
      </c>
      <c r="P45" s="44">
        <v>16787</v>
      </c>
      <c r="Q45" s="44">
        <v>16816</v>
      </c>
      <c r="R45" s="44">
        <v>17246</v>
      </c>
    </row>
    <row r="46" spans="1:18" hidden="1" x14ac:dyDescent="0.2">
      <c r="B46" s="44">
        <f>IF(COUNTIF($Q$6:$Q$6,B$45)&gt;0,999999,INDEX('04_Matriz_Cambios'!$B$6:$R$22,MATCH($Q$6,'04_Matriz_Cambios'!$A$6:$A$22,0),MATCH(B$45,'04_Matriz_Cambios'!$B$5:$R$5,0)))</f>
        <v>999999</v>
      </c>
      <c r="C46" s="44">
        <f>IF(COUNTIF($Q$6:$Q$6,C$45)&gt;0,999999,INDEX('04_Matriz_Cambios'!$B$6:$R$22,MATCH($Q$6,'04_Matriz_Cambios'!$A$6:$A$22,0),MATCH(C$45,'04_Matriz_Cambios'!$B$5:$R$5,0)))</f>
        <v>120</v>
      </c>
      <c r="D46" s="44">
        <f>IF(COUNTIF($Q$6:$Q$6,D$45)&gt;0,999999,INDEX('04_Matriz_Cambios'!$B$6:$R$22,MATCH($Q$6,'04_Matriz_Cambios'!$A$6:$A$22,0),MATCH(D$45,'04_Matriz_Cambios'!$B$5:$R$5,0)))</f>
        <v>120</v>
      </c>
      <c r="E46" s="44">
        <f>IF(COUNTIF($Q$6:$Q$6,E$45)&gt;0,999999,INDEX('04_Matriz_Cambios'!$B$6:$R$22,MATCH($Q$6,'04_Matriz_Cambios'!$A$6:$A$22,0),MATCH(E$45,'04_Matriz_Cambios'!$B$5:$R$5,0)))</f>
        <v>0</v>
      </c>
      <c r="F46" s="44">
        <f>IF(COUNTIF($Q$6:$Q$6,F$45)&gt;0,999999,INDEX('04_Matriz_Cambios'!$B$6:$R$22,MATCH($Q$6,'04_Matriz_Cambios'!$A$6:$A$22,0),MATCH(F$45,'04_Matriz_Cambios'!$B$5:$R$5,0)))</f>
        <v>120</v>
      </c>
      <c r="G46" s="44">
        <f>IF(COUNTIF($Q$6:$Q$6,G$45)&gt;0,999999,INDEX('04_Matriz_Cambios'!$B$6:$R$22,MATCH($Q$6,'04_Matriz_Cambios'!$A$6:$A$22,0),MATCH(G$45,'04_Matriz_Cambios'!$B$5:$R$5,0)))</f>
        <v>120</v>
      </c>
      <c r="H46" s="44">
        <f>IF(COUNTIF($Q$6:$Q$6,H$45)&gt;0,999999,INDEX('04_Matriz_Cambios'!$B$6:$R$22,MATCH($Q$6,'04_Matriz_Cambios'!$A$6:$A$22,0),MATCH(H$45,'04_Matriz_Cambios'!$B$5:$R$5,0)))</f>
        <v>120</v>
      </c>
      <c r="I46" s="44">
        <f>IF(COUNTIF($Q$6:$Q$6,I$45)&gt;0,999999,INDEX('04_Matriz_Cambios'!$B$6:$R$22,MATCH($Q$6,'04_Matriz_Cambios'!$A$6:$A$22,0),MATCH(I$45,'04_Matriz_Cambios'!$B$5:$R$5,0)))</f>
        <v>120</v>
      </c>
      <c r="J46" s="44">
        <f>IF(COUNTIF($Q$6:$Q$6,J$45)&gt;0,999999,INDEX('04_Matriz_Cambios'!$B$6:$R$22,MATCH($Q$6,'04_Matriz_Cambios'!$A$6:$A$22,0),MATCH(J$45,'04_Matriz_Cambios'!$B$5:$R$5,0)))</f>
        <v>120</v>
      </c>
      <c r="K46" s="44">
        <f>IF(COUNTIF($Q$6:$Q$6,K$45)&gt;0,999999,INDEX('04_Matriz_Cambios'!$B$6:$R$22,MATCH($Q$6,'04_Matriz_Cambios'!$A$6:$A$22,0),MATCH(K$45,'04_Matriz_Cambios'!$B$5:$R$5,0)))</f>
        <v>120</v>
      </c>
      <c r="L46" s="44">
        <f>IF(COUNTIF($Q$6:$Q$6,L$45)&gt;0,999999,INDEX('04_Matriz_Cambios'!$B$6:$R$22,MATCH($Q$6,'04_Matriz_Cambios'!$A$6:$A$22,0),MATCH(L$45,'04_Matriz_Cambios'!$B$5:$R$5,0)))</f>
        <v>0</v>
      </c>
      <c r="M46" s="44">
        <f>IF(COUNTIF($Q$6:$Q$6,M$45)&gt;0,999999,INDEX('04_Matriz_Cambios'!$B$6:$R$22,MATCH($Q$6,'04_Matriz_Cambios'!$A$6:$A$22,0),MATCH(M$45,'04_Matriz_Cambios'!$B$5:$R$5,0)))</f>
        <v>120</v>
      </c>
      <c r="N46" s="44">
        <f>IF(COUNTIF($Q$6:$Q$6,N$45)&gt;0,999999,INDEX('04_Matriz_Cambios'!$B$6:$R$22,MATCH($Q$6,'04_Matriz_Cambios'!$A$6:$A$22,0),MATCH(N$45,'04_Matriz_Cambios'!$B$5:$R$5,0)))</f>
        <v>0</v>
      </c>
      <c r="O46" s="44">
        <f>IF(COUNTIF($Q$6:$Q$6,O$45)&gt;0,999999,INDEX('04_Matriz_Cambios'!$B$6:$R$22,MATCH($Q$6,'04_Matriz_Cambios'!$A$6:$A$22,0),MATCH(O$45,'04_Matriz_Cambios'!$B$5:$R$5,0)))</f>
        <v>120</v>
      </c>
      <c r="P46" s="44">
        <f>IF(COUNTIF($Q$6:$Q$6,P$45)&gt;0,999999,INDEX('04_Matriz_Cambios'!$B$6:$R$22,MATCH($Q$6,'04_Matriz_Cambios'!$A$6:$A$22,0),MATCH(P$45,'04_Matriz_Cambios'!$B$5:$R$5,0)))</f>
        <v>120</v>
      </c>
      <c r="Q46" s="44">
        <f>IF(COUNTIF($Q$6:$Q$6,Q$45)&gt;0,999999,INDEX('04_Matriz_Cambios'!$B$6:$R$22,MATCH($Q$6,'04_Matriz_Cambios'!$A$6:$A$22,0),MATCH(Q$45,'04_Matriz_Cambios'!$B$5:$R$5,0)))</f>
        <v>0</v>
      </c>
      <c r="R46" s="44">
        <f>IF(COUNTIF($Q$6:$Q$6,R$45)&gt;0,999999,INDEX('04_Matriz_Cambios'!$B$6:$R$22,MATCH($Q$6,'04_Matriz_Cambios'!$A$6:$A$22,0),MATCH(R$45,'04_Matriz_Cambios'!$B$5:$R$5,0)))</f>
        <v>0</v>
      </c>
    </row>
    <row r="47" spans="1:18" hidden="1" x14ac:dyDescent="0.2">
      <c r="B47" s="44">
        <f>IF(COUNTIF($Q$6:$Q$7,B$45)&gt;0,999999,INDEX('04_Matriz_Cambios'!$B$6:$R$22,MATCH($Q$7,'04_Matriz_Cambios'!$A$6:$A$22,0),MATCH(B$45,'04_Matriz_Cambios'!$B$5:$R$5,0)))</f>
        <v>999999</v>
      </c>
      <c r="C47" s="44">
        <f>IF(COUNTIF($Q$6:$Q$7,C$45)&gt;0,999999,INDEX('04_Matriz_Cambios'!$B$6:$R$22,MATCH($Q$7,'04_Matriz_Cambios'!$A$6:$A$22,0),MATCH(C$45,'04_Matriz_Cambios'!$B$5:$R$5,0)))</f>
        <v>120</v>
      </c>
      <c r="D47" s="44">
        <f>IF(COUNTIF($Q$6:$Q$7,D$45)&gt;0,999999,INDEX('04_Matriz_Cambios'!$B$6:$R$22,MATCH($Q$7,'04_Matriz_Cambios'!$A$6:$A$22,0),MATCH(D$45,'04_Matriz_Cambios'!$B$5:$R$5,0)))</f>
        <v>120</v>
      </c>
      <c r="E47" s="44">
        <f>IF(COUNTIF($Q$6:$Q$7,E$45)&gt;0,999999,INDEX('04_Matriz_Cambios'!$B$6:$R$22,MATCH($Q$7,'04_Matriz_Cambios'!$A$6:$A$22,0),MATCH(E$45,'04_Matriz_Cambios'!$B$5:$R$5,0)))</f>
        <v>999999</v>
      </c>
      <c r="F47" s="44">
        <f>IF(COUNTIF($Q$6:$Q$7,F$45)&gt;0,999999,INDEX('04_Matriz_Cambios'!$B$6:$R$22,MATCH($Q$7,'04_Matriz_Cambios'!$A$6:$A$22,0),MATCH(F$45,'04_Matriz_Cambios'!$B$5:$R$5,0)))</f>
        <v>120</v>
      </c>
      <c r="G47" s="44">
        <f>IF(COUNTIF($Q$6:$Q$7,G$45)&gt;0,999999,INDEX('04_Matriz_Cambios'!$B$6:$R$22,MATCH($Q$7,'04_Matriz_Cambios'!$A$6:$A$22,0),MATCH(G$45,'04_Matriz_Cambios'!$B$5:$R$5,0)))</f>
        <v>120</v>
      </c>
      <c r="H47" s="44">
        <f>IF(COUNTIF($Q$6:$Q$7,H$45)&gt;0,999999,INDEX('04_Matriz_Cambios'!$B$6:$R$22,MATCH($Q$7,'04_Matriz_Cambios'!$A$6:$A$22,0),MATCH(H$45,'04_Matriz_Cambios'!$B$5:$R$5,0)))</f>
        <v>120</v>
      </c>
      <c r="I47" s="44">
        <f>IF(COUNTIF($Q$6:$Q$7,I$45)&gt;0,999999,INDEX('04_Matriz_Cambios'!$B$6:$R$22,MATCH($Q$7,'04_Matriz_Cambios'!$A$6:$A$22,0),MATCH(I$45,'04_Matriz_Cambios'!$B$5:$R$5,0)))</f>
        <v>120</v>
      </c>
      <c r="J47" s="44">
        <f>IF(COUNTIF($Q$6:$Q$7,J$45)&gt;0,999999,INDEX('04_Matriz_Cambios'!$B$6:$R$22,MATCH($Q$7,'04_Matriz_Cambios'!$A$6:$A$22,0),MATCH(J$45,'04_Matriz_Cambios'!$B$5:$R$5,0)))</f>
        <v>120</v>
      </c>
      <c r="K47" s="44">
        <f>IF(COUNTIF($Q$6:$Q$7,K$45)&gt;0,999999,INDEX('04_Matriz_Cambios'!$B$6:$R$22,MATCH($Q$7,'04_Matriz_Cambios'!$A$6:$A$22,0),MATCH(K$45,'04_Matriz_Cambios'!$B$5:$R$5,0)))</f>
        <v>120</v>
      </c>
      <c r="L47" s="44">
        <f>IF(COUNTIF($Q$6:$Q$7,L$45)&gt;0,999999,INDEX('04_Matriz_Cambios'!$B$6:$R$22,MATCH($Q$7,'04_Matriz_Cambios'!$A$6:$A$22,0),MATCH(L$45,'04_Matriz_Cambios'!$B$5:$R$5,0)))</f>
        <v>0</v>
      </c>
      <c r="M47" s="44">
        <f>IF(COUNTIF($Q$6:$Q$7,M$45)&gt;0,999999,INDEX('04_Matriz_Cambios'!$B$6:$R$22,MATCH($Q$7,'04_Matriz_Cambios'!$A$6:$A$22,0),MATCH(M$45,'04_Matriz_Cambios'!$B$5:$R$5,0)))</f>
        <v>120</v>
      </c>
      <c r="N47" s="44">
        <f>IF(COUNTIF($Q$6:$Q$7,N$45)&gt;0,999999,INDEX('04_Matriz_Cambios'!$B$6:$R$22,MATCH($Q$7,'04_Matriz_Cambios'!$A$6:$A$22,0),MATCH(N$45,'04_Matriz_Cambios'!$B$5:$R$5,0)))</f>
        <v>0</v>
      </c>
      <c r="O47" s="44">
        <f>IF(COUNTIF($Q$6:$Q$7,O$45)&gt;0,999999,INDEX('04_Matriz_Cambios'!$B$6:$R$22,MATCH($Q$7,'04_Matriz_Cambios'!$A$6:$A$22,0),MATCH(O$45,'04_Matriz_Cambios'!$B$5:$R$5,0)))</f>
        <v>120</v>
      </c>
      <c r="P47" s="44">
        <f>IF(COUNTIF($Q$6:$Q$7,P$45)&gt;0,999999,INDEX('04_Matriz_Cambios'!$B$6:$R$22,MATCH($Q$7,'04_Matriz_Cambios'!$A$6:$A$22,0),MATCH(P$45,'04_Matriz_Cambios'!$B$5:$R$5,0)))</f>
        <v>120</v>
      </c>
      <c r="Q47" s="44">
        <f>IF(COUNTIF($Q$6:$Q$7,Q$45)&gt;0,999999,INDEX('04_Matriz_Cambios'!$B$6:$R$22,MATCH($Q$7,'04_Matriz_Cambios'!$A$6:$A$22,0),MATCH(Q$45,'04_Matriz_Cambios'!$B$5:$R$5,0)))</f>
        <v>0</v>
      </c>
      <c r="R47" s="44">
        <f>IF(COUNTIF($Q$6:$Q$7,R$45)&gt;0,999999,INDEX('04_Matriz_Cambios'!$B$6:$R$22,MATCH($Q$7,'04_Matriz_Cambios'!$A$6:$A$22,0),MATCH(R$45,'04_Matriz_Cambios'!$B$5:$R$5,0)))</f>
        <v>0</v>
      </c>
    </row>
    <row r="48" spans="1:18" hidden="1" x14ac:dyDescent="0.2">
      <c r="B48" s="44">
        <f>IF(COUNTIF($Q$6:$Q$8,B$45)&gt;0,999999,INDEX('04_Matriz_Cambios'!$B$6:$R$22,MATCH($Q$8,'04_Matriz_Cambios'!$A$6:$A$22,0),MATCH(B$45,'04_Matriz_Cambios'!$B$5:$R$5,0)))</f>
        <v>999999</v>
      </c>
      <c r="C48" s="44">
        <f>IF(COUNTIF($Q$6:$Q$8,C$45)&gt;0,999999,INDEX('04_Matriz_Cambios'!$B$6:$R$22,MATCH($Q$8,'04_Matriz_Cambios'!$A$6:$A$22,0),MATCH(C$45,'04_Matriz_Cambios'!$B$5:$R$5,0)))</f>
        <v>120</v>
      </c>
      <c r="D48" s="44">
        <f>IF(COUNTIF($Q$6:$Q$8,D$45)&gt;0,999999,INDEX('04_Matriz_Cambios'!$B$6:$R$22,MATCH($Q$8,'04_Matriz_Cambios'!$A$6:$A$22,0),MATCH(D$45,'04_Matriz_Cambios'!$B$5:$R$5,0)))</f>
        <v>120</v>
      </c>
      <c r="E48" s="44">
        <f>IF(COUNTIF($Q$6:$Q$8,E$45)&gt;0,999999,INDEX('04_Matriz_Cambios'!$B$6:$R$22,MATCH($Q$8,'04_Matriz_Cambios'!$A$6:$A$22,0),MATCH(E$45,'04_Matriz_Cambios'!$B$5:$R$5,0)))</f>
        <v>999999</v>
      </c>
      <c r="F48" s="44">
        <f>IF(COUNTIF($Q$6:$Q$8,F$45)&gt;0,999999,INDEX('04_Matriz_Cambios'!$B$6:$R$22,MATCH($Q$8,'04_Matriz_Cambios'!$A$6:$A$22,0),MATCH(F$45,'04_Matriz_Cambios'!$B$5:$R$5,0)))</f>
        <v>120</v>
      </c>
      <c r="G48" s="44">
        <f>IF(COUNTIF($Q$6:$Q$8,G$45)&gt;0,999999,INDEX('04_Matriz_Cambios'!$B$6:$R$22,MATCH($Q$8,'04_Matriz_Cambios'!$A$6:$A$22,0),MATCH(G$45,'04_Matriz_Cambios'!$B$5:$R$5,0)))</f>
        <v>120</v>
      </c>
      <c r="H48" s="44">
        <f>IF(COUNTIF($Q$6:$Q$8,H$45)&gt;0,999999,INDEX('04_Matriz_Cambios'!$B$6:$R$22,MATCH($Q$8,'04_Matriz_Cambios'!$A$6:$A$22,0),MATCH(H$45,'04_Matriz_Cambios'!$B$5:$R$5,0)))</f>
        <v>120</v>
      </c>
      <c r="I48" s="44">
        <f>IF(COUNTIF($Q$6:$Q$8,I$45)&gt;0,999999,INDEX('04_Matriz_Cambios'!$B$6:$R$22,MATCH($Q$8,'04_Matriz_Cambios'!$A$6:$A$22,0),MATCH(I$45,'04_Matriz_Cambios'!$B$5:$R$5,0)))</f>
        <v>120</v>
      </c>
      <c r="J48" s="44">
        <f>IF(COUNTIF($Q$6:$Q$8,J$45)&gt;0,999999,INDEX('04_Matriz_Cambios'!$B$6:$R$22,MATCH($Q$8,'04_Matriz_Cambios'!$A$6:$A$22,0),MATCH(J$45,'04_Matriz_Cambios'!$B$5:$R$5,0)))</f>
        <v>120</v>
      </c>
      <c r="K48" s="44">
        <f>IF(COUNTIF($Q$6:$Q$8,K$45)&gt;0,999999,INDEX('04_Matriz_Cambios'!$B$6:$R$22,MATCH($Q$8,'04_Matriz_Cambios'!$A$6:$A$22,0),MATCH(K$45,'04_Matriz_Cambios'!$B$5:$R$5,0)))</f>
        <v>120</v>
      </c>
      <c r="L48" s="44">
        <f>IF(COUNTIF($Q$6:$Q$8,L$45)&gt;0,999999,INDEX('04_Matriz_Cambios'!$B$6:$R$22,MATCH($Q$8,'04_Matriz_Cambios'!$A$6:$A$22,0),MATCH(L$45,'04_Matriz_Cambios'!$B$5:$R$5,0)))</f>
        <v>999999</v>
      </c>
      <c r="M48" s="44">
        <f>IF(COUNTIF($Q$6:$Q$8,M$45)&gt;0,999999,INDEX('04_Matriz_Cambios'!$B$6:$R$22,MATCH($Q$8,'04_Matriz_Cambios'!$A$6:$A$22,0),MATCH(M$45,'04_Matriz_Cambios'!$B$5:$R$5,0)))</f>
        <v>120</v>
      </c>
      <c r="N48" s="44">
        <f>IF(COUNTIF($Q$6:$Q$8,N$45)&gt;0,999999,INDEX('04_Matriz_Cambios'!$B$6:$R$22,MATCH($Q$8,'04_Matriz_Cambios'!$A$6:$A$22,0),MATCH(N$45,'04_Matriz_Cambios'!$B$5:$R$5,0)))</f>
        <v>0</v>
      </c>
      <c r="O48" s="44">
        <f>IF(COUNTIF($Q$6:$Q$8,O$45)&gt;0,999999,INDEX('04_Matriz_Cambios'!$B$6:$R$22,MATCH($Q$8,'04_Matriz_Cambios'!$A$6:$A$22,0),MATCH(O$45,'04_Matriz_Cambios'!$B$5:$R$5,0)))</f>
        <v>120</v>
      </c>
      <c r="P48" s="44">
        <f>IF(COUNTIF($Q$6:$Q$8,P$45)&gt;0,999999,INDEX('04_Matriz_Cambios'!$B$6:$R$22,MATCH($Q$8,'04_Matriz_Cambios'!$A$6:$A$22,0),MATCH(P$45,'04_Matriz_Cambios'!$B$5:$R$5,0)))</f>
        <v>120</v>
      </c>
      <c r="Q48" s="44">
        <f>IF(COUNTIF($Q$6:$Q$8,Q$45)&gt;0,999999,INDEX('04_Matriz_Cambios'!$B$6:$R$22,MATCH($Q$8,'04_Matriz_Cambios'!$A$6:$A$22,0),MATCH(Q$45,'04_Matriz_Cambios'!$B$5:$R$5,0)))</f>
        <v>0</v>
      </c>
      <c r="R48" s="44">
        <f>IF(COUNTIF($Q$6:$Q$8,R$45)&gt;0,999999,INDEX('04_Matriz_Cambios'!$B$6:$R$22,MATCH($Q$8,'04_Matriz_Cambios'!$A$6:$A$22,0),MATCH(R$45,'04_Matriz_Cambios'!$B$5:$R$5,0)))</f>
        <v>0</v>
      </c>
    </row>
    <row r="49" spans="2:18" hidden="1" x14ac:dyDescent="0.2">
      <c r="B49" s="44">
        <f>IF(COUNTIF($Q$6:$Q$9,B$45)&gt;0,999999,INDEX('04_Matriz_Cambios'!$B$6:$R$22,MATCH($Q$9,'04_Matriz_Cambios'!$A$6:$A$22,0),MATCH(B$45,'04_Matriz_Cambios'!$B$5:$R$5,0)))</f>
        <v>999999</v>
      </c>
      <c r="C49" s="44">
        <f>IF(COUNTIF($Q$6:$Q$9,C$45)&gt;0,999999,INDEX('04_Matriz_Cambios'!$B$6:$R$22,MATCH($Q$9,'04_Matriz_Cambios'!$A$6:$A$22,0),MATCH(C$45,'04_Matriz_Cambios'!$B$5:$R$5,0)))</f>
        <v>120</v>
      </c>
      <c r="D49" s="44">
        <f>IF(COUNTIF($Q$6:$Q$9,D$45)&gt;0,999999,INDEX('04_Matriz_Cambios'!$B$6:$R$22,MATCH($Q$9,'04_Matriz_Cambios'!$A$6:$A$22,0),MATCH(D$45,'04_Matriz_Cambios'!$B$5:$R$5,0)))</f>
        <v>120</v>
      </c>
      <c r="E49" s="44">
        <f>IF(COUNTIF($Q$6:$Q$9,E$45)&gt;0,999999,INDEX('04_Matriz_Cambios'!$B$6:$R$22,MATCH($Q$9,'04_Matriz_Cambios'!$A$6:$A$22,0),MATCH(E$45,'04_Matriz_Cambios'!$B$5:$R$5,0)))</f>
        <v>999999</v>
      </c>
      <c r="F49" s="44">
        <f>IF(COUNTIF($Q$6:$Q$9,F$45)&gt;0,999999,INDEX('04_Matriz_Cambios'!$B$6:$R$22,MATCH($Q$9,'04_Matriz_Cambios'!$A$6:$A$22,0),MATCH(F$45,'04_Matriz_Cambios'!$B$5:$R$5,0)))</f>
        <v>120</v>
      </c>
      <c r="G49" s="44">
        <f>IF(COUNTIF($Q$6:$Q$9,G$45)&gt;0,999999,INDEX('04_Matriz_Cambios'!$B$6:$R$22,MATCH($Q$9,'04_Matriz_Cambios'!$A$6:$A$22,0),MATCH(G$45,'04_Matriz_Cambios'!$B$5:$R$5,0)))</f>
        <v>120</v>
      </c>
      <c r="H49" s="44">
        <f>IF(COUNTIF($Q$6:$Q$9,H$45)&gt;0,999999,INDEX('04_Matriz_Cambios'!$B$6:$R$22,MATCH($Q$9,'04_Matriz_Cambios'!$A$6:$A$22,0),MATCH(H$45,'04_Matriz_Cambios'!$B$5:$R$5,0)))</f>
        <v>120</v>
      </c>
      <c r="I49" s="44">
        <f>IF(COUNTIF($Q$6:$Q$9,I$45)&gt;0,999999,INDEX('04_Matriz_Cambios'!$B$6:$R$22,MATCH($Q$9,'04_Matriz_Cambios'!$A$6:$A$22,0),MATCH(I$45,'04_Matriz_Cambios'!$B$5:$R$5,0)))</f>
        <v>120</v>
      </c>
      <c r="J49" s="44">
        <f>IF(COUNTIF($Q$6:$Q$9,J$45)&gt;0,999999,INDEX('04_Matriz_Cambios'!$B$6:$R$22,MATCH($Q$9,'04_Matriz_Cambios'!$A$6:$A$22,0),MATCH(J$45,'04_Matriz_Cambios'!$B$5:$R$5,0)))</f>
        <v>120</v>
      </c>
      <c r="K49" s="44">
        <f>IF(COUNTIF($Q$6:$Q$9,K$45)&gt;0,999999,INDEX('04_Matriz_Cambios'!$B$6:$R$22,MATCH($Q$9,'04_Matriz_Cambios'!$A$6:$A$22,0),MATCH(K$45,'04_Matriz_Cambios'!$B$5:$R$5,0)))</f>
        <v>120</v>
      </c>
      <c r="L49" s="44">
        <f>IF(COUNTIF($Q$6:$Q$9,L$45)&gt;0,999999,INDEX('04_Matriz_Cambios'!$B$6:$R$22,MATCH($Q$9,'04_Matriz_Cambios'!$A$6:$A$22,0),MATCH(L$45,'04_Matriz_Cambios'!$B$5:$R$5,0)))</f>
        <v>999999</v>
      </c>
      <c r="M49" s="44">
        <f>IF(COUNTIF($Q$6:$Q$9,M$45)&gt;0,999999,INDEX('04_Matriz_Cambios'!$B$6:$R$22,MATCH($Q$9,'04_Matriz_Cambios'!$A$6:$A$22,0),MATCH(M$45,'04_Matriz_Cambios'!$B$5:$R$5,0)))</f>
        <v>120</v>
      </c>
      <c r="N49" s="44">
        <f>IF(COUNTIF($Q$6:$Q$9,N$45)&gt;0,999999,INDEX('04_Matriz_Cambios'!$B$6:$R$22,MATCH($Q$9,'04_Matriz_Cambios'!$A$6:$A$22,0),MATCH(N$45,'04_Matriz_Cambios'!$B$5:$R$5,0)))</f>
        <v>999999</v>
      </c>
      <c r="O49" s="44">
        <f>IF(COUNTIF($Q$6:$Q$9,O$45)&gt;0,999999,INDEX('04_Matriz_Cambios'!$B$6:$R$22,MATCH($Q$9,'04_Matriz_Cambios'!$A$6:$A$22,0),MATCH(O$45,'04_Matriz_Cambios'!$B$5:$R$5,0)))</f>
        <v>120</v>
      </c>
      <c r="P49" s="44">
        <f>IF(COUNTIF($Q$6:$Q$9,P$45)&gt;0,999999,INDEX('04_Matriz_Cambios'!$B$6:$R$22,MATCH($Q$9,'04_Matriz_Cambios'!$A$6:$A$22,0),MATCH(P$45,'04_Matriz_Cambios'!$B$5:$R$5,0)))</f>
        <v>120</v>
      </c>
      <c r="Q49" s="44">
        <f>IF(COUNTIF($Q$6:$Q$9,Q$45)&gt;0,999999,INDEX('04_Matriz_Cambios'!$B$6:$R$22,MATCH($Q$9,'04_Matriz_Cambios'!$A$6:$A$22,0),MATCH(Q$45,'04_Matriz_Cambios'!$B$5:$R$5,0)))</f>
        <v>0</v>
      </c>
      <c r="R49" s="44">
        <f>IF(COUNTIF($Q$6:$Q$9,R$45)&gt;0,999999,INDEX('04_Matriz_Cambios'!$B$6:$R$22,MATCH($Q$9,'04_Matriz_Cambios'!$A$6:$A$22,0),MATCH(R$45,'04_Matriz_Cambios'!$B$5:$R$5,0)))</f>
        <v>0</v>
      </c>
    </row>
    <row r="50" spans="2:18" hidden="1" x14ac:dyDescent="0.2">
      <c r="B50" s="44">
        <f>IF(COUNTIF($Q$6:$Q$10,B$45)&gt;0,999999,INDEX('04_Matriz_Cambios'!$B$6:$R$22,MATCH($Q$10,'04_Matriz_Cambios'!$A$6:$A$22,0),MATCH(B$45,'04_Matriz_Cambios'!$B$5:$R$5,0)))</f>
        <v>999999</v>
      </c>
      <c r="C50" s="44">
        <f>IF(COUNTIF($Q$6:$Q$10,C$45)&gt;0,999999,INDEX('04_Matriz_Cambios'!$B$6:$R$22,MATCH($Q$10,'04_Matriz_Cambios'!$A$6:$A$22,0),MATCH(C$45,'04_Matriz_Cambios'!$B$5:$R$5,0)))</f>
        <v>120</v>
      </c>
      <c r="D50" s="44">
        <f>IF(COUNTIF($Q$6:$Q$10,D$45)&gt;0,999999,INDEX('04_Matriz_Cambios'!$B$6:$R$22,MATCH($Q$10,'04_Matriz_Cambios'!$A$6:$A$22,0),MATCH(D$45,'04_Matriz_Cambios'!$B$5:$R$5,0)))</f>
        <v>120</v>
      </c>
      <c r="E50" s="44">
        <f>IF(COUNTIF($Q$6:$Q$10,E$45)&gt;0,999999,INDEX('04_Matriz_Cambios'!$B$6:$R$22,MATCH($Q$10,'04_Matriz_Cambios'!$A$6:$A$22,0),MATCH(E$45,'04_Matriz_Cambios'!$B$5:$R$5,0)))</f>
        <v>999999</v>
      </c>
      <c r="F50" s="44">
        <f>IF(COUNTIF($Q$6:$Q$10,F$45)&gt;0,999999,INDEX('04_Matriz_Cambios'!$B$6:$R$22,MATCH($Q$10,'04_Matriz_Cambios'!$A$6:$A$22,0),MATCH(F$45,'04_Matriz_Cambios'!$B$5:$R$5,0)))</f>
        <v>120</v>
      </c>
      <c r="G50" s="44">
        <f>IF(COUNTIF($Q$6:$Q$10,G$45)&gt;0,999999,INDEX('04_Matriz_Cambios'!$B$6:$R$22,MATCH($Q$10,'04_Matriz_Cambios'!$A$6:$A$22,0),MATCH(G$45,'04_Matriz_Cambios'!$B$5:$R$5,0)))</f>
        <v>120</v>
      </c>
      <c r="H50" s="44">
        <f>IF(COUNTIF($Q$6:$Q$10,H$45)&gt;0,999999,INDEX('04_Matriz_Cambios'!$B$6:$R$22,MATCH($Q$10,'04_Matriz_Cambios'!$A$6:$A$22,0),MATCH(H$45,'04_Matriz_Cambios'!$B$5:$R$5,0)))</f>
        <v>120</v>
      </c>
      <c r="I50" s="44">
        <f>IF(COUNTIF($Q$6:$Q$10,I$45)&gt;0,999999,INDEX('04_Matriz_Cambios'!$B$6:$R$22,MATCH($Q$10,'04_Matriz_Cambios'!$A$6:$A$22,0),MATCH(I$45,'04_Matriz_Cambios'!$B$5:$R$5,0)))</f>
        <v>120</v>
      </c>
      <c r="J50" s="44">
        <f>IF(COUNTIF($Q$6:$Q$10,J$45)&gt;0,999999,INDEX('04_Matriz_Cambios'!$B$6:$R$22,MATCH($Q$10,'04_Matriz_Cambios'!$A$6:$A$22,0),MATCH(J$45,'04_Matriz_Cambios'!$B$5:$R$5,0)))</f>
        <v>120</v>
      </c>
      <c r="K50" s="44">
        <f>IF(COUNTIF($Q$6:$Q$10,K$45)&gt;0,999999,INDEX('04_Matriz_Cambios'!$B$6:$R$22,MATCH($Q$10,'04_Matriz_Cambios'!$A$6:$A$22,0),MATCH(K$45,'04_Matriz_Cambios'!$B$5:$R$5,0)))</f>
        <v>180</v>
      </c>
      <c r="L50" s="44">
        <f>IF(COUNTIF($Q$6:$Q$10,L$45)&gt;0,999999,INDEX('04_Matriz_Cambios'!$B$6:$R$22,MATCH($Q$10,'04_Matriz_Cambios'!$A$6:$A$22,0),MATCH(L$45,'04_Matriz_Cambios'!$B$5:$R$5,0)))</f>
        <v>999999</v>
      </c>
      <c r="M50" s="44">
        <f>IF(COUNTIF($Q$6:$Q$10,M$45)&gt;0,999999,INDEX('04_Matriz_Cambios'!$B$6:$R$22,MATCH($Q$10,'04_Matriz_Cambios'!$A$6:$A$22,0),MATCH(M$45,'04_Matriz_Cambios'!$B$5:$R$5,0)))</f>
        <v>120</v>
      </c>
      <c r="N50" s="44">
        <f>IF(COUNTIF($Q$6:$Q$10,N$45)&gt;0,999999,INDEX('04_Matriz_Cambios'!$B$6:$R$22,MATCH($Q$10,'04_Matriz_Cambios'!$A$6:$A$22,0),MATCH(N$45,'04_Matriz_Cambios'!$B$5:$R$5,0)))</f>
        <v>999999</v>
      </c>
      <c r="O50" s="44">
        <f>IF(COUNTIF($Q$6:$Q$10,O$45)&gt;0,999999,INDEX('04_Matriz_Cambios'!$B$6:$R$22,MATCH($Q$10,'04_Matriz_Cambios'!$A$6:$A$22,0),MATCH(O$45,'04_Matriz_Cambios'!$B$5:$R$5,0)))</f>
        <v>120</v>
      </c>
      <c r="P50" s="44">
        <f>IF(COUNTIF($Q$6:$Q$10,P$45)&gt;0,999999,INDEX('04_Matriz_Cambios'!$B$6:$R$22,MATCH($Q$10,'04_Matriz_Cambios'!$A$6:$A$22,0),MATCH(P$45,'04_Matriz_Cambios'!$B$5:$R$5,0)))</f>
        <v>120</v>
      </c>
      <c r="Q50" s="44">
        <f>IF(COUNTIF($Q$6:$Q$10,Q$45)&gt;0,999999,INDEX('04_Matriz_Cambios'!$B$6:$R$22,MATCH($Q$10,'04_Matriz_Cambios'!$A$6:$A$22,0),MATCH(Q$45,'04_Matriz_Cambios'!$B$5:$R$5,0)))</f>
        <v>999999</v>
      </c>
      <c r="R50" s="44">
        <f>IF(COUNTIF($Q$6:$Q$10,R$45)&gt;0,999999,INDEX('04_Matriz_Cambios'!$B$6:$R$22,MATCH($Q$10,'04_Matriz_Cambios'!$A$6:$A$22,0),MATCH(R$45,'04_Matriz_Cambios'!$B$5:$R$5,0)))</f>
        <v>0</v>
      </c>
    </row>
    <row r="51" spans="2:18" hidden="1" x14ac:dyDescent="0.2">
      <c r="B51" s="44">
        <f>IF(COUNTIF($Q$6:$Q$11,B$45)&gt;0,999999,INDEX('04_Matriz_Cambios'!$B$6:$R$22,MATCH($Q$11,'04_Matriz_Cambios'!$A$6:$A$22,0),MATCH(B$45,'04_Matriz_Cambios'!$B$5:$R$5,0)))</f>
        <v>999999</v>
      </c>
      <c r="C51" s="44">
        <f>IF(COUNTIF($Q$6:$Q$11,C$45)&gt;0,999999,INDEX('04_Matriz_Cambios'!$B$6:$R$22,MATCH($Q$11,'04_Matriz_Cambios'!$A$6:$A$22,0),MATCH(C$45,'04_Matriz_Cambios'!$B$5:$R$5,0)))</f>
        <v>120</v>
      </c>
      <c r="D51" s="44">
        <f>IF(COUNTIF($Q$6:$Q$11,D$45)&gt;0,999999,INDEX('04_Matriz_Cambios'!$B$6:$R$22,MATCH($Q$11,'04_Matriz_Cambios'!$A$6:$A$22,0),MATCH(D$45,'04_Matriz_Cambios'!$B$5:$R$5,0)))</f>
        <v>120</v>
      </c>
      <c r="E51" s="44">
        <f>IF(COUNTIF($Q$6:$Q$11,E$45)&gt;0,999999,INDEX('04_Matriz_Cambios'!$B$6:$R$22,MATCH($Q$11,'04_Matriz_Cambios'!$A$6:$A$22,0),MATCH(E$45,'04_Matriz_Cambios'!$B$5:$R$5,0)))</f>
        <v>999999</v>
      </c>
      <c r="F51" s="44">
        <f>IF(COUNTIF($Q$6:$Q$11,F$45)&gt;0,999999,INDEX('04_Matriz_Cambios'!$B$6:$R$22,MATCH($Q$11,'04_Matriz_Cambios'!$A$6:$A$22,0),MATCH(F$45,'04_Matriz_Cambios'!$B$5:$R$5,0)))</f>
        <v>120</v>
      </c>
      <c r="G51" s="44">
        <f>IF(COUNTIF($Q$6:$Q$11,G$45)&gt;0,999999,INDEX('04_Matriz_Cambios'!$B$6:$R$22,MATCH($Q$11,'04_Matriz_Cambios'!$A$6:$A$22,0),MATCH(G$45,'04_Matriz_Cambios'!$B$5:$R$5,0)))</f>
        <v>120</v>
      </c>
      <c r="H51" s="44">
        <f>IF(COUNTIF($Q$6:$Q$11,H$45)&gt;0,999999,INDEX('04_Matriz_Cambios'!$B$6:$R$22,MATCH($Q$11,'04_Matriz_Cambios'!$A$6:$A$22,0),MATCH(H$45,'04_Matriz_Cambios'!$B$5:$R$5,0)))</f>
        <v>120</v>
      </c>
      <c r="I51" s="44">
        <f>IF(COUNTIF($Q$6:$Q$11,I$45)&gt;0,999999,INDEX('04_Matriz_Cambios'!$B$6:$R$22,MATCH($Q$11,'04_Matriz_Cambios'!$A$6:$A$22,0),MATCH(I$45,'04_Matriz_Cambios'!$B$5:$R$5,0)))</f>
        <v>120</v>
      </c>
      <c r="J51" s="44">
        <f>IF(COUNTIF($Q$6:$Q$11,J$45)&gt;0,999999,INDEX('04_Matriz_Cambios'!$B$6:$R$22,MATCH($Q$11,'04_Matriz_Cambios'!$A$6:$A$22,0),MATCH(J$45,'04_Matriz_Cambios'!$B$5:$R$5,0)))</f>
        <v>180</v>
      </c>
      <c r="K51" s="44">
        <f>IF(COUNTIF($Q$6:$Q$11,K$45)&gt;0,999999,INDEX('04_Matriz_Cambios'!$B$6:$R$22,MATCH($Q$11,'04_Matriz_Cambios'!$A$6:$A$22,0),MATCH(K$45,'04_Matriz_Cambios'!$B$5:$R$5,0)))</f>
        <v>180</v>
      </c>
      <c r="L51" s="44">
        <f>IF(COUNTIF($Q$6:$Q$11,L$45)&gt;0,999999,INDEX('04_Matriz_Cambios'!$B$6:$R$22,MATCH($Q$11,'04_Matriz_Cambios'!$A$6:$A$22,0),MATCH(L$45,'04_Matriz_Cambios'!$B$5:$R$5,0)))</f>
        <v>999999</v>
      </c>
      <c r="M51" s="44">
        <f>IF(COUNTIF($Q$6:$Q$11,M$45)&gt;0,999999,INDEX('04_Matriz_Cambios'!$B$6:$R$22,MATCH($Q$11,'04_Matriz_Cambios'!$A$6:$A$22,0),MATCH(M$45,'04_Matriz_Cambios'!$B$5:$R$5,0)))</f>
        <v>120</v>
      </c>
      <c r="N51" s="44">
        <f>IF(COUNTIF($Q$6:$Q$11,N$45)&gt;0,999999,INDEX('04_Matriz_Cambios'!$B$6:$R$22,MATCH($Q$11,'04_Matriz_Cambios'!$A$6:$A$22,0),MATCH(N$45,'04_Matriz_Cambios'!$B$5:$R$5,0)))</f>
        <v>999999</v>
      </c>
      <c r="O51" s="44">
        <f>IF(COUNTIF($Q$6:$Q$11,O$45)&gt;0,999999,INDEX('04_Matriz_Cambios'!$B$6:$R$22,MATCH($Q$11,'04_Matriz_Cambios'!$A$6:$A$22,0),MATCH(O$45,'04_Matriz_Cambios'!$B$5:$R$5,0)))</f>
        <v>120</v>
      </c>
      <c r="P51" s="44">
        <f>IF(COUNTIF($Q$6:$Q$11,P$45)&gt;0,999999,INDEX('04_Matriz_Cambios'!$B$6:$R$22,MATCH($Q$11,'04_Matriz_Cambios'!$A$6:$A$22,0),MATCH(P$45,'04_Matriz_Cambios'!$B$5:$R$5,0)))</f>
        <v>120</v>
      </c>
      <c r="Q51" s="44">
        <f>IF(COUNTIF($Q$6:$Q$11,Q$45)&gt;0,999999,INDEX('04_Matriz_Cambios'!$B$6:$R$22,MATCH($Q$11,'04_Matriz_Cambios'!$A$6:$A$22,0),MATCH(Q$45,'04_Matriz_Cambios'!$B$5:$R$5,0)))</f>
        <v>999999</v>
      </c>
      <c r="R51" s="44">
        <f>IF(COUNTIF($Q$6:$Q$11,R$45)&gt;0,999999,INDEX('04_Matriz_Cambios'!$B$6:$R$22,MATCH($Q$11,'04_Matriz_Cambios'!$A$6:$A$22,0),MATCH(R$45,'04_Matriz_Cambios'!$B$5:$R$5,0)))</f>
        <v>999999</v>
      </c>
    </row>
    <row r="52" spans="2:18" hidden="1" x14ac:dyDescent="0.2">
      <c r="B52" s="44">
        <f>IF(COUNTIF($Q$6:$Q$12,B$45)&gt;0,999999,INDEX('04_Matriz_Cambios'!$B$6:$R$22,MATCH($Q$12,'04_Matriz_Cambios'!$A$6:$A$22,0),MATCH(B$45,'04_Matriz_Cambios'!$B$5:$R$5,0)))</f>
        <v>999999</v>
      </c>
      <c r="C52" s="44">
        <f>IF(COUNTIF($Q$6:$Q$12,C$45)&gt;0,999999,INDEX('04_Matriz_Cambios'!$B$6:$R$22,MATCH($Q$12,'04_Matriz_Cambios'!$A$6:$A$22,0),MATCH(C$45,'04_Matriz_Cambios'!$B$5:$R$5,0)))</f>
        <v>999999</v>
      </c>
      <c r="D52" s="44">
        <f>IF(COUNTIF($Q$6:$Q$12,D$45)&gt;0,999999,INDEX('04_Matriz_Cambios'!$B$6:$R$22,MATCH($Q$12,'04_Matriz_Cambios'!$A$6:$A$22,0),MATCH(D$45,'04_Matriz_Cambios'!$B$5:$R$5,0)))</f>
        <v>120</v>
      </c>
      <c r="E52" s="44">
        <f>IF(COUNTIF($Q$6:$Q$12,E$45)&gt;0,999999,INDEX('04_Matriz_Cambios'!$B$6:$R$22,MATCH($Q$12,'04_Matriz_Cambios'!$A$6:$A$22,0),MATCH(E$45,'04_Matriz_Cambios'!$B$5:$R$5,0)))</f>
        <v>999999</v>
      </c>
      <c r="F52" s="44">
        <f>IF(COUNTIF($Q$6:$Q$12,F$45)&gt;0,999999,INDEX('04_Matriz_Cambios'!$B$6:$R$22,MATCH($Q$12,'04_Matriz_Cambios'!$A$6:$A$22,0),MATCH(F$45,'04_Matriz_Cambios'!$B$5:$R$5,0)))</f>
        <v>120</v>
      </c>
      <c r="G52" s="44">
        <f>IF(COUNTIF($Q$6:$Q$12,G$45)&gt;0,999999,INDEX('04_Matriz_Cambios'!$B$6:$R$22,MATCH($Q$12,'04_Matriz_Cambios'!$A$6:$A$22,0),MATCH(G$45,'04_Matriz_Cambios'!$B$5:$R$5,0)))</f>
        <v>120</v>
      </c>
      <c r="H52" s="44">
        <f>IF(COUNTIF($Q$6:$Q$12,H$45)&gt;0,999999,INDEX('04_Matriz_Cambios'!$B$6:$R$22,MATCH($Q$12,'04_Matriz_Cambios'!$A$6:$A$22,0),MATCH(H$45,'04_Matriz_Cambios'!$B$5:$R$5,0)))</f>
        <v>120</v>
      </c>
      <c r="I52" s="44">
        <f>IF(COUNTIF($Q$6:$Q$12,I$45)&gt;0,999999,INDEX('04_Matriz_Cambios'!$B$6:$R$22,MATCH($Q$12,'04_Matriz_Cambios'!$A$6:$A$22,0),MATCH(I$45,'04_Matriz_Cambios'!$B$5:$R$5,0)))</f>
        <v>120</v>
      </c>
      <c r="J52" s="44">
        <f>IF(COUNTIF($Q$6:$Q$12,J$45)&gt;0,999999,INDEX('04_Matriz_Cambios'!$B$6:$R$22,MATCH($Q$12,'04_Matriz_Cambios'!$A$6:$A$22,0),MATCH(J$45,'04_Matriz_Cambios'!$B$5:$R$5,0)))</f>
        <v>120</v>
      </c>
      <c r="K52" s="44">
        <f>IF(COUNTIF($Q$6:$Q$12,K$45)&gt;0,999999,INDEX('04_Matriz_Cambios'!$B$6:$R$22,MATCH($Q$12,'04_Matriz_Cambios'!$A$6:$A$22,0),MATCH(K$45,'04_Matriz_Cambios'!$B$5:$R$5,0)))</f>
        <v>120</v>
      </c>
      <c r="L52" s="44">
        <f>IF(COUNTIF($Q$6:$Q$12,L$45)&gt;0,999999,INDEX('04_Matriz_Cambios'!$B$6:$R$22,MATCH($Q$12,'04_Matriz_Cambios'!$A$6:$A$22,0),MATCH(L$45,'04_Matriz_Cambios'!$B$5:$R$5,0)))</f>
        <v>999999</v>
      </c>
      <c r="M52" s="44">
        <f>IF(COUNTIF($Q$6:$Q$12,M$45)&gt;0,999999,INDEX('04_Matriz_Cambios'!$B$6:$R$22,MATCH($Q$12,'04_Matriz_Cambios'!$A$6:$A$22,0),MATCH(M$45,'04_Matriz_Cambios'!$B$5:$R$5,0)))</f>
        <v>120</v>
      </c>
      <c r="N52" s="44">
        <f>IF(COUNTIF($Q$6:$Q$12,N$45)&gt;0,999999,INDEX('04_Matriz_Cambios'!$B$6:$R$22,MATCH($Q$12,'04_Matriz_Cambios'!$A$6:$A$22,0),MATCH(N$45,'04_Matriz_Cambios'!$B$5:$R$5,0)))</f>
        <v>999999</v>
      </c>
      <c r="O52" s="44">
        <f>IF(COUNTIF($Q$6:$Q$12,O$45)&gt;0,999999,INDEX('04_Matriz_Cambios'!$B$6:$R$22,MATCH($Q$12,'04_Matriz_Cambios'!$A$6:$A$22,0),MATCH(O$45,'04_Matriz_Cambios'!$B$5:$R$5,0)))</f>
        <v>120</v>
      </c>
      <c r="P52" s="44">
        <f>IF(COUNTIF($Q$6:$Q$12,P$45)&gt;0,999999,INDEX('04_Matriz_Cambios'!$B$6:$R$22,MATCH($Q$12,'04_Matriz_Cambios'!$A$6:$A$22,0),MATCH(P$45,'04_Matriz_Cambios'!$B$5:$R$5,0)))</f>
        <v>120</v>
      </c>
      <c r="Q52" s="44">
        <f>IF(COUNTIF($Q$6:$Q$12,Q$45)&gt;0,999999,INDEX('04_Matriz_Cambios'!$B$6:$R$22,MATCH($Q$12,'04_Matriz_Cambios'!$A$6:$A$22,0),MATCH(Q$45,'04_Matriz_Cambios'!$B$5:$R$5,0)))</f>
        <v>999999</v>
      </c>
      <c r="R52" s="44">
        <f>IF(COUNTIF($Q$6:$Q$12,R$45)&gt;0,999999,INDEX('04_Matriz_Cambios'!$B$6:$R$22,MATCH($Q$12,'04_Matriz_Cambios'!$A$6:$A$22,0),MATCH(R$45,'04_Matriz_Cambios'!$B$5:$R$5,0)))</f>
        <v>999999</v>
      </c>
    </row>
    <row r="53" spans="2:18" hidden="1" x14ac:dyDescent="0.2">
      <c r="B53" s="44">
        <f>IF(COUNTIF($Q$6:$Q$13,B$45)&gt;0,999999,INDEX('04_Matriz_Cambios'!$B$6:$R$22,MATCH($Q$13,'04_Matriz_Cambios'!$A$6:$A$22,0),MATCH(B$45,'04_Matriz_Cambios'!$B$5:$R$5,0)))</f>
        <v>999999</v>
      </c>
      <c r="C53" s="44">
        <f>IF(COUNTIF($Q$6:$Q$13,C$45)&gt;0,999999,INDEX('04_Matriz_Cambios'!$B$6:$R$22,MATCH($Q$13,'04_Matriz_Cambios'!$A$6:$A$22,0),MATCH(C$45,'04_Matriz_Cambios'!$B$5:$R$5,0)))</f>
        <v>999999</v>
      </c>
      <c r="D53" s="44">
        <f>IF(COUNTIF($Q$6:$Q$13,D$45)&gt;0,999999,INDEX('04_Matriz_Cambios'!$B$6:$R$22,MATCH($Q$13,'04_Matriz_Cambios'!$A$6:$A$22,0),MATCH(D$45,'04_Matriz_Cambios'!$B$5:$R$5,0)))</f>
        <v>999999</v>
      </c>
      <c r="E53" s="44">
        <f>IF(COUNTIF($Q$6:$Q$13,E$45)&gt;0,999999,INDEX('04_Matriz_Cambios'!$B$6:$R$22,MATCH($Q$13,'04_Matriz_Cambios'!$A$6:$A$22,0),MATCH(E$45,'04_Matriz_Cambios'!$B$5:$R$5,0)))</f>
        <v>999999</v>
      </c>
      <c r="F53" s="44">
        <f>IF(COUNTIF($Q$6:$Q$13,F$45)&gt;0,999999,INDEX('04_Matriz_Cambios'!$B$6:$R$22,MATCH($Q$13,'04_Matriz_Cambios'!$A$6:$A$22,0),MATCH(F$45,'04_Matriz_Cambios'!$B$5:$R$5,0)))</f>
        <v>180</v>
      </c>
      <c r="G53" s="44">
        <f>IF(COUNTIF($Q$6:$Q$13,G$45)&gt;0,999999,INDEX('04_Matriz_Cambios'!$B$6:$R$22,MATCH($Q$13,'04_Matriz_Cambios'!$A$6:$A$22,0),MATCH(G$45,'04_Matriz_Cambios'!$B$5:$R$5,0)))</f>
        <v>180</v>
      </c>
      <c r="H53" s="44">
        <f>IF(COUNTIF($Q$6:$Q$13,H$45)&gt;0,999999,INDEX('04_Matriz_Cambios'!$B$6:$R$22,MATCH($Q$13,'04_Matriz_Cambios'!$A$6:$A$22,0),MATCH(H$45,'04_Matriz_Cambios'!$B$5:$R$5,0)))</f>
        <v>120</v>
      </c>
      <c r="I53" s="44">
        <f>IF(COUNTIF($Q$6:$Q$13,I$45)&gt;0,999999,INDEX('04_Matriz_Cambios'!$B$6:$R$22,MATCH($Q$13,'04_Matriz_Cambios'!$A$6:$A$22,0),MATCH(I$45,'04_Matriz_Cambios'!$B$5:$R$5,0)))</f>
        <v>180</v>
      </c>
      <c r="J53" s="44">
        <f>IF(COUNTIF($Q$6:$Q$13,J$45)&gt;0,999999,INDEX('04_Matriz_Cambios'!$B$6:$R$22,MATCH($Q$13,'04_Matriz_Cambios'!$A$6:$A$22,0),MATCH(J$45,'04_Matriz_Cambios'!$B$5:$R$5,0)))</f>
        <v>120</v>
      </c>
      <c r="K53" s="44">
        <f>IF(COUNTIF($Q$6:$Q$13,K$45)&gt;0,999999,INDEX('04_Matriz_Cambios'!$B$6:$R$22,MATCH($Q$13,'04_Matriz_Cambios'!$A$6:$A$22,0),MATCH(K$45,'04_Matriz_Cambios'!$B$5:$R$5,0)))</f>
        <v>120</v>
      </c>
      <c r="L53" s="44">
        <f>IF(COUNTIF($Q$6:$Q$13,L$45)&gt;0,999999,INDEX('04_Matriz_Cambios'!$B$6:$R$22,MATCH($Q$13,'04_Matriz_Cambios'!$A$6:$A$22,0),MATCH(L$45,'04_Matriz_Cambios'!$B$5:$R$5,0)))</f>
        <v>999999</v>
      </c>
      <c r="M53" s="44">
        <f>IF(COUNTIF($Q$6:$Q$13,M$45)&gt;0,999999,INDEX('04_Matriz_Cambios'!$B$6:$R$22,MATCH($Q$13,'04_Matriz_Cambios'!$A$6:$A$22,0),MATCH(M$45,'04_Matriz_Cambios'!$B$5:$R$5,0)))</f>
        <v>120</v>
      </c>
      <c r="N53" s="44">
        <f>IF(COUNTIF($Q$6:$Q$13,N$45)&gt;0,999999,INDEX('04_Matriz_Cambios'!$B$6:$R$22,MATCH($Q$13,'04_Matriz_Cambios'!$A$6:$A$22,0),MATCH(N$45,'04_Matriz_Cambios'!$B$5:$R$5,0)))</f>
        <v>999999</v>
      </c>
      <c r="O53" s="44">
        <f>IF(COUNTIF($Q$6:$Q$13,O$45)&gt;0,999999,INDEX('04_Matriz_Cambios'!$B$6:$R$22,MATCH($Q$13,'04_Matriz_Cambios'!$A$6:$A$22,0),MATCH(O$45,'04_Matriz_Cambios'!$B$5:$R$5,0)))</f>
        <v>120</v>
      </c>
      <c r="P53" s="44">
        <f>IF(COUNTIF($Q$6:$Q$13,P$45)&gt;0,999999,INDEX('04_Matriz_Cambios'!$B$6:$R$22,MATCH($Q$13,'04_Matriz_Cambios'!$A$6:$A$22,0),MATCH(P$45,'04_Matriz_Cambios'!$B$5:$R$5,0)))</f>
        <v>120</v>
      </c>
      <c r="Q53" s="44">
        <f>IF(COUNTIF($Q$6:$Q$13,Q$45)&gt;0,999999,INDEX('04_Matriz_Cambios'!$B$6:$R$22,MATCH($Q$13,'04_Matriz_Cambios'!$A$6:$A$22,0),MATCH(Q$45,'04_Matriz_Cambios'!$B$5:$R$5,0)))</f>
        <v>999999</v>
      </c>
      <c r="R53" s="44">
        <f>IF(COUNTIF($Q$6:$Q$13,R$45)&gt;0,999999,INDEX('04_Matriz_Cambios'!$B$6:$R$22,MATCH($Q$13,'04_Matriz_Cambios'!$A$6:$A$22,0),MATCH(R$45,'04_Matriz_Cambios'!$B$5:$R$5,0)))</f>
        <v>999999</v>
      </c>
    </row>
    <row r="54" spans="2:18" hidden="1" x14ac:dyDescent="0.2">
      <c r="B54" s="44">
        <f>IF(COUNTIF($Q$6:$Q$14,B$45)&gt;0,999999,INDEX('04_Matriz_Cambios'!$B$6:$R$22,MATCH($Q$14,'04_Matriz_Cambios'!$A$6:$A$22,0),MATCH(B$45,'04_Matriz_Cambios'!$B$5:$R$5,0)))</f>
        <v>999999</v>
      </c>
      <c r="C54" s="44">
        <f>IF(COUNTIF($Q$6:$Q$14,C$45)&gt;0,999999,INDEX('04_Matriz_Cambios'!$B$6:$R$22,MATCH($Q$14,'04_Matriz_Cambios'!$A$6:$A$22,0),MATCH(C$45,'04_Matriz_Cambios'!$B$5:$R$5,0)))</f>
        <v>999999</v>
      </c>
      <c r="D54" s="44">
        <f>IF(COUNTIF($Q$6:$Q$14,D$45)&gt;0,999999,INDEX('04_Matriz_Cambios'!$B$6:$R$22,MATCH($Q$14,'04_Matriz_Cambios'!$A$6:$A$22,0),MATCH(D$45,'04_Matriz_Cambios'!$B$5:$R$5,0)))</f>
        <v>999999</v>
      </c>
      <c r="E54" s="44">
        <f>IF(COUNTIF($Q$6:$Q$14,E$45)&gt;0,999999,INDEX('04_Matriz_Cambios'!$B$6:$R$22,MATCH($Q$14,'04_Matriz_Cambios'!$A$6:$A$22,0),MATCH(E$45,'04_Matriz_Cambios'!$B$5:$R$5,0)))</f>
        <v>999999</v>
      </c>
      <c r="F54" s="44">
        <f>IF(COUNTIF($Q$6:$Q$14,F$45)&gt;0,999999,INDEX('04_Matriz_Cambios'!$B$6:$R$22,MATCH($Q$14,'04_Matriz_Cambios'!$A$6:$A$22,0),MATCH(F$45,'04_Matriz_Cambios'!$B$5:$R$5,0)))</f>
        <v>120</v>
      </c>
      <c r="G54" s="44">
        <f>IF(COUNTIF($Q$6:$Q$14,G$45)&gt;0,999999,INDEX('04_Matriz_Cambios'!$B$6:$R$22,MATCH($Q$14,'04_Matriz_Cambios'!$A$6:$A$22,0),MATCH(G$45,'04_Matriz_Cambios'!$B$5:$R$5,0)))</f>
        <v>120</v>
      </c>
      <c r="H54" s="44">
        <f>IF(COUNTIF($Q$6:$Q$14,H$45)&gt;0,999999,INDEX('04_Matriz_Cambios'!$B$6:$R$22,MATCH($Q$14,'04_Matriz_Cambios'!$A$6:$A$22,0),MATCH(H$45,'04_Matriz_Cambios'!$B$5:$R$5,0)))</f>
        <v>999999</v>
      </c>
      <c r="I54" s="44">
        <f>IF(COUNTIF($Q$6:$Q$14,I$45)&gt;0,999999,INDEX('04_Matriz_Cambios'!$B$6:$R$22,MATCH($Q$14,'04_Matriz_Cambios'!$A$6:$A$22,0),MATCH(I$45,'04_Matriz_Cambios'!$B$5:$R$5,0)))</f>
        <v>120</v>
      </c>
      <c r="J54" s="44">
        <f>IF(COUNTIF($Q$6:$Q$14,J$45)&gt;0,999999,INDEX('04_Matriz_Cambios'!$B$6:$R$22,MATCH($Q$14,'04_Matriz_Cambios'!$A$6:$A$22,0),MATCH(J$45,'04_Matriz_Cambios'!$B$5:$R$5,0)))</f>
        <v>120</v>
      </c>
      <c r="K54" s="44">
        <f>IF(COUNTIF($Q$6:$Q$14,K$45)&gt;0,999999,INDEX('04_Matriz_Cambios'!$B$6:$R$22,MATCH($Q$14,'04_Matriz_Cambios'!$A$6:$A$22,0),MATCH(K$45,'04_Matriz_Cambios'!$B$5:$R$5,0)))</f>
        <v>120</v>
      </c>
      <c r="L54" s="44">
        <f>IF(COUNTIF($Q$6:$Q$14,L$45)&gt;0,999999,INDEX('04_Matriz_Cambios'!$B$6:$R$22,MATCH($Q$14,'04_Matriz_Cambios'!$A$6:$A$22,0),MATCH(L$45,'04_Matriz_Cambios'!$B$5:$R$5,0)))</f>
        <v>999999</v>
      </c>
      <c r="M54" s="44">
        <f>IF(COUNTIF($Q$6:$Q$14,M$45)&gt;0,999999,INDEX('04_Matriz_Cambios'!$B$6:$R$22,MATCH($Q$14,'04_Matriz_Cambios'!$A$6:$A$22,0),MATCH(M$45,'04_Matriz_Cambios'!$B$5:$R$5,0)))</f>
        <v>120</v>
      </c>
      <c r="N54" s="44">
        <f>IF(COUNTIF($Q$6:$Q$14,N$45)&gt;0,999999,INDEX('04_Matriz_Cambios'!$B$6:$R$22,MATCH($Q$14,'04_Matriz_Cambios'!$A$6:$A$22,0),MATCH(N$45,'04_Matriz_Cambios'!$B$5:$R$5,0)))</f>
        <v>999999</v>
      </c>
      <c r="O54" s="44">
        <f>IF(COUNTIF($Q$6:$Q$14,O$45)&gt;0,999999,INDEX('04_Matriz_Cambios'!$B$6:$R$22,MATCH($Q$14,'04_Matriz_Cambios'!$A$6:$A$22,0),MATCH(O$45,'04_Matriz_Cambios'!$B$5:$R$5,0)))</f>
        <v>0</v>
      </c>
      <c r="P54" s="44">
        <f>IF(COUNTIF($Q$6:$Q$14,P$45)&gt;0,999999,INDEX('04_Matriz_Cambios'!$B$6:$R$22,MATCH($Q$14,'04_Matriz_Cambios'!$A$6:$A$22,0),MATCH(P$45,'04_Matriz_Cambios'!$B$5:$R$5,0)))</f>
        <v>0</v>
      </c>
      <c r="Q54" s="44">
        <f>IF(COUNTIF($Q$6:$Q$14,Q$45)&gt;0,999999,INDEX('04_Matriz_Cambios'!$B$6:$R$22,MATCH($Q$14,'04_Matriz_Cambios'!$A$6:$A$22,0),MATCH(Q$45,'04_Matriz_Cambios'!$B$5:$R$5,0)))</f>
        <v>999999</v>
      </c>
      <c r="R54" s="44">
        <f>IF(COUNTIF($Q$6:$Q$14,R$45)&gt;0,999999,INDEX('04_Matriz_Cambios'!$B$6:$R$22,MATCH($Q$14,'04_Matriz_Cambios'!$A$6:$A$22,0),MATCH(R$45,'04_Matriz_Cambios'!$B$5:$R$5,0)))</f>
        <v>999999</v>
      </c>
    </row>
    <row r="55" spans="2:18" hidden="1" x14ac:dyDescent="0.2">
      <c r="B55" s="44">
        <f>IF(COUNTIF($Q$6:$Q$15,B$45)&gt;0,999999,INDEX('04_Matriz_Cambios'!$B$6:$R$22,MATCH($Q$15,'04_Matriz_Cambios'!$A$6:$A$22,0),MATCH(B$45,'04_Matriz_Cambios'!$B$5:$R$5,0)))</f>
        <v>999999</v>
      </c>
      <c r="C55" s="44">
        <f>IF(COUNTIF($Q$6:$Q$15,C$45)&gt;0,999999,INDEX('04_Matriz_Cambios'!$B$6:$R$22,MATCH($Q$15,'04_Matriz_Cambios'!$A$6:$A$22,0),MATCH(C$45,'04_Matriz_Cambios'!$B$5:$R$5,0)))</f>
        <v>999999</v>
      </c>
      <c r="D55" s="44">
        <f>IF(COUNTIF($Q$6:$Q$15,D$45)&gt;0,999999,INDEX('04_Matriz_Cambios'!$B$6:$R$22,MATCH($Q$15,'04_Matriz_Cambios'!$A$6:$A$22,0),MATCH(D$45,'04_Matriz_Cambios'!$B$5:$R$5,0)))</f>
        <v>999999</v>
      </c>
      <c r="E55" s="44">
        <f>IF(COUNTIF($Q$6:$Q$15,E$45)&gt;0,999999,INDEX('04_Matriz_Cambios'!$B$6:$R$22,MATCH($Q$15,'04_Matriz_Cambios'!$A$6:$A$22,0),MATCH(E$45,'04_Matriz_Cambios'!$B$5:$R$5,0)))</f>
        <v>999999</v>
      </c>
      <c r="F55" s="44">
        <f>IF(COUNTIF($Q$6:$Q$15,F$45)&gt;0,999999,INDEX('04_Matriz_Cambios'!$B$6:$R$22,MATCH($Q$15,'04_Matriz_Cambios'!$A$6:$A$22,0),MATCH(F$45,'04_Matriz_Cambios'!$B$5:$R$5,0)))</f>
        <v>120</v>
      </c>
      <c r="G55" s="44">
        <f>IF(COUNTIF($Q$6:$Q$15,G$45)&gt;0,999999,INDEX('04_Matriz_Cambios'!$B$6:$R$22,MATCH($Q$15,'04_Matriz_Cambios'!$A$6:$A$22,0),MATCH(G$45,'04_Matriz_Cambios'!$B$5:$R$5,0)))</f>
        <v>120</v>
      </c>
      <c r="H55" s="44">
        <f>IF(COUNTIF($Q$6:$Q$15,H$45)&gt;0,999999,INDEX('04_Matriz_Cambios'!$B$6:$R$22,MATCH($Q$15,'04_Matriz_Cambios'!$A$6:$A$22,0),MATCH(H$45,'04_Matriz_Cambios'!$B$5:$R$5,0)))</f>
        <v>999999</v>
      </c>
      <c r="I55" s="44">
        <f>IF(COUNTIF($Q$6:$Q$15,I$45)&gt;0,999999,INDEX('04_Matriz_Cambios'!$B$6:$R$22,MATCH($Q$15,'04_Matriz_Cambios'!$A$6:$A$22,0),MATCH(I$45,'04_Matriz_Cambios'!$B$5:$R$5,0)))</f>
        <v>120</v>
      </c>
      <c r="J55" s="44">
        <f>IF(COUNTIF($Q$6:$Q$15,J$45)&gt;0,999999,INDEX('04_Matriz_Cambios'!$B$6:$R$22,MATCH($Q$15,'04_Matriz_Cambios'!$A$6:$A$22,0),MATCH(J$45,'04_Matriz_Cambios'!$B$5:$R$5,0)))</f>
        <v>120</v>
      </c>
      <c r="K55" s="44">
        <f>IF(COUNTIF($Q$6:$Q$15,K$45)&gt;0,999999,INDEX('04_Matriz_Cambios'!$B$6:$R$22,MATCH($Q$15,'04_Matriz_Cambios'!$A$6:$A$22,0),MATCH(K$45,'04_Matriz_Cambios'!$B$5:$R$5,0)))</f>
        <v>120</v>
      </c>
      <c r="L55" s="44">
        <f>IF(COUNTIF($Q$6:$Q$15,L$45)&gt;0,999999,INDEX('04_Matriz_Cambios'!$B$6:$R$22,MATCH($Q$15,'04_Matriz_Cambios'!$A$6:$A$22,0),MATCH(L$45,'04_Matriz_Cambios'!$B$5:$R$5,0)))</f>
        <v>999999</v>
      </c>
      <c r="M55" s="44">
        <f>IF(COUNTIF($Q$6:$Q$15,M$45)&gt;0,999999,INDEX('04_Matriz_Cambios'!$B$6:$R$22,MATCH($Q$15,'04_Matriz_Cambios'!$A$6:$A$22,0),MATCH(M$45,'04_Matriz_Cambios'!$B$5:$R$5,0)))</f>
        <v>120</v>
      </c>
      <c r="N55" s="44">
        <f>IF(COUNTIF($Q$6:$Q$15,N$45)&gt;0,999999,INDEX('04_Matriz_Cambios'!$B$6:$R$22,MATCH($Q$15,'04_Matriz_Cambios'!$A$6:$A$22,0),MATCH(N$45,'04_Matriz_Cambios'!$B$5:$R$5,0)))</f>
        <v>999999</v>
      </c>
      <c r="O55" s="44">
        <f>IF(COUNTIF($Q$6:$Q$15,O$45)&gt;0,999999,INDEX('04_Matriz_Cambios'!$B$6:$R$22,MATCH($Q$15,'04_Matriz_Cambios'!$A$6:$A$22,0),MATCH(O$45,'04_Matriz_Cambios'!$B$5:$R$5,0)))</f>
        <v>999999</v>
      </c>
      <c r="P55" s="44">
        <f>IF(COUNTIF($Q$6:$Q$15,P$45)&gt;0,999999,INDEX('04_Matriz_Cambios'!$B$6:$R$22,MATCH($Q$15,'04_Matriz_Cambios'!$A$6:$A$22,0),MATCH(P$45,'04_Matriz_Cambios'!$B$5:$R$5,0)))</f>
        <v>0</v>
      </c>
      <c r="Q55" s="44">
        <f>IF(COUNTIF($Q$6:$Q$15,Q$45)&gt;0,999999,INDEX('04_Matriz_Cambios'!$B$6:$R$22,MATCH($Q$15,'04_Matriz_Cambios'!$A$6:$A$22,0),MATCH(Q$45,'04_Matriz_Cambios'!$B$5:$R$5,0)))</f>
        <v>999999</v>
      </c>
      <c r="R55" s="44">
        <f>IF(COUNTIF($Q$6:$Q$15,R$45)&gt;0,999999,INDEX('04_Matriz_Cambios'!$B$6:$R$22,MATCH($Q$15,'04_Matriz_Cambios'!$A$6:$A$22,0),MATCH(R$45,'04_Matriz_Cambios'!$B$5:$R$5,0)))</f>
        <v>999999</v>
      </c>
    </row>
    <row r="56" spans="2:18" hidden="1" x14ac:dyDescent="0.2">
      <c r="B56" s="44">
        <f>IF(COUNTIF($Q$6:$Q$16,B$45)&gt;0,999999,INDEX('04_Matriz_Cambios'!$B$6:$R$22,MATCH($Q$16,'04_Matriz_Cambios'!$A$6:$A$22,0),MATCH(B$45,'04_Matriz_Cambios'!$B$5:$R$5,0)))</f>
        <v>999999</v>
      </c>
      <c r="C56" s="44">
        <f>IF(COUNTIF($Q$6:$Q$16,C$45)&gt;0,999999,INDEX('04_Matriz_Cambios'!$B$6:$R$22,MATCH($Q$16,'04_Matriz_Cambios'!$A$6:$A$22,0),MATCH(C$45,'04_Matriz_Cambios'!$B$5:$R$5,0)))</f>
        <v>999999</v>
      </c>
      <c r="D56" s="44">
        <f>IF(COUNTIF($Q$6:$Q$16,D$45)&gt;0,999999,INDEX('04_Matriz_Cambios'!$B$6:$R$22,MATCH($Q$16,'04_Matriz_Cambios'!$A$6:$A$22,0),MATCH(D$45,'04_Matriz_Cambios'!$B$5:$R$5,0)))</f>
        <v>999999</v>
      </c>
      <c r="E56" s="44">
        <f>IF(COUNTIF($Q$6:$Q$16,E$45)&gt;0,999999,INDEX('04_Matriz_Cambios'!$B$6:$R$22,MATCH($Q$16,'04_Matriz_Cambios'!$A$6:$A$22,0),MATCH(E$45,'04_Matriz_Cambios'!$B$5:$R$5,0)))</f>
        <v>999999</v>
      </c>
      <c r="F56" s="44">
        <f>IF(COUNTIF($Q$6:$Q$16,F$45)&gt;0,999999,INDEX('04_Matriz_Cambios'!$B$6:$R$22,MATCH($Q$16,'04_Matriz_Cambios'!$A$6:$A$22,0),MATCH(F$45,'04_Matriz_Cambios'!$B$5:$R$5,0)))</f>
        <v>120</v>
      </c>
      <c r="G56" s="44">
        <f>IF(COUNTIF($Q$6:$Q$16,G$45)&gt;0,999999,INDEX('04_Matriz_Cambios'!$B$6:$R$22,MATCH($Q$16,'04_Matriz_Cambios'!$A$6:$A$22,0),MATCH(G$45,'04_Matriz_Cambios'!$B$5:$R$5,0)))</f>
        <v>120</v>
      </c>
      <c r="H56" s="44">
        <f>IF(COUNTIF($Q$6:$Q$16,H$45)&gt;0,999999,INDEX('04_Matriz_Cambios'!$B$6:$R$22,MATCH($Q$16,'04_Matriz_Cambios'!$A$6:$A$22,0),MATCH(H$45,'04_Matriz_Cambios'!$B$5:$R$5,0)))</f>
        <v>999999</v>
      </c>
      <c r="I56" s="44">
        <f>IF(COUNTIF($Q$6:$Q$16,I$45)&gt;0,999999,INDEX('04_Matriz_Cambios'!$B$6:$R$22,MATCH($Q$16,'04_Matriz_Cambios'!$A$6:$A$22,0),MATCH(I$45,'04_Matriz_Cambios'!$B$5:$R$5,0)))</f>
        <v>120</v>
      </c>
      <c r="J56" s="44">
        <f>IF(COUNTIF($Q$6:$Q$16,J$45)&gt;0,999999,INDEX('04_Matriz_Cambios'!$B$6:$R$22,MATCH($Q$16,'04_Matriz_Cambios'!$A$6:$A$22,0),MATCH(J$45,'04_Matriz_Cambios'!$B$5:$R$5,0)))</f>
        <v>120</v>
      </c>
      <c r="K56" s="44">
        <f>IF(COUNTIF($Q$6:$Q$16,K$45)&gt;0,999999,INDEX('04_Matriz_Cambios'!$B$6:$R$22,MATCH($Q$16,'04_Matriz_Cambios'!$A$6:$A$22,0),MATCH(K$45,'04_Matriz_Cambios'!$B$5:$R$5,0)))</f>
        <v>120</v>
      </c>
      <c r="L56" s="44">
        <f>IF(COUNTIF($Q$6:$Q$16,L$45)&gt;0,999999,INDEX('04_Matriz_Cambios'!$B$6:$R$22,MATCH($Q$16,'04_Matriz_Cambios'!$A$6:$A$22,0),MATCH(L$45,'04_Matriz_Cambios'!$B$5:$R$5,0)))</f>
        <v>999999</v>
      </c>
      <c r="M56" s="44">
        <f>IF(COUNTIF($Q$6:$Q$16,M$45)&gt;0,999999,INDEX('04_Matriz_Cambios'!$B$6:$R$22,MATCH($Q$16,'04_Matriz_Cambios'!$A$6:$A$22,0),MATCH(M$45,'04_Matriz_Cambios'!$B$5:$R$5,0)))</f>
        <v>120</v>
      </c>
      <c r="N56" s="44">
        <f>IF(COUNTIF($Q$6:$Q$16,N$45)&gt;0,999999,INDEX('04_Matriz_Cambios'!$B$6:$R$22,MATCH($Q$16,'04_Matriz_Cambios'!$A$6:$A$22,0),MATCH(N$45,'04_Matriz_Cambios'!$B$5:$R$5,0)))</f>
        <v>999999</v>
      </c>
      <c r="O56" s="44">
        <f>IF(COUNTIF($Q$6:$Q$16,O$45)&gt;0,999999,INDEX('04_Matriz_Cambios'!$B$6:$R$22,MATCH($Q$16,'04_Matriz_Cambios'!$A$6:$A$22,0),MATCH(O$45,'04_Matriz_Cambios'!$B$5:$R$5,0)))</f>
        <v>999999</v>
      </c>
      <c r="P56" s="44">
        <f>IF(COUNTIF($Q$6:$Q$16,P$45)&gt;0,999999,INDEX('04_Matriz_Cambios'!$B$6:$R$22,MATCH($Q$16,'04_Matriz_Cambios'!$A$6:$A$22,0),MATCH(P$45,'04_Matriz_Cambios'!$B$5:$R$5,0)))</f>
        <v>999999</v>
      </c>
      <c r="Q56" s="44">
        <f>IF(COUNTIF($Q$6:$Q$16,Q$45)&gt;0,999999,INDEX('04_Matriz_Cambios'!$B$6:$R$22,MATCH($Q$16,'04_Matriz_Cambios'!$A$6:$A$22,0),MATCH(Q$45,'04_Matriz_Cambios'!$B$5:$R$5,0)))</f>
        <v>999999</v>
      </c>
      <c r="R56" s="44">
        <f>IF(COUNTIF($Q$6:$Q$16,R$45)&gt;0,999999,INDEX('04_Matriz_Cambios'!$B$6:$R$22,MATCH($Q$16,'04_Matriz_Cambios'!$A$6:$A$22,0),MATCH(R$45,'04_Matriz_Cambios'!$B$5:$R$5,0)))</f>
        <v>999999</v>
      </c>
    </row>
    <row r="57" spans="2:18" hidden="1" x14ac:dyDescent="0.2">
      <c r="B57" s="44">
        <f>IF(COUNTIF($Q$6:$Q$17,B$45)&gt;0,999999,INDEX('04_Matriz_Cambios'!$B$6:$R$22,MATCH($Q$17,'04_Matriz_Cambios'!$A$6:$A$22,0),MATCH(B$45,'04_Matriz_Cambios'!$B$5:$R$5,0)))</f>
        <v>999999</v>
      </c>
      <c r="C57" s="44">
        <f>IF(COUNTIF($Q$6:$Q$17,C$45)&gt;0,999999,INDEX('04_Matriz_Cambios'!$B$6:$R$22,MATCH($Q$17,'04_Matriz_Cambios'!$A$6:$A$22,0),MATCH(C$45,'04_Matriz_Cambios'!$B$5:$R$5,0)))</f>
        <v>999999</v>
      </c>
      <c r="D57" s="44">
        <f>IF(COUNTIF($Q$6:$Q$17,D$45)&gt;0,999999,INDEX('04_Matriz_Cambios'!$B$6:$R$22,MATCH($Q$17,'04_Matriz_Cambios'!$A$6:$A$22,0),MATCH(D$45,'04_Matriz_Cambios'!$B$5:$R$5,0)))</f>
        <v>999999</v>
      </c>
      <c r="E57" s="44">
        <f>IF(COUNTIF($Q$6:$Q$17,E$45)&gt;0,999999,INDEX('04_Matriz_Cambios'!$B$6:$R$22,MATCH($Q$17,'04_Matriz_Cambios'!$A$6:$A$22,0),MATCH(E$45,'04_Matriz_Cambios'!$B$5:$R$5,0)))</f>
        <v>999999</v>
      </c>
      <c r="F57" s="44">
        <f>IF(COUNTIF($Q$6:$Q$17,F$45)&gt;0,999999,INDEX('04_Matriz_Cambios'!$B$6:$R$22,MATCH($Q$17,'04_Matriz_Cambios'!$A$6:$A$22,0),MATCH(F$45,'04_Matriz_Cambios'!$B$5:$R$5,0)))</f>
        <v>999999</v>
      </c>
      <c r="G57" s="44">
        <f>IF(COUNTIF($Q$6:$Q$17,G$45)&gt;0,999999,INDEX('04_Matriz_Cambios'!$B$6:$R$22,MATCH($Q$17,'04_Matriz_Cambios'!$A$6:$A$22,0),MATCH(G$45,'04_Matriz_Cambios'!$B$5:$R$5,0)))</f>
        <v>0</v>
      </c>
      <c r="H57" s="44">
        <f>IF(COUNTIF($Q$6:$Q$17,H$45)&gt;0,999999,INDEX('04_Matriz_Cambios'!$B$6:$R$22,MATCH($Q$17,'04_Matriz_Cambios'!$A$6:$A$22,0),MATCH(H$45,'04_Matriz_Cambios'!$B$5:$R$5,0)))</f>
        <v>999999</v>
      </c>
      <c r="I57" s="44">
        <f>IF(COUNTIF($Q$6:$Q$17,I$45)&gt;0,999999,INDEX('04_Matriz_Cambios'!$B$6:$R$22,MATCH($Q$17,'04_Matriz_Cambios'!$A$6:$A$22,0),MATCH(I$45,'04_Matriz_Cambios'!$B$5:$R$5,0)))</f>
        <v>0</v>
      </c>
      <c r="J57" s="44">
        <f>IF(COUNTIF($Q$6:$Q$17,J$45)&gt;0,999999,INDEX('04_Matriz_Cambios'!$B$6:$R$22,MATCH($Q$17,'04_Matriz_Cambios'!$A$6:$A$22,0),MATCH(J$45,'04_Matriz_Cambios'!$B$5:$R$5,0)))</f>
        <v>180</v>
      </c>
      <c r="K57" s="44">
        <f>IF(COUNTIF($Q$6:$Q$17,K$45)&gt;0,999999,INDEX('04_Matriz_Cambios'!$B$6:$R$22,MATCH($Q$17,'04_Matriz_Cambios'!$A$6:$A$22,0),MATCH(K$45,'04_Matriz_Cambios'!$B$5:$R$5,0)))</f>
        <v>180</v>
      </c>
      <c r="L57" s="44">
        <f>IF(COUNTIF($Q$6:$Q$17,L$45)&gt;0,999999,INDEX('04_Matriz_Cambios'!$B$6:$R$22,MATCH($Q$17,'04_Matriz_Cambios'!$A$6:$A$22,0),MATCH(L$45,'04_Matriz_Cambios'!$B$5:$R$5,0)))</f>
        <v>999999</v>
      </c>
      <c r="M57" s="44">
        <f>IF(COUNTIF($Q$6:$Q$17,M$45)&gt;0,999999,INDEX('04_Matriz_Cambios'!$B$6:$R$22,MATCH($Q$17,'04_Matriz_Cambios'!$A$6:$A$22,0),MATCH(M$45,'04_Matriz_Cambios'!$B$5:$R$5,0)))</f>
        <v>180</v>
      </c>
      <c r="N57" s="44">
        <f>IF(COUNTIF($Q$6:$Q$17,N$45)&gt;0,999999,INDEX('04_Matriz_Cambios'!$B$6:$R$22,MATCH($Q$17,'04_Matriz_Cambios'!$A$6:$A$22,0),MATCH(N$45,'04_Matriz_Cambios'!$B$5:$R$5,0)))</f>
        <v>999999</v>
      </c>
      <c r="O57" s="44">
        <f>IF(COUNTIF($Q$6:$Q$17,O$45)&gt;0,999999,INDEX('04_Matriz_Cambios'!$B$6:$R$22,MATCH($Q$17,'04_Matriz_Cambios'!$A$6:$A$22,0),MATCH(O$45,'04_Matriz_Cambios'!$B$5:$R$5,0)))</f>
        <v>999999</v>
      </c>
      <c r="P57" s="44">
        <f>IF(COUNTIF($Q$6:$Q$17,P$45)&gt;0,999999,INDEX('04_Matriz_Cambios'!$B$6:$R$22,MATCH($Q$17,'04_Matriz_Cambios'!$A$6:$A$22,0),MATCH(P$45,'04_Matriz_Cambios'!$B$5:$R$5,0)))</f>
        <v>999999</v>
      </c>
      <c r="Q57" s="44">
        <f>IF(COUNTIF($Q$6:$Q$17,Q$45)&gt;0,999999,INDEX('04_Matriz_Cambios'!$B$6:$R$22,MATCH($Q$17,'04_Matriz_Cambios'!$A$6:$A$22,0),MATCH(Q$45,'04_Matriz_Cambios'!$B$5:$R$5,0)))</f>
        <v>999999</v>
      </c>
      <c r="R57" s="44">
        <f>IF(COUNTIF($Q$6:$Q$17,R$45)&gt;0,999999,INDEX('04_Matriz_Cambios'!$B$6:$R$22,MATCH($Q$17,'04_Matriz_Cambios'!$A$6:$A$22,0),MATCH(R$45,'04_Matriz_Cambios'!$B$5:$R$5,0)))</f>
        <v>999999</v>
      </c>
    </row>
    <row r="58" spans="2:18" hidden="1" x14ac:dyDescent="0.2">
      <c r="B58" s="44">
        <f>IF(COUNTIF($Q$6:$Q$18,B$45)&gt;0,999999,INDEX('04_Matriz_Cambios'!$B$6:$R$22,MATCH($Q$18,'04_Matriz_Cambios'!$A$6:$A$22,0),MATCH(B$45,'04_Matriz_Cambios'!$B$5:$R$5,0)))</f>
        <v>999999</v>
      </c>
      <c r="C58" s="44">
        <f>IF(COUNTIF($Q$6:$Q$18,C$45)&gt;0,999999,INDEX('04_Matriz_Cambios'!$B$6:$R$22,MATCH($Q$18,'04_Matriz_Cambios'!$A$6:$A$22,0),MATCH(C$45,'04_Matriz_Cambios'!$B$5:$R$5,0)))</f>
        <v>999999</v>
      </c>
      <c r="D58" s="44">
        <f>IF(COUNTIF($Q$6:$Q$18,D$45)&gt;0,999999,INDEX('04_Matriz_Cambios'!$B$6:$R$22,MATCH($Q$18,'04_Matriz_Cambios'!$A$6:$A$22,0),MATCH(D$45,'04_Matriz_Cambios'!$B$5:$R$5,0)))</f>
        <v>999999</v>
      </c>
      <c r="E58" s="44">
        <f>IF(COUNTIF($Q$6:$Q$18,E$45)&gt;0,999999,INDEX('04_Matriz_Cambios'!$B$6:$R$22,MATCH($Q$18,'04_Matriz_Cambios'!$A$6:$A$22,0),MATCH(E$45,'04_Matriz_Cambios'!$B$5:$R$5,0)))</f>
        <v>999999</v>
      </c>
      <c r="F58" s="44">
        <f>IF(COUNTIF($Q$6:$Q$18,F$45)&gt;0,999999,INDEX('04_Matriz_Cambios'!$B$6:$R$22,MATCH($Q$18,'04_Matriz_Cambios'!$A$6:$A$22,0),MATCH(F$45,'04_Matriz_Cambios'!$B$5:$R$5,0)))</f>
        <v>999999</v>
      </c>
      <c r="G58" s="44">
        <f>IF(COUNTIF($Q$6:$Q$18,G$45)&gt;0,999999,INDEX('04_Matriz_Cambios'!$B$6:$R$22,MATCH($Q$18,'04_Matriz_Cambios'!$A$6:$A$22,0),MATCH(G$45,'04_Matriz_Cambios'!$B$5:$R$5,0)))</f>
        <v>999999</v>
      </c>
      <c r="H58" s="44">
        <f>IF(COUNTIF($Q$6:$Q$18,H$45)&gt;0,999999,INDEX('04_Matriz_Cambios'!$B$6:$R$22,MATCH($Q$18,'04_Matriz_Cambios'!$A$6:$A$22,0),MATCH(H$45,'04_Matriz_Cambios'!$B$5:$R$5,0)))</f>
        <v>999999</v>
      </c>
      <c r="I58" s="44">
        <f>IF(COUNTIF($Q$6:$Q$18,I$45)&gt;0,999999,INDEX('04_Matriz_Cambios'!$B$6:$R$22,MATCH($Q$18,'04_Matriz_Cambios'!$A$6:$A$22,0),MATCH(I$45,'04_Matriz_Cambios'!$B$5:$R$5,0)))</f>
        <v>0</v>
      </c>
      <c r="J58" s="44">
        <f>IF(COUNTIF($Q$6:$Q$18,J$45)&gt;0,999999,INDEX('04_Matriz_Cambios'!$B$6:$R$22,MATCH($Q$18,'04_Matriz_Cambios'!$A$6:$A$22,0),MATCH(J$45,'04_Matriz_Cambios'!$B$5:$R$5,0)))</f>
        <v>180</v>
      </c>
      <c r="K58" s="44">
        <f>IF(COUNTIF($Q$6:$Q$18,K$45)&gt;0,999999,INDEX('04_Matriz_Cambios'!$B$6:$R$22,MATCH($Q$18,'04_Matriz_Cambios'!$A$6:$A$22,0),MATCH(K$45,'04_Matriz_Cambios'!$B$5:$R$5,0)))</f>
        <v>180</v>
      </c>
      <c r="L58" s="44">
        <f>IF(COUNTIF($Q$6:$Q$18,L$45)&gt;0,999999,INDEX('04_Matriz_Cambios'!$B$6:$R$22,MATCH($Q$18,'04_Matriz_Cambios'!$A$6:$A$22,0),MATCH(L$45,'04_Matriz_Cambios'!$B$5:$R$5,0)))</f>
        <v>999999</v>
      </c>
      <c r="M58" s="44">
        <f>IF(COUNTIF($Q$6:$Q$18,M$45)&gt;0,999999,INDEX('04_Matriz_Cambios'!$B$6:$R$22,MATCH($Q$18,'04_Matriz_Cambios'!$A$6:$A$22,0),MATCH(M$45,'04_Matriz_Cambios'!$B$5:$R$5,0)))</f>
        <v>180</v>
      </c>
      <c r="N58" s="44">
        <f>IF(COUNTIF($Q$6:$Q$18,N$45)&gt;0,999999,INDEX('04_Matriz_Cambios'!$B$6:$R$22,MATCH($Q$18,'04_Matriz_Cambios'!$A$6:$A$22,0),MATCH(N$45,'04_Matriz_Cambios'!$B$5:$R$5,0)))</f>
        <v>999999</v>
      </c>
      <c r="O58" s="44">
        <f>IF(COUNTIF($Q$6:$Q$18,O$45)&gt;0,999999,INDEX('04_Matriz_Cambios'!$B$6:$R$22,MATCH($Q$18,'04_Matriz_Cambios'!$A$6:$A$22,0),MATCH(O$45,'04_Matriz_Cambios'!$B$5:$R$5,0)))</f>
        <v>999999</v>
      </c>
      <c r="P58" s="44">
        <f>IF(COUNTIF($Q$6:$Q$18,P$45)&gt;0,999999,INDEX('04_Matriz_Cambios'!$B$6:$R$22,MATCH($Q$18,'04_Matriz_Cambios'!$A$6:$A$22,0),MATCH(P$45,'04_Matriz_Cambios'!$B$5:$R$5,0)))</f>
        <v>999999</v>
      </c>
      <c r="Q58" s="44">
        <f>IF(COUNTIF($Q$6:$Q$18,Q$45)&gt;0,999999,INDEX('04_Matriz_Cambios'!$B$6:$R$22,MATCH($Q$18,'04_Matriz_Cambios'!$A$6:$A$22,0),MATCH(Q$45,'04_Matriz_Cambios'!$B$5:$R$5,0)))</f>
        <v>999999</v>
      </c>
      <c r="R58" s="44">
        <f>IF(COUNTIF($Q$6:$Q$18,R$45)&gt;0,999999,INDEX('04_Matriz_Cambios'!$B$6:$R$22,MATCH($Q$18,'04_Matriz_Cambios'!$A$6:$A$22,0),MATCH(R$45,'04_Matriz_Cambios'!$B$5:$R$5,0)))</f>
        <v>999999</v>
      </c>
    </row>
    <row r="59" spans="2:18" hidden="1" x14ac:dyDescent="0.2">
      <c r="B59" s="44">
        <f>IF(COUNTIF($Q$6:$Q$19,B$45)&gt;0,999999,INDEX('04_Matriz_Cambios'!$B$6:$R$22,MATCH($Q$19,'04_Matriz_Cambios'!$A$6:$A$22,0),MATCH(B$45,'04_Matriz_Cambios'!$B$5:$R$5,0)))</f>
        <v>999999</v>
      </c>
      <c r="C59" s="44">
        <f>IF(COUNTIF($Q$6:$Q$19,C$45)&gt;0,999999,INDEX('04_Matriz_Cambios'!$B$6:$R$22,MATCH($Q$19,'04_Matriz_Cambios'!$A$6:$A$22,0),MATCH(C$45,'04_Matriz_Cambios'!$B$5:$R$5,0)))</f>
        <v>999999</v>
      </c>
      <c r="D59" s="44">
        <f>IF(COUNTIF($Q$6:$Q$19,D$45)&gt;0,999999,INDEX('04_Matriz_Cambios'!$B$6:$R$22,MATCH($Q$19,'04_Matriz_Cambios'!$A$6:$A$22,0),MATCH(D$45,'04_Matriz_Cambios'!$B$5:$R$5,0)))</f>
        <v>999999</v>
      </c>
      <c r="E59" s="44">
        <f>IF(COUNTIF($Q$6:$Q$19,E$45)&gt;0,999999,INDEX('04_Matriz_Cambios'!$B$6:$R$22,MATCH($Q$19,'04_Matriz_Cambios'!$A$6:$A$22,0),MATCH(E$45,'04_Matriz_Cambios'!$B$5:$R$5,0)))</f>
        <v>999999</v>
      </c>
      <c r="F59" s="44">
        <f>IF(COUNTIF($Q$6:$Q$19,F$45)&gt;0,999999,INDEX('04_Matriz_Cambios'!$B$6:$R$22,MATCH($Q$19,'04_Matriz_Cambios'!$A$6:$A$22,0),MATCH(F$45,'04_Matriz_Cambios'!$B$5:$R$5,0)))</f>
        <v>999999</v>
      </c>
      <c r="G59" s="44">
        <f>IF(COUNTIF($Q$6:$Q$19,G$45)&gt;0,999999,INDEX('04_Matriz_Cambios'!$B$6:$R$22,MATCH($Q$19,'04_Matriz_Cambios'!$A$6:$A$22,0),MATCH(G$45,'04_Matriz_Cambios'!$B$5:$R$5,0)))</f>
        <v>999999</v>
      </c>
      <c r="H59" s="44">
        <f>IF(COUNTIF($Q$6:$Q$19,H$45)&gt;0,999999,INDEX('04_Matriz_Cambios'!$B$6:$R$22,MATCH($Q$19,'04_Matriz_Cambios'!$A$6:$A$22,0),MATCH(H$45,'04_Matriz_Cambios'!$B$5:$R$5,0)))</f>
        <v>999999</v>
      </c>
      <c r="I59" s="44">
        <f>IF(COUNTIF($Q$6:$Q$19,I$45)&gt;0,999999,INDEX('04_Matriz_Cambios'!$B$6:$R$22,MATCH($Q$19,'04_Matriz_Cambios'!$A$6:$A$22,0),MATCH(I$45,'04_Matriz_Cambios'!$B$5:$R$5,0)))</f>
        <v>999999</v>
      </c>
      <c r="J59" s="44">
        <f>IF(COUNTIF($Q$6:$Q$19,J$45)&gt;0,999999,INDEX('04_Matriz_Cambios'!$B$6:$R$22,MATCH($Q$19,'04_Matriz_Cambios'!$A$6:$A$22,0),MATCH(J$45,'04_Matriz_Cambios'!$B$5:$R$5,0)))</f>
        <v>180</v>
      </c>
      <c r="K59" s="44">
        <f>IF(COUNTIF($Q$6:$Q$19,K$45)&gt;0,999999,INDEX('04_Matriz_Cambios'!$B$6:$R$22,MATCH($Q$19,'04_Matriz_Cambios'!$A$6:$A$22,0),MATCH(K$45,'04_Matriz_Cambios'!$B$5:$R$5,0)))</f>
        <v>180</v>
      </c>
      <c r="L59" s="44">
        <f>IF(COUNTIF($Q$6:$Q$19,L$45)&gt;0,999999,INDEX('04_Matriz_Cambios'!$B$6:$R$22,MATCH($Q$19,'04_Matriz_Cambios'!$A$6:$A$22,0),MATCH(L$45,'04_Matriz_Cambios'!$B$5:$R$5,0)))</f>
        <v>999999</v>
      </c>
      <c r="M59" s="44">
        <f>IF(COUNTIF($Q$6:$Q$19,M$45)&gt;0,999999,INDEX('04_Matriz_Cambios'!$B$6:$R$22,MATCH($Q$19,'04_Matriz_Cambios'!$A$6:$A$22,0),MATCH(M$45,'04_Matriz_Cambios'!$B$5:$R$5,0)))</f>
        <v>180</v>
      </c>
      <c r="N59" s="44">
        <f>IF(COUNTIF($Q$6:$Q$19,N$45)&gt;0,999999,INDEX('04_Matriz_Cambios'!$B$6:$R$22,MATCH($Q$19,'04_Matriz_Cambios'!$A$6:$A$22,0),MATCH(N$45,'04_Matriz_Cambios'!$B$5:$R$5,0)))</f>
        <v>999999</v>
      </c>
      <c r="O59" s="44">
        <f>IF(COUNTIF($Q$6:$Q$19,O$45)&gt;0,999999,INDEX('04_Matriz_Cambios'!$B$6:$R$22,MATCH($Q$19,'04_Matriz_Cambios'!$A$6:$A$22,0),MATCH(O$45,'04_Matriz_Cambios'!$B$5:$R$5,0)))</f>
        <v>999999</v>
      </c>
      <c r="P59" s="44">
        <f>IF(COUNTIF($Q$6:$Q$19,P$45)&gt;0,999999,INDEX('04_Matriz_Cambios'!$B$6:$R$22,MATCH($Q$19,'04_Matriz_Cambios'!$A$6:$A$22,0),MATCH(P$45,'04_Matriz_Cambios'!$B$5:$R$5,0)))</f>
        <v>999999</v>
      </c>
      <c r="Q59" s="44">
        <f>IF(COUNTIF($Q$6:$Q$19,Q$45)&gt;0,999999,INDEX('04_Matriz_Cambios'!$B$6:$R$22,MATCH($Q$19,'04_Matriz_Cambios'!$A$6:$A$22,0),MATCH(Q$45,'04_Matriz_Cambios'!$B$5:$R$5,0)))</f>
        <v>999999</v>
      </c>
      <c r="R59" s="44">
        <f>IF(COUNTIF($Q$6:$Q$19,R$45)&gt;0,999999,INDEX('04_Matriz_Cambios'!$B$6:$R$22,MATCH($Q$19,'04_Matriz_Cambios'!$A$6:$A$22,0),MATCH(R$45,'04_Matriz_Cambios'!$B$5:$R$5,0)))</f>
        <v>999999</v>
      </c>
    </row>
    <row r="60" spans="2:18" hidden="1" x14ac:dyDescent="0.2">
      <c r="B60" s="44">
        <f>IF(COUNTIF($Q$6:$Q$20,B$45)&gt;0,999999,INDEX('04_Matriz_Cambios'!$B$6:$R$22,MATCH($Q$20,'04_Matriz_Cambios'!$A$6:$A$22,0),MATCH(B$45,'04_Matriz_Cambios'!$B$5:$R$5,0)))</f>
        <v>999999</v>
      </c>
      <c r="C60" s="44">
        <f>IF(COUNTIF($Q$6:$Q$20,C$45)&gt;0,999999,INDEX('04_Matriz_Cambios'!$B$6:$R$22,MATCH($Q$20,'04_Matriz_Cambios'!$A$6:$A$22,0),MATCH(C$45,'04_Matriz_Cambios'!$B$5:$R$5,0)))</f>
        <v>999999</v>
      </c>
      <c r="D60" s="44">
        <f>IF(COUNTIF($Q$6:$Q$20,D$45)&gt;0,999999,INDEX('04_Matriz_Cambios'!$B$6:$R$22,MATCH($Q$20,'04_Matriz_Cambios'!$A$6:$A$22,0),MATCH(D$45,'04_Matriz_Cambios'!$B$5:$R$5,0)))</f>
        <v>999999</v>
      </c>
      <c r="E60" s="44">
        <f>IF(COUNTIF($Q$6:$Q$20,E$45)&gt;0,999999,INDEX('04_Matriz_Cambios'!$B$6:$R$22,MATCH($Q$20,'04_Matriz_Cambios'!$A$6:$A$22,0),MATCH(E$45,'04_Matriz_Cambios'!$B$5:$R$5,0)))</f>
        <v>999999</v>
      </c>
      <c r="F60" s="44">
        <f>IF(COUNTIF($Q$6:$Q$20,F$45)&gt;0,999999,INDEX('04_Matriz_Cambios'!$B$6:$R$22,MATCH($Q$20,'04_Matriz_Cambios'!$A$6:$A$22,0),MATCH(F$45,'04_Matriz_Cambios'!$B$5:$R$5,0)))</f>
        <v>999999</v>
      </c>
      <c r="G60" s="44">
        <f>IF(COUNTIF($Q$6:$Q$20,G$45)&gt;0,999999,INDEX('04_Matriz_Cambios'!$B$6:$R$22,MATCH($Q$20,'04_Matriz_Cambios'!$A$6:$A$22,0),MATCH(G$45,'04_Matriz_Cambios'!$B$5:$R$5,0)))</f>
        <v>999999</v>
      </c>
      <c r="H60" s="44">
        <f>IF(COUNTIF($Q$6:$Q$20,H$45)&gt;0,999999,INDEX('04_Matriz_Cambios'!$B$6:$R$22,MATCH($Q$20,'04_Matriz_Cambios'!$A$6:$A$22,0),MATCH(H$45,'04_Matriz_Cambios'!$B$5:$R$5,0)))</f>
        <v>999999</v>
      </c>
      <c r="I60" s="44">
        <f>IF(COUNTIF($Q$6:$Q$20,I$45)&gt;0,999999,INDEX('04_Matriz_Cambios'!$B$6:$R$22,MATCH($Q$20,'04_Matriz_Cambios'!$A$6:$A$22,0),MATCH(I$45,'04_Matriz_Cambios'!$B$5:$R$5,0)))</f>
        <v>999999</v>
      </c>
      <c r="J60" s="44">
        <f>IF(COUNTIF($Q$6:$Q$20,J$45)&gt;0,999999,INDEX('04_Matriz_Cambios'!$B$6:$R$22,MATCH($Q$20,'04_Matriz_Cambios'!$A$6:$A$22,0),MATCH(J$45,'04_Matriz_Cambios'!$B$5:$R$5,0)))</f>
        <v>999999</v>
      </c>
      <c r="K60" s="44">
        <f>IF(COUNTIF($Q$6:$Q$20,K$45)&gt;0,999999,INDEX('04_Matriz_Cambios'!$B$6:$R$22,MATCH($Q$20,'04_Matriz_Cambios'!$A$6:$A$22,0),MATCH(K$45,'04_Matriz_Cambios'!$B$5:$R$5,0)))</f>
        <v>120</v>
      </c>
      <c r="L60" s="44">
        <f>IF(COUNTIF($Q$6:$Q$20,L$45)&gt;0,999999,INDEX('04_Matriz_Cambios'!$B$6:$R$22,MATCH($Q$20,'04_Matriz_Cambios'!$A$6:$A$22,0),MATCH(L$45,'04_Matriz_Cambios'!$B$5:$R$5,0)))</f>
        <v>999999</v>
      </c>
      <c r="M60" s="44">
        <f>IF(COUNTIF($Q$6:$Q$20,M$45)&gt;0,999999,INDEX('04_Matriz_Cambios'!$B$6:$R$22,MATCH($Q$20,'04_Matriz_Cambios'!$A$6:$A$22,0),MATCH(M$45,'04_Matriz_Cambios'!$B$5:$R$5,0)))</f>
        <v>120</v>
      </c>
      <c r="N60" s="44">
        <f>IF(COUNTIF($Q$6:$Q$20,N$45)&gt;0,999999,INDEX('04_Matriz_Cambios'!$B$6:$R$22,MATCH($Q$20,'04_Matriz_Cambios'!$A$6:$A$22,0),MATCH(N$45,'04_Matriz_Cambios'!$B$5:$R$5,0)))</f>
        <v>999999</v>
      </c>
      <c r="O60" s="44">
        <f>IF(COUNTIF($Q$6:$Q$20,O$45)&gt;0,999999,INDEX('04_Matriz_Cambios'!$B$6:$R$22,MATCH($Q$20,'04_Matriz_Cambios'!$A$6:$A$22,0),MATCH(O$45,'04_Matriz_Cambios'!$B$5:$R$5,0)))</f>
        <v>999999</v>
      </c>
      <c r="P60" s="44">
        <f>IF(COUNTIF($Q$6:$Q$20,P$45)&gt;0,999999,INDEX('04_Matriz_Cambios'!$B$6:$R$22,MATCH($Q$20,'04_Matriz_Cambios'!$A$6:$A$22,0),MATCH(P$45,'04_Matriz_Cambios'!$B$5:$R$5,0)))</f>
        <v>999999</v>
      </c>
      <c r="Q60" s="44">
        <f>IF(COUNTIF($Q$6:$Q$20,Q$45)&gt;0,999999,INDEX('04_Matriz_Cambios'!$B$6:$R$22,MATCH($Q$20,'04_Matriz_Cambios'!$A$6:$A$22,0),MATCH(Q$45,'04_Matriz_Cambios'!$B$5:$R$5,0)))</f>
        <v>999999</v>
      </c>
      <c r="R60" s="44">
        <f>IF(COUNTIF($Q$6:$Q$20,R$45)&gt;0,999999,INDEX('04_Matriz_Cambios'!$B$6:$R$22,MATCH($Q$20,'04_Matriz_Cambios'!$A$6:$A$22,0),MATCH(R$45,'04_Matriz_Cambios'!$B$5:$R$5,0)))</f>
        <v>999999</v>
      </c>
    </row>
    <row r="61" spans="2:18" hidden="1" x14ac:dyDescent="0.2">
      <c r="B61" s="44">
        <f>IF(COUNTIF($Q$6:$Q$21,B$45)&gt;0,999999,INDEX('04_Matriz_Cambios'!$B$6:$R$22,MATCH($Q$21,'04_Matriz_Cambios'!$A$6:$A$22,0),MATCH(B$45,'04_Matriz_Cambios'!$B$5:$R$5,0)))</f>
        <v>999999</v>
      </c>
      <c r="C61" s="44">
        <f>IF(COUNTIF($Q$6:$Q$21,C$45)&gt;0,999999,INDEX('04_Matriz_Cambios'!$B$6:$R$22,MATCH($Q$21,'04_Matriz_Cambios'!$A$6:$A$22,0),MATCH(C$45,'04_Matriz_Cambios'!$B$5:$R$5,0)))</f>
        <v>999999</v>
      </c>
      <c r="D61" s="44">
        <f>IF(COUNTIF($Q$6:$Q$21,D$45)&gt;0,999999,INDEX('04_Matriz_Cambios'!$B$6:$R$22,MATCH($Q$21,'04_Matriz_Cambios'!$A$6:$A$22,0),MATCH(D$45,'04_Matriz_Cambios'!$B$5:$R$5,0)))</f>
        <v>999999</v>
      </c>
      <c r="E61" s="44">
        <f>IF(COUNTIF($Q$6:$Q$21,E$45)&gt;0,999999,INDEX('04_Matriz_Cambios'!$B$6:$R$22,MATCH($Q$21,'04_Matriz_Cambios'!$A$6:$A$22,0),MATCH(E$45,'04_Matriz_Cambios'!$B$5:$R$5,0)))</f>
        <v>999999</v>
      </c>
      <c r="F61" s="44">
        <f>IF(COUNTIF($Q$6:$Q$21,F$45)&gt;0,999999,INDEX('04_Matriz_Cambios'!$B$6:$R$22,MATCH($Q$21,'04_Matriz_Cambios'!$A$6:$A$22,0),MATCH(F$45,'04_Matriz_Cambios'!$B$5:$R$5,0)))</f>
        <v>999999</v>
      </c>
      <c r="G61" s="44">
        <f>IF(COUNTIF($Q$6:$Q$21,G$45)&gt;0,999999,INDEX('04_Matriz_Cambios'!$B$6:$R$22,MATCH($Q$21,'04_Matriz_Cambios'!$A$6:$A$22,0),MATCH(G$45,'04_Matriz_Cambios'!$B$5:$R$5,0)))</f>
        <v>999999</v>
      </c>
      <c r="H61" s="44">
        <f>IF(COUNTIF($Q$6:$Q$21,H$45)&gt;0,999999,INDEX('04_Matriz_Cambios'!$B$6:$R$22,MATCH($Q$21,'04_Matriz_Cambios'!$A$6:$A$22,0),MATCH(H$45,'04_Matriz_Cambios'!$B$5:$R$5,0)))</f>
        <v>999999</v>
      </c>
      <c r="I61" s="44">
        <f>IF(COUNTIF($Q$6:$Q$21,I$45)&gt;0,999999,INDEX('04_Matriz_Cambios'!$B$6:$R$22,MATCH($Q$21,'04_Matriz_Cambios'!$A$6:$A$22,0),MATCH(I$45,'04_Matriz_Cambios'!$B$5:$R$5,0)))</f>
        <v>999999</v>
      </c>
      <c r="J61" s="44">
        <f>IF(COUNTIF($Q$6:$Q$21,J$45)&gt;0,999999,INDEX('04_Matriz_Cambios'!$B$6:$R$22,MATCH($Q$21,'04_Matriz_Cambios'!$A$6:$A$22,0),MATCH(J$45,'04_Matriz_Cambios'!$B$5:$R$5,0)))</f>
        <v>999999</v>
      </c>
      <c r="K61" s="44">
        <f>IF(COUNTIF($Q$6:$Q$21,K$45)&gt;0,999999,INDEX('04_Matriz_Cambios'!$B$6:$R$22,MATCH($Q$21,'04_Matriz_Cambios'!$A$6:$A$22,0),MATCH(K$45,'04_Matriz_Cambios'!$B$5:$R$5,0)))</f>
        <v>999999</v>
      </c>
      <c r="L61" s="44">
        <f>IF(COUNTIF($Q$6:$Q$21,L$45)&gt;0,999999,INDEX('04_Matriz_Cambios'!$B$6:$R$22,MATCH($Q$21,'04_Matriz_Cambios'!$A$6:$A$22,0),MATCH(L$45,'04_Matriz_Cambios'!$B$5:$R$5,0)))</f>
        <v>999999</v>
      </c>
      <c r="M61" s="44">
        <f>IF(COUNTIF($Q$6:$Q$21,M$45)&gt;0,999999,INDEX('04_Matriz_Cambios'!$B$6:$R$22,MATCH($Q$21,'04_Matriz_Cambios'!$A$6:$A$22,0),MATCH(M$45,'04_Matriz_Cambios'!$B$5:$R$5,0)))</f>
        <v>120</v>
      </c>
      <c r="N61" s="44">
        <f>IF(COUNTIF($Q$6:$Q$21,N$45)&gt;0,999999,INDEX('04_Matriz_Cambios'!$B$6:$R$22,MATCH($Q$21,'04_Matriz_Cambios'!$A$6:$A$22,0),MATCH(N$45,'04_Matriz_Cambios'!$B$5:$R$5,0)))</f>
        <v>999999</v>
      </c>
      <c r="O61" s="44">
        <f>IF(COUNTIF($Q$6:$Q$21,O$45)&gt;0,999999,INDEX('04_Matriz_Cambios'!$B$6:$R$22,MATCH($Q$21,'04_Matriz_Cambios'!$A$6:$A$22,0),MATCH(O$45,'04_Matriz_Cambios'!$B$5:$R$5,0)))</f>
        <v>999999</v>
      </c>
      <c r="P61" s="44">
        <f>IF(COUNTIF($Q$6:$Q$21,P$45)&gt;0,999999,INDEX('04_Matriz_Cambios'!$B$6:$R$22,MATCH($Q$21,'04_Matriz_Cambios'!$A$6:$A$22,0),MATCH(P$45,'04_Matriz_Cambios'!$B$5:$R$5,0)))</f>
        <v>999999</v>
      </c>
      <c r="Q61" s="44">
        <f>IF(COUNTIF($Q$6:$Q$21,Q$45)&gt;0,999999,INDEX('04_Matriz_Cambios'!$B$6:$R$22,MATCH($Q$21,'04_Matriz_Cambios'!$A$6:$A$22,0),MATCH(Q$45,'04_Matriz_Cambios'!$B$5:$R$5,0)))</f>
        <v>999999</v>
      </c>
      <c r="R61" s="44">
        <f>IF(COUNTIF($Q$6:$Q$21,R$45)&gt;0,999999,INDEX('04_Matriz_Cambios'!$B$6:$R$22,MATCH($Q$21,'04_Matriz_Cambios'!$A$6:$A$22,0),MATCH(R$45,'04_Matriz_Cambios'!$B$5:$R$5,0)))</f>
        <v>999999</v>
      </c>
    </row>
    <row r="62" spans="2:18" hidden="1" x14ac:dyDescent="0.2"/>
  </sheetData>
  <mergeCells count="5">
    <mergeCell ref="L33:R33"/>
    <mergeCell ref="L36:R36"/>
    <mergeCell ref="L34:R34"/>
    <mergeCell ref="L35:R35"/>
    <mergeCell ref="A4:R4"/>
  </mergeCells>
  <conditionalFormatting sqref="N7:N10">
    <cfRule type="dataBar" priority="1">
      <dataBar>
        <cfvo type="num" val="0"/>
        <cfvo type="max"/>
        <color rgb="FF9E2A2B"/>
      </dataBar>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EA9DB"/>
  </sheetPr>
  <dimension ref="A1:E21"/>
  <sheetViews>
    <sheetView showGridLines="0" workbookViewId="0"/>
  </sheetViews>
  <sheetFormatPr baseColWidth="10" defaultColWidth="8.83203125" defaultRowHeight="15" x14ac:dyDescent="0.2"/>
  <cols>
    <col min="1" max="1" width="4" customWidth="1"/>
    <col min="2" max="2" width="34" customWidth="1"/>
    <col min="3" max="3" width="56" customWidth="1"/>
    <col min="4" max="4" width="52" customWidth="1"/>
    <col min="5" max="5" width="14" customWidth="1"/>
  </cols>
  <sheetData>
    <row r="1" spans="1:5" ht="26" customHeight="1" x14ac:dyDescent="0.3">
      <c r="A1" s="1" t="s">
        <v>349</v>
      </c>
    </row>
    <row r="2" spans="1:5" x14ac:dyDescent="0.2">
      <c r="A2" s="2" t="s">
        <v>350</v>
      </c>
    </row>
    <row r="4" spans="1:5" ht="30" customHeight="1" x14ac:dyDescent="0.2">
      <c r="A4" s="9" t="s">
        <v>51</v>
      </c>
      <c r="B4" s="9" t="s">
        <v>351</v>
      </c>
      <c r="C4" s="9" t="s">
        <v>352</v>
      </c>
      <c r="D4" s="9" t="s">
        <v>353</v>
      </c>
      <c r="E4" s="9" t="s">
        <v>354</v>
      </c>
    </row>
    <row r="5" spans="1:5" ht="30" customHeight="1" x14ac:dyDescent="0.2">
      <c r="A5" s="10">
        <v>1</v>
      </c>
      <c r="B5" s="11" t="s">
        <v>355</v>
      </c>
      <c r="C5" s="12" t="s">
        <v>356</v>
      </c>
      <c r="D5" s="12" t="s">
        <v>473</v>
      </c>
      <c r="E5" s="86" t="s">
        <v>357</v>
      </c>
    </row>
    <row r="6" spans="1:5" ht="52" customHeight="1" x14ac:dyDescent="0.2">
      <c r="A6" s="10">
        <v>2</v>
      </c>
      <c r="B6" s="11" t="s">
        <v>358</v>
      </c>
      <c r="C6" s="12" t="s">
        <v>359</v>
      </c>
      <c r="D6" s="12" t="s">
        <v>360</v>
      </c>
      <c r="E6" s="86" t="s">
        <v>357</v>
      </c>
    </row>
    <row r="7" spans="1:5" ht="30" customHeight="1" x14ac:dyDescent="0.2">
      <c r="A7" s="10">
        <v>3</v>
      </c>
      <c r="B7" s="11" t="s">
        <v>361</v>
      </c>
      <c r="C7" s="12" t="s">
        <v>362</v>
      </c>
      <c r="D7" s="12" t="s">
        <v>474</v>
      </c>
      <c r="E7" s="86" t="s">
        <v>357</v>
      </c>
    </row>
    <row r="8" spans="1:5" ht="30" customHeight="1" x14ac:dyDescent="0.2">
      <c r="A8" s="10">
        <v>4</v>
      </c>
      <c r="B8" s="11" t="s">
        <v>363</v>
      </c>
      <c r="C8" s="12" t="s">
        <v>364</v>
      </c>
      <c r="D8" s="12" t="s">
        <v>365</v>
      </c>
      <c r="E8" s="86" t="s">
        <v>357</v>
      </c>
    </row>
    <row r="9" spans="1:5" ht="39" customHeight="1" x14ac:dyDescent="0.2">
      <c r="A9" s="10">
        <v>5</v>
      </c>
      <c r="B9" s="11" t="s">
        <v>475</v>
      </c>
      <c r="C9" s="12" t="s">
        <v>476</v>
      </c>
      <c r="D9" s="12" t="s">
        <v>477</v>
      </c>
      <c r="E9" s="87" t="s">
        <v>366</v>
      </c>
    </row>
    <row r="10" spans="1:5" ht="39" customHeight="1" x14ac:dyDescent="0.2">
      <c r="A10" s="10">
        <v>6</v>
      </c>
      <c r="B10" s="11" t="s">
        <v>367</v>
      </c>
      <c r="C10" s="12" t="s">
        <v>368</v>
      </c>
      <c r="D10" s="12" t="s">
        <v>369</v>
      </c>
      <c r="E10" s="87" t="s">
        <v>366</v>
      </c>
    </row>
    <row r="11" spans="1:5" ht="30" customHeight="1" x14ac:dyDescent="0.2">
      <c r="A11" s="10">
        <v>7</v>
      </c>
      <c r="B11" s="11" t="s">
        <v>370</v>
      </c>
      <c r="C11" s="12" t="s">
        <v>371</v>
      </c>
      <c r="D11" s="12" t="s">
        <v>372</v>
      </c>
      <c r="E11" s="87" t="s">
        <v>366</v>
      </c>
    </row>
    <row r="12" spans="1:5" ht="30" customHeight="1" x14ac:dyDescent="0.2">
      <c r="A12" s="10">
        <v>8</v>
      </c>
      <c r="B12" s="11" t="s">
        <v>373</v>
      </c>
      <c r="C12" s="12" t="s">
        <v>374</v>
      </c>
      <c r="D12" s="12" t="s">
        <v>478</v>
      </c>
      <c r="E12" s="87" t="s">
        <v>366</v>
      </c>
    </row>
    <row r="13" spans="1:5" ht="39" customHeight="1" x14ac:dyDescent="0.2">
      <c r="A13" s="10">
        <v>9</v>
      </c>
      <c r="B13" s="11" t="s">
        <v>375</v>
      </c>
      <c r="C13" s="12" t="s">
        <v>376</v>
      </c>
      <c r="D13" s="12" t="s">
        <v>377</v>
      </c>
      <c r="E13" s="87" t="s">
        <v>366</v>
      </c>
    </row>
    <row r="14" spans="1:5" ht="30" customHeight="1" x14ac:dyDescent="0.2">
      <c r="A14" s="10">
        <v>10</v>
      </c>
      <c r="B14" s="11" t="s">
        <v>378</v>
      </c>
      <c r="C14" s="12" t="s">
        <v>379</v>
      </c>
      <c r="D14" s="12" t="s">
        <v>380</v>
      </c>
      <c r="E14" s="88" t="s">
        <v>381</v>
      </c>
    </row>
    <row r="15" spans="1:5" ht="30" customHeight="1" x14ac:dyDescent="0.2">
      <c r="A15" s="10">
        <v>11</v>
      </c>
      <c r="B15" s="11" t="s">
        <v>382</v>
      </c>
      <c r="C15" s="12" t="s">
        <v>383</v>
      </c>
      <c r="D15" s="12" t="s">
        <v>384</v>
      </c>
      <c r="E15" s="88" t="s">
        <v>381</v>
      </c>
    </row>
    <row r="16" spans="1:5" ht="30" customHeight="1" x14ac:dyDescent="0.2">
      <c r="A16" s="10">
        <v>12</v>
      </c>
      <c r="B16" s="11" t="s">
        <v>385</v>
      </c>
      <c r="C16" s="12" t="s">
        <v>386</v>
      </c>
      <c r="D16" s="12" t="s">
        <v>387</v>
      </c>
      <c r="E16" s="88" t="s">
        <v>381</v>
      </c>
    </row>
    <row r="17" spans="1:5" ht="39" customHeight="1" x14ac:dyDescent="0.2">
      <c r="A17" s="10">
        <v>13</v>
      </c>
      <c r="B17" s="11" t="s">
        <v>388</v>
      </c>
      <c r="C17" s="12" t="s">
        <v>389</v>
      </c>
      <c r="D17" s="12" t="s">
        <v>390</v>
      </c>
      <c r="E17" s="88" t="s">
        <v>381</v>
      </c>
    </row>
    <row r="18" spans="1:5" ht="30" customHeight="1" x14ac:dyDescent="0.2">
      <c r="A18" s="10">
        <v>14</v>
      </c>
      <c r="B18" s="11" t="s">
        <v>391</v>
      </c>
      <c r="C18" s="12" t="s">
        <v>392</v>
      </c>
      <c r="D18" s="12" t="s">
        <v>393</v>
      </c>
      <c r="E18" s="88" t="s">
        <v>381</v>
      </c>
    </row>
    <row r="20" spans="1:5" ht="16" x14ac:dyDescent="0.2">
      <c r="B20" s="29" t="s">
        <v>394</v>
      </c>
    </row>
    <row r="21" spans="1:5" ht="75" customHeight="1" x14ac:dyDescent="0.2">
      <c r="B21" s="112" t="s">
        <v>479</v>
      </c>
      <c r="C21" s="113"/>
      <c r="D21" s="113"/>
      <c r="E21" s="113"/>
    </row>
  </sheetData>
  <mergeCells count="1">
    <mergeCell ref="B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14</vt:i4>
      </vt:variant>
    </vt:vector>
  </HeadingPairs>
  <TitlesOfParts>
    <vt:vector size="14" baseType="lpstr">
      <vt:lpstr>00_Portada</vt:lpstr>
      <vt:lpstr>01_Supuestos</vt:lpstr>
      <vt:lpstr>02_Datos_Maestros</vt:lpstr>
      <vt:lpstr>03_Demanda_ABC</vt:lpstr>
      <vt:lpstr>04_Matriz_Cambios</vt:lpstr>
      <vt:lpstr>05_Modelo_Solver</vt:lpstr>
      <vt:lpstr>06_Secuencia_Optima</vt:lpstr>
      <vt:lpstr>07_Calendario</vt:lpstr>
      <vt:lpstr>08_PLAN_MAESTRO</vt:lpstr>
      <vt:lpstr>09_Detalle_Turnos</vt:lpstr>
      <vt:lpstr>10_KPIs</vt:lpstr>
      <vt:lpstr>11_Sensibilidad</vt:lpstr>
      <vt:lpstr>12_Comparativa</vt:lpstr>
      <vt:lpstr>13_Info_Adicional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Yanier Sebastian Parra Perea</cp:lastModifiedBy>
  <dcterms:modified xsi:type="dcterms:W3CDTF">2026-09-06T21:57:41Z</dcterms:modified>
</cp:coreProperties>
</file>